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4\Q324\"/>
    </mc:Choice>
  </mc:AlternateContent>
  <xr:revisionPtr revIDLastSave="0" documentId="13_ncr:1_{30764C39-53FB-4F93-A09B-EC531526CE7D}" xr6:coauthVersionLast="47" xr6:coauthVersionMax="47" xr10:uidLastSave="{00000000-0000-0000-0000-000000000000}"/>
  <bookViews>
    <workbookView xWindow="-110" yWindow="-110" windowWidth="19420" windowHeight="10420" tabRatio="907" xr2:uid="{00000000-000D-0000-FFFF-FFFF00000000}"/>
  </bookViews>
  <sheets>
    <sheet name="Group PH" sheetId="1" r:id="rId1"/>
    <sheet name="Ex-inorganic activity" sheetId="81" r:id="rId2"/>
    <sheet name="Barclays UK YTD " sheetId="56" r:id="rId3"/>
    <sheet name="UK Corporate Bank YTD" sheetId="57" r:id="rId4"/>
    <sheet name="Barclays PBWM YTD" sheetId="75" r:id="rId5"/>
    <sheet name="Investment Bank YTD" sheetId="74" r:id="rId6"/>
    <sheet name="US Consumer Bank YTD" sheetId="76" r:id="rId7"/>
    <sheet name="Head Office YTD " sheetId="58" r:id="rId8"/>
    <sheet name="Group Qrtly" sheetId="66" r:id="rId9"/>
    <sheet name="Barclays UK Qrtly" sheetId="67" r:id="rId10"/>
    <sheet name="UK Corporate Bank Qrtly" sheetId="68" r:id="rId11"/>
    <sheet name="PBWM Qrtly" sheetId="78" r:id="rId12"/>
    <sheet name="Investment Bank Qrtly" sheetId="77" r:id="rId13"/>
    <sheet name="US Consumer Bank Qrtly" sheetId="79" r:id="rId14"/>
    <sheet name="Head Office Qrtly" sheetId="69" r:id="rId15"/>
    <sheet name="Margins and balances" sheetId="87" r:id="rId16"/>
    <sheet name="L&amp;A by geography" sheetId="88" r:id="rId17"/>
    <sheet name="L&amp;A to customers classified as " sheetId="89" r:id="rId18"/>
    <sheet name="L&amp;A by product" sheetId="90" r:id="rId19"/>
    <sheet name="Measurement uncertainty" sheetId="91" r:id="rId20"/>
    <sheet name="Capital ratios and resources" sheetId="92" r:id="rId21"/>
    <sheet name="Movement in CET1 capital" sheetId="93" r:id="rId22"/>
    <sheet name="RWAs by risk type and business" sheetId="94" r:id="rId23"/>
    <sheet name="Movement in RWAs" sheetId="95" r:id="rId24"/>
    <sheet name="Leverage" sheetId="96" r:id="rId25"/>
    <sheet name="Condensed consolidated IS" sheetId="97" r:id="rId26"/>
    <sheet name="Condensed consolidated BS" sheetId="98" r:id="rId27"/>
    <sheet name="Condensed consolidated SOCIE" sheetId="99" r:id="rId28"/>
    <sheet name="Returns" sheetId="80" r:id="rId29"/>
    <sheet name="Quarterly returns" sheetId="70" r:id="rId30"/>
    <sheet name="Ex-inorganic rec" sheetId="86" r:id="rId31"/>
    <sheet name="TNAV" sheetId="100" r:id="rId32"/>
    <sheet name="Notable items" sheetId="64" state="hidden" r:id="rId33"/>
  </sheets>
  <definedNames>
    <definedName name="AccountNames">#REF!</definedName>
    <definedName name="CDMQRCentralBPAClarityUploadQuarterlies_1" localSheetId="9">#REF!</definedName>
    <definedName name="CDMQRCentralBPAClarityUploadQuarterlies_1" localSheetId="8">#REF!</definedName>
    <definedName name="CDMQRCentralBPAClarityUploadQuarterlies_1" localSheetId="14">#REF!</definedName>
    <definedName name="CDMQRCentralBPAClarityUploadQuarterlies_1" localSheetId="12">#REF!</definedName>
    <definedName name="CDMQRCentralBPAClarityUploadQuarterlies_1" localSheetId="11">#REF!</definedName>
    <definedName name="CDMQRCentralBPAClarityUploadQuarterlies_1" localSheetId="28">#REF!</definedName>
    <definedName name="CDMQRCentralBPAClarityUploadQuarterlies_1" localSheetId="10">#REF!</definedName>
    <definedName name="CDMQRCentralBPAClarityUploadQuarterlies_1" localSheetId="13">#REF!</definedName>
    <definedName name="CDMQRCentralBPAClarityUploadQuarterlies_1">#REF!</definedName>
    <definedName name="CDMQRClarityuploadfileQ316.xlsx_1" localSheetId="4">#REF!</definedName>
    <definedName name="CDMQRClarityuploadfileQ316.xlsx_1" localSheetId="2">#REF!</definedName>
    <definedName name="CDMQRClarityuploadfileQ316.xlsx_1" localSheetId="7">#REF!</definedName>
    <definedName name="CDMQRClarityuploadfileQ316.xlsx_1" localSheetId="5">#REF!</definedName>
    <definedName name="CDMQRClarityuploadfileQ316.xlsx_1" localSheetId="28">#REF!</definedName>
    <definedName name="CDMQRClarityuploadfileQ316.xlsx_1" localSheetId="3">#REF!</definedName>
    <definedName name="CDMQRClarityuploadfileQ316.xlsx_1" localSheetId="6">#REF!</definedName>
    <definedName name="CDMQRClarityuploadfileQ316.xlsx_1">#REF!</definedName>
    <definedName name="CDMQRClarityuploadfileQ316.xlsx_2" localSheetId="4">#REF!</definedName>
    <definedName name="CDMQRClarityuploadfileQ316.xlsx_2" localSheetId="5">#REF!</definedName>
    <definedName name="CDMQRClarityuploadfileQ316.xlsx_2" localSheetId="28">#REF!</definedName>
    <definedName name="CDMQRClarityuploadfileQ316.xlsx_2" localSheetId="3">#REF!</definedName>
    <definedName name="CDMQRClarityuploadfileQ316.xlsx_2" localSheetId="6">#REF!</definedName>
    <definedName name="CDMQRClarityuploadfileQ316.xlsx_2">#REF!</definedName>
    <definedName name="CDMQRClarityuploadfileQ316.xlsx_3" localSheetId="4">#REF!</definedName>
    <definedName name="CDMQRClarityuploadfileQ316.xlsx_3" localSheetId="5">#REF!</definedName>
    <definedName name="CDMQRClarityuploadfileQ316.xlsx_3" localSheetId="28">#REF!</definedName>
    <definedName name="CDMQRClarityuploadfileQ316.xlsx_3" localSheetId="3">#REF!</definedName>
    <definedName name="CDMQRClarityuploadfileQ316.xlsx_3" localSheetId="6">#REF!</definedName>
    <definedName name="CDMQRClarityuploadfileQ316.xlsx_3">#REF!</definedName>
    <definedName name="CDMQRClarityuploadfileQ316.xlsx_4" localSheetId="4">#REF!</definedName>
    <definedName name="CDMQRClarityuploadfileQ316.xlsx_4" localSheetId="5">#REF!</definedName>
    <definedName name="CDMQRClarityuploadfileQ316.xlsx_4" localSheetId="28">#REF!</definedName>
    <definedName name="CDMQRClarityuploadfileQ316.xlsx_4" localSheetId="3">#REF!</definedName>
    <definedName name="CDMQRClarityuploadfileQ316.xlsx_4" localSheetId="6">#REF!</definedName>
    <definedName name="CDMQRClarityuploadfileQ316.xlsx_4">#REF!</definedName>
    <definedName name="CQtr" localSheetId="4">#REF!</definedName>
    <definedName name="CQtr" localSheetId="2">#REF!</definedName>
    <definedName name="CQtr" localSheetId="7">#REF!</definedName>
    <definedName name="CQtr" localSheetId="5">#REF!</definedName>
    <definedName name="CQtr" localSheetId="28">#REF!</definedName>
    <definedName name="CQtr" localSheetId="3">#REF!</definedName>
    <definedName name="CQtr" localSheetId="6">#REF!</definedName>
    <definedName name="CQtr">#REF!</definedName>
    <definedName name="Entity">#REF!</definedName>
    <definedName name="PPPPPPPQtr" localSheetId="4">#REF!</definedName>
    <definedName name="PPPPPPPQtr" localSheetId="2">#REF!</definedName>
    <definedName name="PPPPPPPQtr" localSheetId="7">#REF!</definedName>
    <definedName name="PPPPPPPQtr" localSheetId="5">#REF!</definedName>
    <definedName name="PPPPPPPQtr" localSheetId="28">#REF!</definedName>
    <definedName name="PPPPPPPQtr" localSheetId="3">#REF!</definedName>
    <definedName name="PPPPPPPQtr" localSheetId="6">#REF!</definedName>
    <definedName name="PPPPPPPQtr">#REF!</definedName>
    <definedName name="PPPPPPQtr" localSheetId="4">#REF!</definedName>
    <definedName name="PPPPPPQtr" localSheetId="2">#REF!</definedName>
    <definedName name="PPPPPPQtr" localSheetId="7">#REF!</definedName>
    <definedName name="PPPPPPQtr" localSheetId="5">#REF!</definedName>
    <definedName name="PPPPPPQtr" localSheetId="28">#REF!</definedName>
    <definedName name="PPPPPPQtr" localSheetId="3">#REF!</definedName>
    <definedName name="PPPPPPQtr" localSheetId="6">#REF!</definedName>
    <definedName name="PPPPPPQtr">#REF!</definedName>
    <definedName name="PPPPPQtr" localSheetId="4">#REF!</definedName>
    <definedName name="PPPPPQtr" localSheetId="2">#REF!</definedName>
    <definedName name="PPPPPQtr" localSheetId="7">#REF!</definedName>
    <definedName name="PPPPPQtr" localSheetId="5">#REF!</definedName>
    <definedName name="PPPPPQtr" localSheetId="28">#REF!</definedName>
    <definedName name="PPPPPQtr" localSheetId="3">#REF!</definedName>
    <definedName name="PPPPPQtr" localSheetId="6">#REF!</definedName>
    <definedName name="PPPPPQtr">#REF!</definedName>
    <definedName name="PPPPQtr" localSheetId="4">#REF!</definedName>
    <definedName name="PPPPQtr" localSheetId="2">#REF!</definedName>
    <definedName name="PPPPQtr" localSheetId="7">#REF!</definedName>
    <definedName name="PPPPQtr" localSheetId="5">#REF!</definedName>
    <definedName name="PPPPQtr" localSheetId="28">#REF!</definedName>
    <definedName name="PPPPQtr" localSheetId="3">#REF!</definedName>
    <definedName name="PPPPQtr" localSheetId="6">#REF!</definedName>
    <definedName name="PPPPQtr">#REF!</definedName>
    <definedName name="PPPQtr" localSheetId="4">#REF!</definedName>
    <definedName name="PPPQtr" localSheetId="2">#REF!</definedName>
    <definedName name="PPPQtr" localSheetId="7">#REF!</definedName>
    <definedName name="PPPQtr" localSheetId="5">#REF!</definedName>
    <definedName name="PPPQtr" localSheetId="28">#REF!</definedName>
    <definedName name="PPPQtr" localSheetId="3">#REF!</definedName>
    <definedName name="PPPQtr" localSheetId="6">#REF!</definedName>
    <definedName name="PPPQtr">#REF!</definedName>
    <definedName name="PPQtr" localSheetId="4">#REF!</definedName>
    <definedName name="PPQtr" localSheetId="2">#REF!</definedName>
    <definedName name="PPQtr" localSheetId="7">#REF!</definedName>
    <definedName name="PPQtr" localSheetId="5">#REF!</definedName>
    <definedName name="PPQtr" localSheetId="28">#REF!</definedName>
    <definedName name="PPQtr" localSheetId="3">#REF!</definedName>
    <definedName name="PPQtr" localSheetId="6">#REF!</definedName>
    <definedName name="PPQtr">#REF!</definedName>
    <definedName name="PQtr" localSheetId="4">#REF!</definedName>
    <definedName name="PQtr" localSheetId="2">#REF!</definedName>
    <definedName name="PQtr" localSheetId="7">#REF!</definedName>
    <definedName name="PQtr" localSheetId="5">#REF!</definedName>
    <definedName name="PQtr" localSheetId="28">#REF!</definedName>
    <definedName name="PQtr" localSheetId="3">#REF!</definedName>
    <definedName name="PQtr" localSheetId="6">#REF!</definedName>
    <definedName name="PQtr">#REF!</definedName>
    <definedName name="_xlnm.Print_Area" localSheetId="4">'Barclays PBWM YTD'!$B$2:$E$34</definedName>
    <definedName name="_xlnm.Print_Area" localSheetId="9">'Barclays UK Qrtly'!$B$2:$L$56</definedName>
    <definedName name="_xlnm.Print_Area" localSheetId="2">'Barclays UK YTD '!$B$2:$E$60</definedName>
    <definedName name="_xlnm.Print_Area" localSheetId="26">'Condensed consolidated BS'!$B$2:$D$26</definedName>
    <definedName name="_xlnm.Print_Area" localSheetId="0">'Group PH'!$B$2:$E$53</definedName>
    <definedName name="_xlnm.Print_Area" localSheetId="8">'Group Qrtly'!$B$2:$L$51</definedName>
    <definedName name="_xlnm.Print_Area" localSheetId="14">'Head Office Qrtly'!$B$2:$L$24</definedName>
    <definedName name="_xlnm.Print_Area" localSheetId="7">'Head Office YTD '!$B$2:$E$26</definedName>
    <definedName name="_xlnm.Print_Area" localSheetId="12">'Investment Bank Qrtly'!$B$2:$L$52</definedName>
    <definedName name="_xlnm.Print_Area" localSheetId="5">'Investment Bank YTD'!$B$2:$E$54</definedName>
    <definedName name="_xlnm.Print_Area" localSheetId="11">'PBWM Qrtly'!$B$2:$L$31</definedName>
    <definedName name="_xlnm.Print_Area" localSheetId="29">'Quarterly returns'!$B$2:$L$13</definedName>
    <definedName name="_xlnm.Print_Area" localSheetId="10">'UK Corporate Bank Qrtly'!$B$2:$L$36</definedName>
    <definedName name="_xlnm.Print_Area" localSheetId="3">'UK Corporate Bank YTD'!$B$2:$E$32</definedName>
    <definedName name="_xlnm.Print_Area" localSheetId="13">'US Consumer Bank Qrtly'!$B$2:$L$30</definedName>
    <definedName name="_xlnm.Print_Area" localSheetId="6">'US Consumer Bank YTD'!$B$2:$E$31</definedName>
    <definedName name="PriorQDate">#REF!</definedName>
    <definedName name="Product">#REF!</definedName>
    <definedName name="QDate">#REF!</definedName>
    <definedName name="Segment">#REF!</definedName>
    <definedName name="View">#REF!</definedName>
    <definedName name="year" localSheetId="4">#REF!</definedName>
    <definedName name="year" localSheetId="2">#REF!</definedName>
    <definedName name="year" localSheetId="7">#REF!</definedName>
    <definedName name="year" localSheetId="12">#REF!</definedName>
    <definedName name="year" localSheetId="5">#REF!</definedName>
    <definedName name="year" localSheetId="11">#REF!</definedName>
    <definedName name="year" localSheetId="28">#REF!</definedName>
    <definedName name="year" localSheetId="3">#REF!</definedName>
    <definedName name="year" localSheetId="13">#REF!</definedName>
    <definedName name="year" localSheetId="6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0" l="1"/>
  <c r="D6" i="100"/>
  <c r="E6" i="100"/>
  <c r="G5" i="64"/>
  <c r="H5" i="64"/>
  <c r="J5" i="64"/>
  <c r="I5" i="64"/>
</calcChain>
</file>

<file path=xl/sharedStrings.xml><?xml version="1.0" encoding="utf-8"?>
<sst xmlns="http://schemas.openxmlformats.org/spreadsheetml/2006/main" count="2070" uniqueCount="424">
  <si>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</si>
  <si>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</si>
  <si>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</si>
  <si>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</si>
  <si>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</si>
  <si>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</si>
  <si>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</si>
  <si>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</si>
  <si>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</si>
  <si>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 xml:space="preserve">Risk weighted assets </t>
  </si>
  <si>
    <t/>
  </si>
  <si>
    <t>Head Office</t>
  </si>
  <si>
    <t>Barclays Group</t>
  </si>
  <si>
    <t>Return on average allocated tangible equity</t>
  </si>
  <si>
    <t>Average allocated tangible equity</t>
  </si>
  <si>
    <t>Barclays UK</t>
  </si>
  <si>
    <t>Other net (expenses)/income</t>
  </si>
  <si>
    <t>Operating costs</t>
  </si>
  <si>
    <t>Total income</t>
  </si>
  <si>
    <t>Profit before tax</t>
  </si>
  <si>
    <t>Average goodwill and intangibles</t>
  </si>
  <si>
    <t>UK leverage ratio</t>
  </si>
  <si>
    <t>UK leverage exposure</t>
  </si>
  <si>
    <t>Group liquidity pool (£bn)</t>
  </si>
  <si>
    <t>Liquidity coverage ratio</t>
  </si>
  <si>
    <t>Loan: deposit ratio</t>
  </si>
  <si>
    <t xml:space="preserve">Loans and advances to customers at amortised cost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</si>
  <si>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</si>
  <si>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</si>
  <si>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</si>
  <si>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</si>
  <si>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</si>
  <si>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</si>
  <si>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</si>
  <si>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</si>
  <si>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</si>
  <si>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</si>
  <si>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</si>
  <si>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</si>
  <si>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</si>
  <si>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</si>
  <si>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</si>
  <si>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</si>
  <si>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</si>
  <si>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</si>
  <si>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</si>
  <si>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</si>
  <si>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</si>
  <si>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</si>
  <si>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</si>
  <si>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</si>
  <si>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</si>
  <si>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</si>
  <si>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</si>
  <si>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</si>
  <si>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</si>
  <si>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</si>
  <si>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</si>
  <si>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</si>
  <si>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</si>
  <si>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</si>
  <si>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</si>
  <si>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</si>
  <si>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</si>
  <si>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</si>
  <si>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</si>
  <si>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</si>
  <si>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</si>
  <si>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</si>
  <si>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</si>
  <si>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</si>
  <si>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</si>
  <si>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</si>
  <si>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</si>
  <si>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</si>
  <si>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</si>
  <si>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</si>
  <si>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</si>
  <si>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</si>
  <si>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</si>
  <si>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</si>
  <si>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</si>
  <si>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</si>
  <si>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</si>
  <si>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 xml:space="preserve">Net fee, commission and other income </t>
  </si>
  <si>
    <t xml:space="preserve">Net interest margin </t>
  </si>
  <si>
    <t xml:space="preserve">Net trading income </t>
  </si>
  <si>
    <t xml:space="preserve">Net interest income 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</si>
  <si>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</si>
  <si>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</si>
  <si>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</si>
  <si>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</si>
  <si>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Analysis of total income</t>
  </si>
  <si>
    <t>Period end number of shares (m)</t>
  </si>
  <si>
    <t>Average shareholders' equity</t>
  </si>
  <si>
    <t>Average allocated equity</t>
  </si>
  <si>
    <t xml:space="preserve">Head Office </t>
  </si>
  <si>
    <t>Average tangible equity</t>
  </si>
  <si>
    <t>Return on average tangible equity</t>
  </si>
  <si>
    <t>Global Markets</t>
  </si>
  <si>
    <t>Three months ended</t>
  </si>
  <si>
    <t>Statutory</t>
  </si>
  <si>
    <t>Excluding the impact of notable items</t>
  </si>
  <si>
    <t>Other litigation and conduct</t>
  </si>
  <si>
    <t>Net impact from the Over-issuance of Securities</t>
  </si>
  <si>
    <t>Customer remediation costs on legacy loan portfolio</t>
  </si>
  <si>
    <t>Re-measurement of UK DTAs</t>
  </si>
  <si>
    <t xml:space="preserve">Profit before impairment </t>
  </si>
  <si>
    <t>Profit before impairment</t>
  </si>
  <si>
    <t>Loans and advances to banks at amortised cost</t>
  </si>
  <si>
    <t>Debt securities at amortised cost</t>
  </si>
  <si>
    <t>Q123</t>
  </si>
  <si>
    <t>Three months ended 31.03.22</t>
  </si>
  <si>
    <t>Three months ended 31.03.23</t>
  </si>
  <si>
    <t>Other net income/(expenses)</t>
  </si>
  <si>
    <t>Q422</t>
  </si>
  <si>
    <t xml:space="preserve">Barclays Group </t>
  </si>
  <si>
    <t>Barclaycard Consumer UK</t>
  </si>
  <si>
    <t>Analysis of Barclays UK</t>
  </si>
  <si>
    <t xml:space="preserve">Cost: income ratio </t>
  </si>
  <si>
    <t>Notable Items</t>
  </si>
  <si>
    <t>Total credit impairment charges</t>
  </si>
  <si>
    <t>Barclays UK Corporate Bank</t>
  </si>
  <si>
    <t xml:space="preserve">Barclays Private Bank and Wealth Management </t>
  </si>
  <si>
    <t>Barclays Investment Bank</t>
  </si>
  <si>
    <t>Barclays US Consumer Bank</t>
  </si>
  <si>
    <t>Barclays Private Bank and Wealth Management</t>
  </si>
  <si>
    <t>As at 31.12.23</t>
  </si>
  <si>
    <t>6.5p</t>
  </si>
  <si>
    <t>295p</t>
  </si>
  <si>
    <t>Q124</t>
  </si>
  <si>
    <t>Q423</t>
  </si>
  <si>
    <t>Q323</t>
  </si>
  <si>
    <t>Q223</t>
  </si>
  <si>
    <t xml:space="preserve">Appendix: Non-IFRS Performance Measures </t>
  </si>
  <si>
    <t>Average equity</t>
  </si>
  <si>
    <t>UK regulatory levies</t>
  </si>
  <si>
    <t>Client assets and liabilities</t>
  </si>
  <si>
    <t>International Corporate Bank</t>
  </si>
  <si>
    <t>Investment Banking</t>
  </si>
  <si>
    <t>International Corporate Banking</t>
  </si>
  <si>
    <t>411</t>
  </si>
  <si>
    <t>Period end tangible shareholders' equity (£bn)</t>
  </si>
  <si>
    <t>Basic earnings per ordinary share</t>
  </si>
  <si>
    <t xml:space="preserve">Basic earnings per ordinary share </t>
  </si>
  <si>
    <t xml:space="preserve">Barclays Group results
</t>
  </si>
  <si>
    <r>
      <rPr>
        <sz val="8"/>
        <color rgb="FF00B0F0"/>
        <rFont val="Expert Sans Regular"/>
        <family val="2"/>
      </rPr>
      <t>£m</t>
    </r>
  </si>
  <si>
    <t>Key facts</t>
  </si>
  <si>
    <t xml:space="preserve">Analysis of Barclays UK </t>
  </si>
  <si>
    <t xml:space="preserve">£bn </t>
  </si>
  <si>
    <t>Tax (charges)/credit</t>
  </si>
  <si>
    <t>Q224</t>
  </si>
  <si>
    <t>Profit/(loss) before impairment</t>
  </si>
  <si>
    <t>Profit/(loss) before tax</t>
  </si>
  <si>
    <t xml:space="preserve">Average equity </t>
  </si>
  <si>
    <t xml:space="preserve">Average tangible equity </t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</si>
  <si>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</si>
  <si>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</si>
  <si>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</si>
  <si>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t>Average tangible equity (£bn)</t>
  </si>
  <si>
    <t>Banking fees and underwriting</t>
  </si>
  <si>
    <t>Banking Fees and Underwriting</t>
  </si>
  <si>
    <t>Inorganic activity</t>
  </si>
  <si>
    <t>Total income excluding inorganic activity</t>
  </si>
  <si>
    <t>Cost: income ratio excluding inorganic activity</t>
  </si>
  <si>
    <t>Post-tax impact of inorganic activity</t>
  </si>
  <si>
    <t>Attributable profit/(loss) excluding inorganic activity</t>
  </si>
  <si>
    <t>Return on average tangible equity excluding inorganic activity</t>
  </si>
  <si>
    <t>Nine months ended</t>
  </si>
  <si>
    <t>As at 30.09.24</t>
  </si>
  <si>
    <t>As at 30.09.23</t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</si>
  <si>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</si>
  <si>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</si>
  <si>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</si>
  <si>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</si>
  <si>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</si>
  <si>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</si>
  <si>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</si>
  <si>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</si>
  <si>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</si>
  <si>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</si>
  <si>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</si>
  <si>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</si>
  <si>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</si>
  <si>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</si>
  <si>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</si>
  <si>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</si>
  <si>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</si>
  <si>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</si>
  <si>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 xml:space="preserve">Net interest margin </t>
    </r>
  </si>
  <si>
    <t>Analysis of credit impairment (charges)/releases</t>
  </si>
  <si>
    <t>Q324</t>
  </si>
  <si>
    <t>n/m</t>
  </si>
  <si>
    <t>n/a</t>
  </si>
  <si>
    <t>% change</t>
  </si>
  <si>
    <t>Nine months ended 30.09.24</t>
  </si>
  <si>
    <t>Nine months ended 30.09.23</t>
  </si>
  <si>
    <t>Three months ended 30.09.24</t>
  </si>
  <si>
    <t>Balance sheet and capital management</t>
  </si>
  <si>
    <t>Net stable funding ratio</t>
  </si>
  <si>
    <t>Invested assets</t>
  </si>
  <si>
    <t>(Loss)/profit before impairment</t>
  </si>
  <si>
    <t>Excluding inorganic activity</t>
  </si>
  <si>
    <t>Reconciliation of financial results excluding inorganic activity</t>
  </si>
  <si>
    <t>Clients assets and liabilities</t>
  </si>
  <si>
    <t>Performance measures excluding the impact of inorganic activity</t>
  </si>
  <si>
    <t>Returns</t>
  </si>
  <si>
    <t>Group excluding IB and Head Office</t>
  </si>
  <si>
    <t>%</t>
  </si>
  <si>
    <t>Average customer assets</t>
  </si>
  <si>
    <t>Quarterly analysis</t>
  </si>
  <si>
    <t>Barclays Group net interest income</t>
  </si>
  <si>
    <t>Banking</t>
  </si>
  <si>
    <t>Margins and balances</t>
  </si>
  <si>
    <t>Total</t>
  </si>
  <si>
    <t>Off-balance sheet loan commitments and financial guarantee contracts</t>
  </si>
  <si>
    <t>Total loans and advances at amortised cost including debt securities</t>
  </si>
  <si>
    <t>Debt securities</t>
  </si>
  <si>
    <t>Total loans and advances at amortised cost</t>
  </si>
  <si>
    <t>Total Rest of the World</t>
  </si>
  <si>
    <t>Corporate loans</t>
  </si>
  <si>
    <t>Retail other</t>
  </si>
  <si>
    <t>Retail credit cards</t>
  </si>
  <si>
    <t>Retail mortgages</t>
  </si>
  <si>
    <t>Total UK</t>
  </si>
  <si>
    <t>Stage 3</t>
  </si>
  <si>
    <t>Stage 2</t>
  </si>
  <si>
    <t>Stage 1</t>
  </si>
  <si>
    <t xml:space="preserve">Stage 2 </t>
  </si>
  <si>
    <t>Coverage ratio</t>
  </si>
  <si>
    <t>Net exposure</t>
  </si>
  <si>
    <t>Impairment allowance</t>
  </si>
  <si>
    <t>Gross exposure</t>
  </si>
  <si>
    <t>Loans and advances at amortised cost by geography</t>
  </si>
  <si>
    <r>
      <rPr>
        <b/>
        <sz val="8"/>
        <color rgb="FF000000"/>
        <rFont val="Expert Sans Regular"/>
        <family val="2"/>
      </rPr>
      <t>Total Rest of the World</t>
    </r>
  </si>
  <si>
    <t>Coverage</t>
  </si>
  <si>
    <t>ECL</t>
  </si>
  <si>
    <t>Gross</t>
  </si>
  <si>
    <t>Loans and advances to customers classified as assets held for sale</t>
  </si>
  <si>
    <t>&gt;30 days past due</t>
  </si>
  <si>
    <t>&lt;=30 days past due</t>
  </si>
  <si>
    <t>Not past due</t>
  </si>
  <si>
    <t>Loans and advances at amortised cost by product</t>
  </si>
  <si>
    <t>Scenario probability weighting</t>
  </si>
  <si>
    <t>31.12.23</t>
  </si>
  <si>
    <t>30.09.24</t>
  </si>
  <si>
    <t xml:space="preserve"> %</t>
  </si>
  <si>
    <t>Downside 2</t>
  </si>
  <si>
    <t>Downside 1</t>
  </si>
  <si>
    <t>Baseline</t>
  </si>
  <si>
    <t>Upside 1</t>
  </si>
  <si>
    <t>Upside 2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</si>
  <si>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</si>
  <si>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</si>
  <si>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</si>
  <si>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</si>
  <si>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</si>
  <si>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</si>
  <si>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</si>
  <si>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</si>
  <si>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>30.06.24</t>
  </si>
  <si>
    <t>Macroeconomic variables used in the calculation of ECL</t>
  </si>
  <si>
    <t>Total RWAs</t>
  </si>
  <si>
    <t>Total own funds and eligible liabilities</t>
  </si>
  <si>
    <t>Eligible liabilities</t>
  </si>
  <si>
    <t>Less : Ineligible T2 capital (including minority interests) issued by subsidiaries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</si>
  <si>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</si>
  <si>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</si>
  <si>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</si>
  <si>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</si>
  <si>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</si>
  <si>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</si>
  <si>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t>T1 capital</t>
  </si>
  <si>
    <t>AT1 capital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</si>
  <si>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</si>
  <si>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</si>
  <si>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</si>
  <si>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</si>
  <si>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</si>
  <si>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</si>
  <si>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Excess of expected losses over impairment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</si>
  <si>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</si>
  <si>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</si>
  <si>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</si>
  <si>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</si>
  <si>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</si>
  <si>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</si>
  <si>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</si>
  <si>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</si>
  <si>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</si>
  <si>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t>Own funds and eligible liabilities</t>
  </si>
  <si>
    <t>MREL ratio as a percentage of total RWAs</t>
  </si>
  <si>
    <t>T1</t>
  </si>
  <si>
    <t>CET1</t>
  </si>
  <si>
    <t>Capital ratios</t>
  </si>
  <si>
    <t>Closing CET1 capital</t>
  </si>
  <si>
    <t>Increase/(decrease) in regulatory capital due to adjustments and deductions</t>
  </si>
  <si>
    <t>Excess of expected loss over impairment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</si>
  <si>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</si>
  <si>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</si>
  <si>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</si>
  <si>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</si>
  <si>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Increase/(decrease)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</si>
  <si>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</si>
  <si>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</si>
  <si>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</si>
  <si>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</si>
  <si>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</si>
  <si>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</si>
  <si>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</si>
  <si>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</si>
  <si>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</si>
  <si>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</si>
  <si>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</si>
  <si>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Movement in CET1 capital</t>
  </si>
  <si>
    <t>Barclays Private Bank &amp; Wealth Management</t>
  </si>
  <si>
    <t>As at 30.06.24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</si>
  <si>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</si>
  <si>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</si>
  <si>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</si>
  <si>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</si>
  <si>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</si>
  <si>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</si>
  <si>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</si>
  <si>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</si>
  <si>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</si>
  <si>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</si>
  <si>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30.09.24)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</si>
  <si>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</si>
  <si>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</si>
  <si>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</si>
  <si>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</si>
  <si>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</si>
  <si>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</si>
  <si>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</si>
  <si>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31.12.23)</t>
  </si>
  <si>
    <t>Market risk</t>
  </si>
  <si>
    <t xml:space="preserve">Credit risk </t>
  </si>
  <si>
    <t>Movement analysis of RWAs</t>
  </si>
  <si>
    <t>Average UK leverage exposure</t>
  </si>
  <si>
    <t>Average T1 capital</t>
  </si>
  <si>
    <t>Average UK leverage ratio</t>
  </si>
  <si>
    <t>Leverage ratios</t>
  </si>
  <si>
    <t>Earnings per share</t>
  </si>
  <si>
    <t>Equity holders of the parent</t>
  </si>
  <si>
    <t>Other equity holders</t>
  </si>
  <si>
    <t>Shareholders of the parent</t>
  </si>
  <si>
    <t>Attributable to:</t>
  </si>
  <si>
    <t>Operating expenses</t>
  </si>
  <si>
    <t>Operating expenses excluding UK regulatory levies &amp; litigation and conduct</t>
  </si>
  <si>
    <t>Condensed consolidated income statement (unaudited)</t>
  </si>
  <si>
    <t>Total liabilities and equity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</si>
  <si>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</si>
  <si>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</si>
  <si>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</si>
  <si>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</si>
  <si>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</si>
  <si>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</si>
  <si>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Equity</t>
  </si>
  <si>
    <t>Total liabilities</t>
  </si>
  <si>
    <t>Other liabilities</t>
  </si>
  <si>
    <t>Deferred tax liabilities</t>
  </si>
  <si>
    <t>Current tax liabilities</t>
  </si>
  <si>
    <t>Derivative financial instruments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</si>
  <si>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</si>
  <si>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</si>
  <si>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</si>
  <si>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</si>
  <si>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 at amortised cost</t>
  </si>
  <si>
    <t>Deposits at amortised cost from customers</t>
  </si>
  <si>
    <t>Deposits at amortised cost from banks</t>
  </si>
  <si>
    <t>Liabilities</t>
  </si>
  <si>
    <t>Other assets</t>
  </si>
  <si>
    <t>Deferred tax assets</t>
  </si>
  <si>
    <t>Current tax assets</t>
  </si>
  <si>
    <t>Investments in associates and joint ventures</t>
  </si>
  <si>
    <t>Financial assets at fair value through other comprehensive income</t>
  </si>
  <si>
    <t>Reverse repurchase agreements and other similar secured lending at amortised cost</t>
  </si>
  <si>
    <t>Loans and advances at amortised cost to customers</t>
  </si>
  <si>
    <t>Loans and advances at amortised cost to banks</t>
  </si>
  <si>
    <t>Cash and balances at central banks</t>
  </si>
  <si>
    <t>Assets</t>
  </si>
  <si>
    <t>Condensed consolidated balance sheet (unaudited)</t>
  </si>
  <si>
    <t>Other reserves and treasury shares</t>
  </si>
  <si>
    <t>Own credit reserve</t>
  </si>
  <si>
    <t>Cash flow hedging reserve</t>
  </si>
  <si>
    <t>Other Reserves</t>
  </si>
  <si>
    <t>Balance as at 30 September 2024</t>
  </si>
  <si>
    <t>Other movements</t>
  </si>
  <si>
    <t>Own credit realisation</t>
  </si>
  <si>
    <t>Repurchase of shares</t>
  </si>
  <si>
    <t>Dividends paid</t>
  </si>
  <si>
    <t>Vesting of employee share schemes</t>
  </si>
  <si>
    <t>Purchase of treasury shares</t>
  </si>
  <si>
    <t>Vesting of employee share scheme</t>
  </si>
  <si>
    <t>Other equity instruments coupons paid</t>
  </si>
  <si>
    <t>Issue and redemption of other equity instruments</t>
  </si>
  <si>
    <t>Employee share schemes and hedging thereof</t>
  </si>
  <si>
    <t>Total comprehensive income for the period</t>
  </si>
  <si>
    <t>Own credit</t>
  </si>
  <si>
    <t>Retirement benefit remeasurements</t>
  </si>
  <si>
    <t>Cash flow hedges</t>
  </si>
  <si>
    <t>Currency translation movements</t>
  </si>
  <si>
    <t>Balance as at 1 July 2024</t>
  </si>
  <si>
    <t>Three months ended 30.09.2024</t>
  </si>
  <si>
    <t>Purchase of Treasury shares</t>
  </si>
  <si>
    <t xml:space="preserve">Vesting of employee share scheme </t>
  </si>
  <si>
    <t>Balance as at 1 January 2024</t>
  </si>
  <si>
    <t>Nine months ended 30.09.2024</t>
  </si>
  <si>
    <t xml:space="preserve">
Total equity</t>
  </si>
  <si>
    <t xml:space="preserve">
Total</t>
  </si>
  <si>
    <t xml:space="preserve">
Retained earnings</t>
  </si>
  <si>
    <t>Condensed consolidated statement of changes in equity (unaudited)</t>
  </si>
  <si>
    <t>p</t>
  </si>
  <si>
    <t>Shares in issue</t>
  </si>
  <si>
    <t>m</t>
  </si>
  <si>
    <t>Tangible shareholders' equity attributable to ordinary shareholders of the parent</t>
  </si>
  <si>
    <t>Goodwill and intangibles</t>
  </si>
  <si>
    <t>As at</t>
  </si>
  <si>
    <t>Three months ended
30.09.24</t>
  </si>
  <si>
    <t>Nine months ended
30.09.24</t>
  </si>
  <si>
    <t>29.3p</t>
  </si>
  <si>
    <t>28.2p</t>
  </si>
  <si>
    <t>(0.7)p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</si>
</sst>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0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#,##0;\(#,##0\)"/>
    <numFmt numFmtId="324" formatCode="0&quot;p&quot;;\(0&quot;p&quot;\)"/>
    <numFmt numFmtId="325" formatCode="0.0%;\(0.0%\);&quot;-&quot;"/>
    <numFmt numFmtId="326" formatCode="#,##0.0,;\(#,##0.0,\);&quot;-&quot;"/>
    <numFmt numFmtId="327" formatCode="#,##0.0;\(#,##0.0\);&quot;-&quot;"/>
    <numFmt numFmtId="328" formatCode="dd\-mmm\-yyyy"/>
    <numFmt numFmtId="329" formatCode="0;\(0\)"/>
    <numFmt numFmtId="330" formatCode="#,##0.0,&quot;&quot;;&quot;£&quot;\(#,##0.0,&quot;bn&quot;\);&quot;-&quot;"/>
    <numFmt numFmtId="331" formatCode="#,##0;\(#,##0\);#,##0;_(@_)"/>
    <numFmt numFmtId="332" formatCode="#,##0;\(#,##0\);&quot;-&quot;;_(@_)"/>
    <numFmt numFmtId="333" formatCode="#0.0_)%;\(#0.0\)%;&quot;-&quot;_)\%;_(@_)"/>
    <numFmt numFmtId="334" formatCode="#,##0.0;\(#,##0.0\);&quot;-&quot;;_(@_)"/>
    <numFmt numFmtId="335" formatCode="#0%;&quot;-&quot;#0%;#0%;_(@_)"/>
    <numFmt numFmtId="336" formatCode="#0.0_)%;\(#0.0\)%;#0.0_)%;_(@_)"/>
    <numFmt numFmtId="337" formatCode="#0.0%;&quot;-&quot;#0.0%;#0.0%;_(@_)"/>
    <numFmt numFmtId="338" formatCode="#0&quot;p&quot;;&quot;-&quot;#0&quot;p&quot;;#0&quot;p&quot;;_(@_)"/>
    <numFmt numFmtId="339" formatCode="#0;\(#0\);#0;_(@_)"/>
    <numFmt numFmtId="340" formatCode="dd\.mm\.yy"/>
    <numFmt numFmtId="341" formatCode="#,##0;\(#,##0\);&quot;—&quot;;_(@_)"/>
    <numFmt numFmtId="342" formatCode="#,##0,;\(#,##0,\);&quot;-&quot;"/>
    <numFmt numFmtId="343" formatCode="#,##0.0\p;\(#,##0.0\p\);&quot;-&quot;"/>
    <numFmt numFmtId="344" formatCode="0%;\(0%\);&quot;-&quot;"/>
    <numFmt numFmtId="345" formatCode="0.0%;\(0.0%\)"/>
    <numFmt numFmtId="346" formatCode="#,##0;&quot;-&quot;#,##0;#,##0;_(@_)"/>
    <numFmt numFmtId="347" formatCode="#,##0.00;&quot;-&quot;#,##0.00;&quot;—&quot;;_(@_)"/>
    <numFmt numFmtId="348" formatCode="#0.0;\(#0.0\);#0.0;_(@_)"/>
    <numFmt numFmtId="349" formatCode="0.0%;\(0.0\)%;&quot;-&quot;"/>
    <numFmt numFmtId="350" formatCode="#0.0_)%;\(#0.0\)%;&quot;—&quot;_)\%;_(@_)"/>
    <numFmt numFmtId="351" formatCode="#,##0.0;\(#,##0.0\);&quot;—&quot;;_(@_)"/>
    <numFmt numFmtId="352" formatCode="#0;&quot;-&quot;#0;#0;_(@_)"/>
    <numFmt numFmtId="353" formatCode="#0.0&quot;p&quot;;&quot;-&quot;#0.0&quot;p&quot;;#0.0&quot;p&quot;;_(@_)"/>
    <numFmt numFmtId="354" formatCode="#,##0;&quot;-&quot;#,##0;&quot;—&quot;;_(@_)"/>
    <numFmt numFmtId="355" formatCode="#,##0.0;&quot;-&quot;#,##0.0;#,##0.0;_(@_)"/>
    <numFmt numFmtId="356" formatCode="#,##0.0;\(#,##0.0\);#,##0.0;_(@_)"/>
    <numFmt numFmtId="357" formatCode="#,##0.0_)&quot;%&quot;;\(#,##0.0\)&quot;%&quot;;&quot;—&quot;_)&quot;%&quot;;_(@_)"/>
    <numFmt numFmtId="358" formatCode="#0_)%;\(#0\)%;&quot;—&quot;_)\%;_(@_)"/>
    <numFmt numFmtId="359" formatCode="#,##0.00&quot;%&quot;;&quot;-&quot;#,##0.00&quot;%&quot;;#,##0.00&quot;%&quot;;_(@_)"/>
    <numFmt numFmtId="360" formatCode="#,##0.0,;&quot;-&quot;#,##0.0,;#,##0.0,;_(@_)"/>
    <numFmt numFmtId="361" formatCode="#,##0.0;&quot;-&quot;#,##0.0;&quot;—&quot;;_(@_)"/>
    <numFmt numFmtId="362" formatCode="#,##0.#######################;&quot;-&quot;#,##0.#######################;#,##0.#######################;_(@_)"/>
    <numFmt numFmtId="363" formatCode="#0.0;\(#0.0\);&quot;—&quot;;_(@_)"/>
    <numFmt numFmtId="364" formatCode="#0.#######################_)%;\(#0.#######################\)%;&quot;—&quot;_)\%;_(@_)"/>
    <numFmt numFmtId="365" formatCode="#,##0.00;&quot;-&quot;#,##0.00;#,##0.00;_(@_)"/>
    <numFmt numFmtId="366" formatCode="#,##0.00;\(#,##0.00\);#,##0.00;_(@_)"/>
    <numFmt numFmtId="367" formatCode="mm\.dd\.yy"/>
    <numFmt numFmtId="368" formatCode="* #,##0;* \(#,##0\);* &quot;—&quot;;_(@_)"/>
  </numFmts>
  <fonts count="41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sz val="8"/>
      <color theme="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sz val="8"/>
      <color rgb="FF00B0F0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rgb="FF40AEFF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10"/>
      <color rgb="FF000000"/>
      <name val="Arial"/>
      <family val="2"/>
    </font>
    <font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10"/>
      <name val="Arial"/>
      <family val="2"/>
    </font>
    <font>
      <b/>
      <sz val="8"/>
      <color rgb="FF40AEFF"/>
      <name val="Expert Sans Regular"/>
      <family val="2"/>
    </font>
    <font>
      <b/>
      <sz val="8"/>
      <name val="Expert Sans Regular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FFFFFF"/>
      <name val="Expert Sans Regular"/>
      <family val="2"/>
    </font>
    <font>
      <sz val="10"/>
      <color rgb="FF00B0F0"/>
      <name val="Expert Sans Regular"/>
      <family val="2"/>
    </font>
    <font>
      <sz val="8"/>
      <color rgb="FFEAEAEA"/>
      <name val="Expert Sans Regular"/>
      <family val="2"/>
    </font>
    <font>
      <b/>
      <sz val="8"/>
      <color rgb="FFFFFFFF"/>
      <name val="Expert Sans Regular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Expert Sans Regular"/>
      <family val="2"/>
    </font>
    <font>
      <b/>
      <sz val="10"/>
      <color rgb="FF00B0F0"/>
      <name val="Expert Sans Regular"/>
      <family val="2"/>
    </font>
    <font>
      <sz val="11"/>
      <color rgb="FF00B0F0"/>
      <name val="Expert Sans Regular"/>
      <family val="2"/>
    </font>
    <font>
      <sz val="11"/>
      <color rgb="FF000000"/>
      <name val="Calibri"/>
      <family val="2"/>
    </font>
    <font>
      <sz val="8"/>
      <color rgb="FF00AEEF"/>
      <name val="Expert Sans Regular"/>
      <family val="2"/>
    </font>
    <font>
      <b/>
      <sz val="8"/>
      <color rgb="FF00AE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b/>
      <sz val="8"/>
      <color rgb="FF00ADEF"/>
      <name val="Expert Sans Regular"/>
      <family val="2"/>
    </font>
    <font>
      <sz val="12"/>
      <color rgb="FF00B0F0"/>
      <name val="Expert Sans Regular"/>
      <family val="2"/>
    </font>
    <font>
      <b/>
      <sz val="12"/>
      <color rgb="FF00AEEF"/>
      <name val="Expert Sans Regular"/>
      <family val="2"/>
    </font>
    <font>
      <b/>
      <sz val="10"/>
      <color rgb="FF00AEEF"/>
      <name val="Expert Sans Regular"/>
      <family val="2"/>
    </font>
    <font>
      <sz val="8"/>
      <name val="Arial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sz val="10"/>
      <name val="Expert Sans Regular"/>
      <family val="2"/>
    </font>
    <font>
      <sz val="10"/>
      <color rgb="FFFFFFFF"/>
      <name val="Expert Sans Regular"/>
      <family val="2"/>
    </font>
  </fonts>
  <fills count="1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EDED"/>
        <bgColor indexed="64"/>
      </patternFill>
    </fill>
  </fills>
  <borders count="1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 style="thin">
        <color rgb="FF969696"/>
      </bottom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29292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29292"/>
      </top>
      <bottom style="medium">
        <color rgb="FF929292"/>
      </bottom>
      <diagonal/>
    </border>
    <border>
      <left/>
      <right/>
      <top style="medium">
        <color rgb="FF969696"/>
      </top>
      <bottom style="medium">
        <color rgb="FF969696"/>
      </bottom>
      <diagonal/>
    </border>
  </borders>
  <cellStyleXfs count="34769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0" fillId="59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0" fillId="61" borderId="0" applyNumberFormat="0" applyBorder="0" applyAlignment="0" applyProtection="0"/>
    <xf numFmtId="0" fontId="6" fillId="62" borderId="0" applyNumberFormat="0" applyBorder="0" applyAlignment="0" applyProtection="0"/>
    <xf numFmtId="0" fontId="329" fillId="63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4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5" borderId="0" applyNumberFormat="0" applyBorder="0" applyAlignment="0" applyProtection="0"/>
    <xf numFmtId="0" fontId="54" fillId="0" borderId="0"/>
    <xf numFmtId="0" fontId="333" fillId="66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39" fillId="0" borderId="83" applyNumberFormat="0" applyFill="0" applyAlignment="0" applyProtection="0"/>
    <xf numFmtId="0" fontId="332" fillId="67" borderId="84" applyNumberFormat="0" applyAlignment="0" applyProtection="0"/>
    <xf numFmtId="0" fontId="54" fillId="0" borderId="0"/>
    <xf numFmtId="0" fontId="6" fillId="68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9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6" borderId="84" applyNumberFormat="0" applyAlignment="0" applyProtection="0"/>
    <xf numFmtId="0" fontId="340" fillId="70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28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1" borderId="86" applyNumberFormat="0" applyAlignment="0" applyProtection="0"/>
    <xf numFmtId="0" fontId="331" fillId="72" borderId="0" applyNumberFormat="0" applyBorder="0" applyAlignment="0" applyProtection="0"/>
    <xf numFmtId="0" fontId="340" fillId="73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4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5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6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6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6" fillId="0" borderId="88" applyNumberFormat="0" applyFill="0" applyAlignment="0" applyProtection="0"/>
    <xf numFmtId="0" fontId="6" fillId="77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8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9" borderId="89" applyNumberFormat="0" applyFont="0" applyAlignment="0" applyProtection="0"/>
    <xf numFmtId="0" fontId="340" fillId="80" borderId="0" applyNumberFormat="0" applyBorder="0" applyAlignment="0" applyProtection="0"/>
    <xf numFmtId="0" fontId="340" fillId="81" borderId="0" applyNumberFormat="0" applyBorder="0" applyAlignment="0" applyProtection="0"/>
    <xf numFmtId="0" fontId="6" fillId="82" borderId="0" applyNumberFormat="0" applyBorder="0" applyAlignment="0" applyProtection="0"/>
    <xf numFmtId="328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3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6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7" borderId="0" applyNumberFormat="0" applyBorder="0" applyAlignment="0" applyProtection="0"/>
    <xf numFmtId="0" fontId="54" fillId="0" borderId="0"/>
    <xf numFmtId="0" fontId="332" fillId="67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0" fillId="88" borderId="0" applyNumberFormat="0" applyBorder="0" applyAlignment="0" applyProtection="0"/>
    <xf numFmtId="0" fontId="56" fillId="16" borderId="0" applyNumberFormat="0" applyBorder="0" applyAlignment="0" applyProtection="0"/>
    <xf numFmtId="0" fontId="330" fillId="89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90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2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77" borderId="0" applyNumberFormat="0" applyBorder="0" applyAlignment="0" applyProtection="0"/>
    <xf numFmtId="0" fontId="6" fillId="79" borderId="89" applyNumberFormat="0" applyFont="0" applyAlignment="0" applyProtection="0"/>
    <xf numFmtId="0" fontId="6" fillId="82" borderId="0" applyNumberFormat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6" fillId="0" borderId="0"/>
    <xf numFmtId="0" fontId="6" fillId="0" borderId="0"/>
    <xf numFmtId="0" fontId="6" fillId="86" borderId="0" applyNumberFormat="0" applyBorder="0" applyAlignment="0" applyProtection="0"/>
    <xf numFmtId="0" fontId="6" fillId="8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2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77" borderId="0" applyNumberFormat="0" applyBorder="0" applyAlignment="0" applyProtection="0"/>
    <xf numFmtId="0" fontId="6" fillId="79" borderId="89" applyNumberFormat="0" applyFont="0" applyAlignment="0" applyProtection="0"/>
    <xf numFmtId="0" fontId="6" fillId="82" borderId="0" applyNumberFormat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6" fillId="0" borderId="0"/>
    <xf numFmtId="0" fontId="6" fillId="0" borderId="0"/>
    <xf numFmtId="0" fontId="6" fillId="86" borderId="0" applyNumberFormat="0" applyBorder="0" applyAlignment="0" applyProtection="0"/>
    <xf numFmtId="0" fontId="6" fillId="8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6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6" borderId="0" applyNumberFormat="0" applyBorder="0" applyAlignment="0" applyProtection="0"/>
    <xf numFmtId="0" fontId="54" fillId="8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54" fillId="7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7" borderId="0" applyNumberFormat="0" applyBorder="0" applyAlignment="0" applyProtection="0"/>
    <xf numFmtId="0" fontId="54" fillId="68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54" fillId="8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" borderId="0" applyNumberFormat="0" applyBorder="0" applyAlignment="0" applyProtection="0"/>
    <xf numFmtId="0" fontId="54" fillId="8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9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9" borderId="0" applyNumberFormat="0" applyBorder="0" applyAlignment="0" applyProtection="0"/>
    <xf numFmtId="0" fontId="54" fillId="64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10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0" borderId="0" applyNumberFormat="0" applyBorder="0" applyAlignment="0" applyProtection="0"/>
    <xf numFmtId="0" fontId="54" fillId="7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11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11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11" borderId="0" applyNumberFormat="0" applyBorder="0" applyAlignment="0" applyProtection="0"/>
    <xf numFmtId="0" fontId="54" fillId="8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12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12" borderId="0" applyNumberFormat="0" applyBorder="0" applyAlignment="0" applyProtection="0"/>
    <xf numFmtId="0" fontId="54" fillId="65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54" fillId="13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13" borderId="0" applyNumberFormat="0" applyBorder="0" applyAlignment="0" applyProtection="0"/>
    <xf numFmtId="0" fontId="54" fillId="7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14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4" borderId="0" applyNumberFormat="0" applyBorder="0" applyAlignment="0" applyProtection="0"/>
    <xf numFmtId="0" fontId="54" fillId="87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9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9" borderId="0" applyNumberFormat="0" applyBorder="0" applyAlignment="0" applyProtection="0"/>
    <xf numFmtId="0" fontId="54" fillId="86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54" fillId="1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2" borderId="0" applyNumberFormat="0" applyBorder="0" applyAlignment="0" applyProtection="0"/>
    <xf numFmtId="0" fontId="54" fillId="62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5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5" borderId="0" applyNumberFormat="0" applyBorder="0" applyAlignment="0" applyProtection="0"/>
    <xf numFmtId="0" fontId="54" fillId="74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1" fillId="89" borderId="0" applyNumberFormat="0" applyBorder="0" applyAlignment="0" applyProtection="0"/>
    <xf numFmtId="0" fontId="341" fillId="89" borderId="0" applyNumberFormat="0" applyBorder="0" applyAlignment="0" applyProtection="0"/>
    <xf numFmtId="0" fontId="341" fillId="89" borderId="0" applyNumberFormat="0" applyBorder="0" applyAlignment="0" applyProtection="0"/>
    <xf numFmtId="0" fontId="341" fillId="89" borderId="0" applyNumberFormat="0" applyBorder="0" applyAlignment="0" applyProtection="0"/>
    <xf numFmtId="0" fontId="65" fillId="7" borderId="0" applyNumberFormat="0" applyBorder="0" applyAlignment="0" applyProtection="0"/>
    <xf numFmtId="0" fontId="341" fillId="89" borderId="0" applyNumberFormat="0" applyBorder="0" applyAlignment="0" applyProtection="0"/>
    <xf numFmtId="0" fontId="65" fillId="7" borderId="0" applyNumberFormat="0" applyBorder="0" applyAlignment="0" applyProtection="0"/>
    <xf numFmtId="0" fontId="341" fillId="89" borderId="0" applyNumberFormat="0" applyBorder="0" applyAlignment="0" applyProtection="0"/>
    <xf numFmtId="0" fontId="341" fillId="89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9" borderId="0" applyNumberFormat="0" applyBorder="0" applyAlignment="0" applyProtection="0"/>
    <xf numFmtId="0" fontId="45" fillId="2" borderId="12">
      <alignment horizontal="center"/>
    </xf>
    <xf numFmtId="0" fontId="342" fillId="66" borderId="84" applyNumberFormat="0" applyAlignment="0" applyProtection="0"/>
    <xf numFmtId="0" fontId="93" fillId="2" borderId="22" applyNumberFormat="0" applyAlignment="0" applyProtection="0"/>
    <xf numFmtId="0" fontId="342" fillId="66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6" borderId="84" applyNumberFormat="0" applyAlignment="0" applyProtection="0"/>
    <xf numFmtId="0" fontId="93" fillId="2" borderId="22" applyNumberFormat="0" applyAlignment="0" applyProtection="0"/>
    <xf numFmtId="0" fontId="342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6" borderId="84" applyNumberFormat="0" applyAlignment="0" applyProtection="0"/>
    <xf numFmtId="0" fontId="93" fillId="2" borderId="22" applyNumberFormat="0" applyAlignment="0" applyProtection="0"/>
    <xf numFmtId="0" fontId="342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6" borderId="84" applyNumberFormat="0" applyAlignment="0" applyProtection="0"/>
    <xf numFmtId="0" fontId="342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6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3" borderId="0" applyNumberFormat="0" applyBorder="0" applyAlignment="0" applyProtection="0"/>
    <xf numFmtId="0" fontId="344" fillId="63" borderId="0" applyNumberFormat="0" applyBorder="0" applyAlignment="0" applyProtection="0"/>
    <xf numFmtId="0" fontId="344" fillId="63" borderId="0" applyNumberFormat="0" applyBorder="0" applyAlignment="0" applyProtection="0"/>
    <xf numFmtId="0" fontId="344" fillId="63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3" borderId="0" applyNumberFormat="0" applyBorder="0" applyAlignment="0" applyProtection="0"/>
    <xf numFmtId="0" fontId="344" fillId="63" borderId="0" applyNumberFormat="0" applyBorder="0" applyAlignment="0" applyProtection="0"/>
    <xf numFmtId="0" fontId="129" fillId="8" borderId="0" applyNumberFormat="0" applyBorder="0" applyAlignment="0" applyProtection="0"/>
    <xf numFmtId="0" fontId="344" fillId="63" borderId="0" applyNumberFormat="0" applyBorder="0" applyAlignment="0" applyProtection="0"/>
    <xf numFmtId="0" fontId="344" fillId="63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3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1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2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3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2" borderId="0" applyNumberFormat="0" applyBorder="0" applyAlignment="0" applyProtection="0"/>
    <xf numFmtId="0" fontId="350" fillId="72" borderId="0" applyNumberFormat="0" applyBorder="0" applyAlignment="0" applyProtection="0"/>
    <xf numFmtId="0" fontId="350" fillId="72" borderId="0" applyNumberFormat="0" applyBorder="0" applyAlignment="0" applyProtection="0"/>
    <xf numFmtId="0" fontId="162" fillId="3" borderId="0" applyNumberFormat="0" applyBorder="0" applyAlignment="0" applyProtection="0"/>
    <xf numFmtId="0" fontId="350" fillId="72" borderId="0" applyNumberFormat="0" applyBorder="0" applyAlignment="0" applyProtection="0"/>
    <xf numFmtId="0" fontId="162" fillId="3" borderId="0" applyNumberFormat="0" applyBorder="0" applyAlignment="0" applyProtection="0"/>
    <xf numFmtId="0" fontId="350" fillId="72" borderId="0" applyNumberFormat="0" applyBorder="0" applyAlignment="0" applyProtection="0"/>
    <xf numFmtId="0" fontId="350" fillId="72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2" borderId="0" applyNumberFormat="0" applyBorder="0" applyAlignment="0" applyProtection="0"/>
    <xf numFmtId="0" fontId="350" fillId="7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125" fillId="4" borderId="47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51" fillId="66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6" borderId="82" applyNumberFormat="0" applyAlignment="0" applyProtection="0"/>
    <xf numFmtId="0" fontId="351" fillId="66" borderId="82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6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40" fillId="114" borderId="0" applyNumberFormat="0" applyBorder="0" applyAlignment="0" applyProtection="0"/>
    <xf numFmtId="0" fontId="330" fillId="115" borderId="0" applyNumberFormat="0" applyBorder="0" applyAlignment="0" applyProtection="0"/>
    <xf numFmtId="0" fontId="334" fillId="116" borderId="84" applyNumberFormat="0" applyAlignment="0" applyProtection="0"/>
    <xf numFmtId="0" fontId="336" fillId="117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8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9" borderId="84" applyNumberFormat="0" applyAlignment="0" applyProtection="0"/>
    <xf numFmtId="0" fontId="335" fillId="0" borderId="90" applyNumberFormat="0" applyFill="0" applyAlignment="0" applyProtection="0"/>
    <xf numFmtId="0" fontId="331" fillId="120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1" borderId="89" applyNumberFormat="0" applyFont="0" applyAlignment="0" applyProtection="0"/>
    <xf numFmtId="0" fontId="333" fillId="116" borderId="82" applyNumberFormat="0" applyAlignment="0" applyProtection="0"/>
    <xf numFmtId="9" fontId="321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7" borderId="0" applyNumberFormat="0" applyBorder="0" applyAlignment="0" applyProtection="0"/>
    <xf numFmtId="43" fontId="29" fillId="0" borderId="0" applyFont="0" applyFill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43" fontId="29" fillId="0" borderId="0" applyFont="0" applyFill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62" fillId="0" borderId="0" applyBorder="0">
      <alignment wrapText="1"/>
    </xf>
    <xf numFmtId="0" fontId="378" fillId="0" borderId="0"/>
    <xf numFmtId="0" fontId="375" fillId="0" borderId="0" applyBorder="0">
      <alignment wrapText="1"/>
    </xf>
    <xf numFmtId="0" fontId="381" fillId="0" borderId="0"/>
    <xf numFmtId="0" fontId="382" fillId="0" borderId="0" applyBorder="0">
      <alignment wrapText="1"/>
    </xf>
    <xf numFmtId="0" fontId="383" fillId="0" borderId="0"/>
    <xf numFmtId="0" fontId="384" fillId="0" borderId="0" applyBorder="0">
      <alignment wrapText="1"/>
    </xf>
    <xf numFmtId="0" fontId="371" fillId="0" borderId="0" applyBorder="0">
      <alignment horizontal="right" wrapText="1"/>
    </xf>
    <xf numFmtId="0" fontId="393" fillId="0" borderId="0" applyBorder="0">
      <alignment wrapText="1"/>
    </xf>
    <xf numFmtId="0" fontId="371" fillId="0" borderId="0" applyBorder="0">
      <alignment wrapText="1"/>
    </xf>
  </cellStyleXfs>
  <cellXfs count="1155">
    <xf numFmtId="0" fontId="0" fillId="0" borderId="0" xfId="0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68" fontId="248" fillId="0" borderId="0" xfId="3010" applyNumberFormat="1" applyFont="1" applyAlignment="1">
      <alignment vertical="center"/>
    </xf>
    <xf numFmtId="168" fontId="248" fillId="58" borderId="0" xfId="3010" applyNumberFormat="1" applyFont="1" applyFill="1" applyAlignment="1">
      <alignment horizontal="center" vertical="center"/>
    </xf>
    <xf numFmtId="168" fontId="317" fillId="0" borderId="0" xfId="0" applyNumberFormat="1" applyFont="1" applyAlignment="1">
      <alignment horizontal="right" vertical="center" wrapText="1"/>
    </xf>
    <xf numFmtId="168" fontId="251" fillId="0" borderId="0" xfId="0" applyNumberFormat="1" applyFont="1" applyAlignment="1">
      <alignment horizontal="right" vertical="center" wrapText="1"/>
    </xf>
    <xf numFmtId="168" fontId="252" fillId="0" borderId="0" xfId="0" applyNumberFormat="1" applyFont="1" applyAlignment="1">
      <alignment horizontal="right" vertical="center" wrapText="1"/>
    </xf>
    <xf numFmtId="0" fontId="321" fillId="0" borderId="0" xfId="16678"/>
    <xf numFmtId="0" fontId="24" fillId="0" borderId="0" xfId="15472" applyFont="1" applyAlignment="1">
      <alignment vertical="center"/>
    </xf>
    <xf numFmtId="0" fontId="317" fillId="60" borderId="0" xfId="0" applyFont="1" applyFill="1" applyAlignment="1">
      <alignment vertical="center" wrapText="1"/>
    </xf>
    <xf numFmtId="299" fontId="248" fillId="0" borderId="0" xfId="2979" applyNumberFormat="1" applyFont="1" applyAlignment="1">
      <alignment horizontal="right" vertical="center" wrapText="1"/>
    </xf>
    <xf numFmtId="168" fontId="250" fillId="0" borderId="0" xfId="2988" applyNumberFormat="1" applyFont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Alignment="1">
      <alignment horizontal="center" vertical="center"/>
    </xf>
    <xf numFmtId="0" fontId="0" fillId="0" borderId="0" xfId="0" applyAlignment="1">
      <alignment horizontal="right" wrapText="1"/>
    </xf>
    <xf numFmtId="9" fontId="248" fillId="0" borderId="0" xfId="3010" applyNumberFormat="1" applyFont="1" applyAlignment="1">
      <alignment vertical="center"/>
    </xf>
    <xf numFmtId="325" fontId="248" fillId="0" borderId="0" xfId="3010" applyNumberFormat="1" applyFont="1" applyAlignment="1">
      <alignment vertical="center"/>
    </xf>
    <xf numFmtId="0" fontId="322" fillId="0" borderId="0" xfId="3010" applyFont="1" applyAlignment="1">
      <alignment vertical="center"/>
    </xf>
    <xf numFmtId="0" fontId="315" fillId="60" borderId="0" xfId="0" applyFont="1" applyFill="1" applyAlignment="1">
      <alignment horizontal="right" wrapText="1"/>
    </xf>
    <xf numFmtId="9" fontId="317" fillId="0" borderId="0" xfId="3010" applyNumberFormat="1" applyFont="1" applyAlignment="1">
      <alignment horizontal="right" vertical="center"/>
    </xf>
    <xf numFmtId="9" fontId="248" fillId="0" borderId="0" xfId="3010" applyNumberFormat="1" applyFont="1" applyAlignment="1">
      <alignment horizontal="right" vertical="center"/>
    </xf>
    <xf numFmtId="0" fontId="248" fillId="0" borderId="0" xfId="3010" applyFont="1" applyAlignment="1">
      <alignment vertical="center" wrapText="1"/>
    </xf>
    <xf numFmtId="329" fontId="248" fillId="0" borderId="0" xfId="3010" applyNumberFormat="1" applyFont="1" applyAlignment="1">
      <alignment horizontal="right" vertical="center"/>
    </xf>
    <xf numFmtId="168" fontId="248" fillId="0" borderId="0" xfId="2988" applyNumberFormat="1" applyFont="1" applyAlignment="1">
      <alignment horizontal="right" vertical="center"/>
    </xf>
    <xf numFmtId="0" fontId="248" fillId="0" borderId="0" xfId="2988" applyFont="1" applyAlignment="1">
      <alignment vertical="center"/>
    </xf>
    <xf numFmtId="0" fontId="315" fillId="60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60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Border="1" applyAlignment="1">
      <alignment horizontal="right" vertical="center"/>
    </xf>
    <xf numFmtId="0" fontId="248" fillId="60" borderId="0" xfId="3010" applyFont="1" applyFill="1" applyAlignment="1">
      <alignment vertical="center" wrapText="1"/>
    </xf>
    <xf numFmtId="168" fontId="248" fillId="54" borderId="0" xfId="3010" applyNumberFormat="1" applyFont="1" applyFill="1" applyAlignment="1">
      <alignment horizontal="right" vertical="center"/>
    </xf>
    <xf numFmtId="330" fontId="248" fillId="0" borderId="0" xfId="3010" applyNumberFormat="1" applyFont="1" applyAlignment="1">
      <alignment horizontal="right" vertical="center" wrapText="1"/>
    </xf>
    <xf numFmtId="0" fontId="355" fillId="0" borderId="0" xfId="3010" applyFont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Border="1" applyAlignment="1">
      <alignment horizontal="right" vertical="center"/>
    </xf>
    <xf numFmtId="168" fontId="248" fillId="0" borderId="0" xfId="3010" applyNumberFormat="1" applyFont="1" applyAlignment="1">
      <alignment horizontal="right" vertical="center"/>
    </xf>
    <xf numFmtId="168" fontId="248" fillId="0" borderId="71" xfId="3010" applyNumberFormat="1" applyFont="1" applyBorder="1" applyAlignment="1">
      <alignment horizontal="right" vertical="center"/>
    </xf>
    <xf numFmtId="0" fontId="317" fillId="0" borderId="0" xfId="0" applyFont="1" applyAlignment="1">
      <alignment vertical="center" wrapText="1"/>
    </xf>
    <xf numFmtId="326" fontId="248" fillId="0" borderId="0" xfId="0" applyNumberFormat="1" applyFont="1" applyAlignment="1">
      <alignment horizontal="right" vertical="center" wrapText="1"/>
    </xf>
    <xf numFmtId="323" fontId="322" fillId="0" borderId="0" xfId="2979" applyNumberFormat="1" applyFont="1" applyAlignment="1">
      <alignment vertical="center" wrapText="1"/>
    </xf>
    <xf numFmtId="324" fontId="248" fillId="0" borderId="0" xfId="3010" applyNumberFormat="1" applyFont="1" applyAlignment="1">
      <alignment vertical="center"/>
    </xf>
    <xf numFmtId="0" fontId="315" fillId="0" borderId="0" xfId="2979" applyFont="1" applyAlignment="1">
      <alignment horizontal="right"/>
    </xf>
    <xf numFmtId="168" fontId="248" fillId="55" borderId="0" xfId="2988" applyNumberFormat="1" applyFont="1" applyFill="1" applyAlignment="1">
      <alignment horizontal="right" vertical="center" wrapText="1"/>
    </xf>
    <xf numFmtId="0" fontId="248" fillId="0" borderId="0" xfId="2988" applyFont="1" applyAlignment="1">
      <alignment horizontal="right" vertical="center" wrapText="1"/>
    </xf>
    <xf numFmtId="325" fontId="248" fillId="0" borderId="0" xfId="2988" applyNumberFormat="1" applyFont="1" applyAlignment="1">
      <alignment horizontal="right" vertical="center" wrapText="1"/>
    </xf>
    <xf numFmtId="168" fontId="248" fillId="0" borderId="0" xfId="2988" applyNumberFormat="1" applyFont="1" applyAlignment="1">
      <alignment horizontal="right" vertical="center" wrapText="1"/>
    </xf>
    <xf numFmtId="0" fontId="316" fillId="0" borderId="71" xfId="3010" applyFont="1" applyBorder="1" applyAlignment="1">
      <alignment horizontal="right" vertical="center"/>
    </xf>
    <xf numFmtId="332" fontId="356" fillId="60" borderId="0" xfId="0" applyNumberFormat="1" applyFont="1" applyFill="1" applyAlignment="1">
      <alignment horizontal="right" vertical="center" wrapText="1"/>
    </xf>
    <xf numFmtId="0" fontId="356" fillId="60" borderId="70" xfId="0" applyFont="1" applyFill="1" applyBorder="1" applyAlignment="1">
      <alignment vertical="center" wrapText="1"/>
    </xf>
    <xf numFmtId="0" fontId="356" fillId="60" borderId="71" xfId="0" applyFont="1" applyFill="1" applyBorder="1" applyAlignment="1">
      <alignment vertical="center" wrapText="1"/>
    </xf>
    <xf numFmtId="0" fontId="357" fillId="60" borderId="70" xfId="0" applyFont="1" applyFill="1" applyBorder="1" applyAlignment="1">
      <alignment vertical="center" wrapText="1"/>
    </xf>
    <xf numFmtId="0" fontId="356" fillId="60" borderId="0" xfId="0" applyFont="1" applyFill="1" applyAlignment="1">
      <alignment vertical="center" wrapText="1"/>
    </xf>
    <xf numFmtId="0" fontId="356" fillId="60" borderId="0" xfId="0" applyFont="1" applyFill="1" applyAlignment="1">
      <alignment horizontal="right" vertical="center" wrapText="1"/>
    </xf>
    <xf numFmtId="0" fontId="358" fillId="60" borderId="71" xfId="0" applyFont="1" applyFill="1" applyBorder="1" applyAlignment="1">
      <alignment vertical="center" wrapText="1"/>
    </xf>
    <xf numFmtId="0" fontId="359" fillId="60" borderId="0" xfId="0" applyFont="1" applyFill="1" applyAlignment="1">
      <alignment horizontal="right" wrapText="1"/>
    </xf>
    <xf numFmtId="0" fontId="250" fillId="0" borderId="71" xfId="2988" applyFont="1" applyBorder="1" applyAlignment="1">
      <alignment vertical="center"/>
    </xf>
    <xf numFmtId="0" fontId="356" fillId="0" borderId="0" xfId="0" applyFont="1" applyAlignment="1">
      <alignment vertical="center" wrapText="1"/>
    </xf>
    <xf numFmtId="332" fontId="248" fillId="60" borderId="0" xfId="0" applyNumberFormat="1" applyFont="1" applyFill="1" applyAlignment="1">
      <alignment horizontal="right" vertical="center" wrapText="1"/>
    </xf>
    <xf numFmtId="334" fontId="248" fillId="0" borderId="0" xfId="3010" applyNumberFormat="1" applyFont="1" applyAlignment="1">
      <alignment vertical="center"/>
    </xf>
    <xf numFmtId="327" fontId="248" fillId="0" borderId="0" xfId="3010" applyNumberFormat="1" applyFont="1" applyAlignment="1">
      <alignment vertical="center"/>
    </xf>
    <xf numFmtId="325" fontId="317" fillId="60" borderId="0" xfId="3010" quotePrefix="1" applyNumberFormat="1" applyFont="1" applyFill="1" applyAlignment="1">
      <alignment horizontal="right" vertical="center"/>
    </xf>
    <xf numFmtId="0" fontId="318" fillId="60" borderId="70" xfId="0" applyFont="1" applyFill="1" applyBorder="1" applyAlignment="1">
      <alignment vertical="center" wrapText="1"/>
    </xf>
    <xf numFmtId="0" fontId="317" fillId="60" borderId="0" xfId="0" applyFont="1" applyFill="1" applyAlignment="1">
      <alignment horizontal="right" vertical="center" wrapText="1"/>
    </xf>
    <xf numFmtId="332" fontId="317" fillId="60" borderId="0" xfId="0" applyNumberFormat="1" applyFont="1" applyFill="1" applyAlignment="1">
      <alignment horizontal="right" vertical="center" wrapText="1"/>
    </xf>
    <xf numFmtId="337" fontId="317" fillId="60" borderId="0" xfId="0" applyNumberFormat="1" applyFont="1" applyFill="1" applyAlignment="1">
      <alignment horizontal="right" vertical="center" wrapText="1"/>
    </xf>
    <xf numFmtId="334" fontId="317" fillId="60" borderId="0" xfId="0" applyNumberFormat="1" applyFont="1" applyFill="1" applyAlignment="1">
      <alignment horizontal="right" vertical="center" wrapText="1"/>
    </xf>
    <xf numFmtId="338" fontId="317" fillId="60" borderId="0" xfId="0" applyNumberFormat="1" applyFont="1" applyFill="1" applyAlignment="1">
      <alignment horizontal="right" vertical="center" wrapText="1"/>
    </xf>
    <xf numFmtId="332" fontId="248" fillId="0" borderId="0" xfId="3010" applyNumberFormat="1" applyFont="1" applyAlignment="1">
      <alignment vertical="center"/>
    </xf>
    <xf numFmtId="167" fontId="248" fillId="0" borderId="0" xfId="4" applyFont="1" applyFill="1" applyAlignment="1">
      <alignment vertical="center"/>
    </xf>
    <xf numFmtId="9" fontId="317" fillId="60" borderId="0" xfId="1" applyFont="1" applyFill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60" borderId="70" xfId="1" applyNumberFormat="1" applyFont="1" applyFill="1" applyBorder="1" applyAlignment="1">
      <alignment horizontal="right" vertical="center" wrapText="1"/>
    </xf>
    <xf numFmtId="332" fontId="317" fillId="54" borderId="0" xfId="0" applyNumberFormat="1" applyFont="1" applyFill="1" applyAlignment="1">
      <alignment horizontal="right" vertical="center" wrapText="1"/>
    </xf>
    <xf numFmtId="9" fontId="317" fillId="60" borderId="0" xfId="0" applyNumberFormat="1" applyFont="1" applyFill="1" applyAlignment="1">
      <alignment horizontal="right" vertical="center" wrapText="1"/>
    </xf>
    <xf numFmtId="0" fontId="317" fillId="60" borderId="71" xfId="0" applyFont="1" applyFill="1" applyBorder="1" applyAlignment="1">
      <alignment vertical="center" wrapText="1"/>
    </xf>
    <xf numFmtId="323" fontId="322" fillId="0" borderId="0" xfId="2979" applyNumberFormat="1" applyFont="1" applyAlignment="1">
      <alignment horizontal="left" vertical="center" wrapText="1"/>
    </xf>
    <xf numFmtId="0" fontId="316" fillId="60" borderId="71" xfId="0" applyFont="1" applyFill="1" applyBorder="1" applyAlignment="1">
      <alignment horizontal="right" wrapText="1"/>
    </xf>
    <xf numFmtId="0" fontId="316" fillId="60" borderId="0" xfId="0" applyFont="1" applyFill="1" applyAlignment="1">
      <alignment horizontal="right" wrapText="1"/>
    </xf>
    <xf numFmtId="0" fontId="322" fillId="60" borderId="0" xfId="0" applyFont="1" applyFill="1" applyAlignment="1">
      <alignment horizontal="left" vertical="center" wrapText="1"/>
    </xf>
    <xf numFmtId="0" fontId="361" fillId="60" borderId="0" xfId="0" applyFont="1" applyFill="1" applyAlignment="1">
      <alignment vertical="center" wrapText="1"/>
    </xf>
    <xf numFmtId="10" fontId="356" fillId="60" borderId="0" xfId="1" applyNumberFormat="1" applyFont="1" applyFill="1" applyAlignment="1">
      <alignment horizontal="right" vertical="center" wrapText="1"/>
    </xf>
    <xf numFmtId="340" fontId="315" fillId="60" borderId="0" xfId="0" applyNumberFormat="1" applyFont="1" applyFill="1" applyAlignment="1">
      <alignment horizontal="right" wrapText="1"/>
    </xf>
    <xf numFmtId="0" fontId="319" fillId="60" borderId="71" xfId="0" applyFont="1" applyFill="1" applyBorder="1" applyAlignment="1">
      <alignment vertical="center" wrapText="1"/>
    </xf>
    <xf numFmtId="0" fontId="248" fillId="0" borderId="0" xfId="0" applyFont="1" applyAlignment="1">
      <alignment vertical="center" wrapText="1"/>
    </xf>
    <xf numFmtId="332" fontId="250" fillId="0" borderId="0" xfId="3010" applyNumberFormat="1" applyFont="1" applyAlignment="1">
      <alignment vertical="center"/>
    </xf>
    <xf numFmtId="334" fontId="361" fillId="0" borderId="0" xfId="15472" applyNumberFormat="1" applyFont="1" applyAlignment="1">
      <alignment vertical="center"/>
    </xf>
    <xf numFmtId="0" fontId="317" fillId="55" borderId="0" xfId="0" applyFont="1" applyFill="1" applyAlignment="1">
      <alignment horizontal="right" wrapText="1"/>
    </xf>
    <xf numFmtId="168" fontId="356" fillId="60" borderId="0" xfId="0" applyNumberFormat="1" applyFont="1" applyFill="1" applyAlignment="1">
      <alignment horizontal="right" vertical="center" wrapText="1"/>
    </xf>
    <xf numFmtId="168" fontId="357" fillId="60" borderId="0" xfId="0" applyNumberFormat="1" applyFont="1" applyFill="1" applyAlignment="1">
      <alignment horizontal="right" vertical="center" wrapText="1"/>
    </xf>
    <xf numFmtId="327" fontId="317" fillId="60" borderId="0" xfId="0" applyNumberFormat="1" applyFont="1" applyFill="1" applyAlignment="1">
      <alignment horizontal="right" vertical="center" wrapText="1"/>
    </xf>
    <xf numFmtId="327" fontId="317" fillId="60" borderId="70" xfId="0" applyNumberFormat="1" applyFont="1" applyFill="1" applyBorder="1" applyAlignment="1">
      <alignment horizontal="right" vertical="center" wrapText="1"/>
    </xf>
    <xf numFmtId="327" fontId="317" fillId="54" borderId="70" xfId="0" applyNumberFormat="1" applyFont="1" applyFill="1" applyBorder="1" applyAlignment="1">
      <alignment horizontal="right" vertical="center" wrapText="1"/>
    </xf>
    <xf numFmtId="327" fontId="317" fillId="54" borderId="0" xfId="0" applyNumberFormat="1" applyFont="1" applyFill="1" applyAlignment="1">
      <alignment horizontal="right" vertical="center" wrapText="1"/>
    </xf>
    <xf numFmtId="327" fontId="318" fillId="60" borderId="70" xfId="0" applyNumberFormat="1" applyFont="1" applyFill="1" applyBorder="1" applyAlignment="1">
      <alignment horizontal="right" vertical="center" wrapText="1"/>
    </xf>
    <xf numFmtId="0" fontId="317" fillId="0" borderId="70" xfId="0" applyFont="1" applyBorder="1" applyAlignment="1">
      <alignment vertical="center" wrapText="1"/>
    </xf>
    <xf numFmtId="323" fontId="316" fillId="0" borderId="0" xfId="2979" applyNumberFormat="1" applyFont="1" applyAlignment="1">
      <alignment horizontal="right"/>
    </xf>
    <xf numFmtId="0" fontId="318" fillId="55" borderId="0" xfId="0" applyFont="1" applyFill="1" applyAlignment="1">
      <alignment horizontal="right" vertical="center" wrapText="1"/>
    </xf>
    <xf numFmtId="339" fontId="317" fillId="55" borderId="0" xfId="0" applyNumberFormat="1" applyFont="1" applyFill="1" applyAlignment="1">
      <alignment horizontal="right" vertical="center" wrapText="1"/>
    </xf>
    <xf numFmtId="168" fontId="317" fillId="60" borderId="0" xfId="0" applyNumberFormat="1" applyFont="1" applyFill="1" applyAlignment="1">
      <alignment horizontal="right" vertical="center" wrapText="1"/>
    </xf>
    <xf numFmtId="168" fontId="318" fillId="60" borderId="0" xfId="0" applyNumberFormat="1" applyFont="1" applyFill="1" applyAlignment="1">
      <alignment horizontal="right" vertical="center" wrapText="1"/>
    </xf>
    <xf numFmtId="0" fontId="318" fillId="60" borderId="0" xfId="0" applyFont="1" applyFill="1" applyAlignment="1">
      <alignment vertical="center" wrapText="1"/>
    </xf>
    <xf numFmtId="0" fontId="318" fillId="60" borderId="0" xfId="0" applyFont="1" applyFill="1" applyAlignment="1">
      <alignment horizontal="right" vertical="center" wrapText="1"/>
    </xf>
    <xf numFmtId="0" fontId="317" fillId="60" borderId="71" xfId="0" applyFont="1" applyFill="1" applyBorder="1" applyAlignment="1">
      <alignment wrapText="1"/>
    </xf>
    <xf numFmtId="0" fontId="318" fillId="60" borderId="71" xfId="0" applyFont="1" applyFill="1" applyBorder="1" applyAlignment="1">
      <alignment horizontal="right" wrapText="1"/>
    </xf>
    <xf numFmtId="0" fontId="323" fillId="0" borderId="0" xfId="0" applyFont="1" applyAlignment="1">
      <alignment vertical="center"/>
    </xf>
    <xf numFmtId="0" fontId="318" fillId="60" borderId="0" xfId="2980" applyFont="1" applyFill="1" applyAlignment="1">
      <alignment vertical="center" wrapText="1"/>
    </xf>
    <xf numFmtId="0" fontId="317" fillId="60" borderId="70" xfId="2980" applyFont="1" applyFill="1" applyBorder="1" applyAlignment="1">
      <alignment vertical="center" wrapText="1"/>
    </xf>
    <xf numFmtId="168" fontId="317" fillId="54" borderId="70" xfId="2980" applyNumberFormat="1" applyFont="1" applyFill="1" applyBorder="1" applyAlignment="1">
      <alignment horizontal="right" vertical="center" wrapText="1"/>
    </xf>
    <xf numFmtId="168" fontId="317" fillId="0" borderId="70" xfId="2980" applyNumberFormat="1" applyFont="1" applyBorder="1" applyAlignment="1">
      <alignment horizontal="right" vertical="center" wrapText="1"/>
    </xf>
    <xf numFmtId="0" fontId="317" fillId="60" borderId="0" xfId="2980" applyFont="1" applyFill="1" applyAlignment="1">
      <alignment vertical="center" wrapText="1"/>
    </xf>
    <xf numFmtId="0" fontId="318" fillId="60" borderId="70" xfId="2980" applyFont="1" applyFill="1" applyBorder="1" applyAlignment="1">
      <alignment vertical="center" wrapText="1"/>
    </xf>
    <xf numFmtId="0" fontId="317" fillId="60" borderId="71" xfId="2980" applyFont="1" applyFill="1" applyBorder="1" applyAlignment="1">
      <alignment vertical="center" wrapText="1"/>
    </xf>
    <xf numFmtId="0" fontId="319" fillId="60" borderId="71" xfId="2980" applyFont="1" applyFill="1" applyBorder="1" applyAlignment="1">
      <alignment vertical="center" wrapText="1"/>
    </xf>
    <xf numFmtId="0" fontId="317" fillId="0" borderId="70" xfId="2980" applyFont="1" applyBorder="1" applyAlignment="1">
      <alignment vertical="center" wrapText="1"/>
    </xf>
    <xf numFmtId="0" fontId="317" fillId="0" borderId="0" xfId="2980" applyFont="1" applyAlignment="1">
      <alignment vertical="center" wrapText="1"/>
    </xf>
    <xf numFmtId="334" fontId="317" fillId="54" borderId="0" xfId="2980" applyNumberFormat="1" applyFont="1" applyFill="1" applyAlignment="1">
      <alignment horizontal="right" vertical="center" wrapText="1"/>
    </xf>
    <xf numFmtId="334" fontId="317" fillId="60" borderId="0" xfId="2980" applyNumberFormat="1" applyFont="1" applyFill="1" applyAlignment="1">
      <alignment horizontal="right" vertical="center" wrapText="1"/>
    </xf>
    <xf numFmtId="332" fontId="317" fillId="54" borderId="0" xfId="2980" applyNumberFormat="1" applyFont="1" applyFill="1" applyAlignment="1">
      <alignment horizontal="right" vertical="center" wrapText="1"/>
    </xf>
    <xf numFmtId="0" fontId="315" fillId="60" borderId="0" xfId="2980" applyFont="1" applyFill="1" applyAlignment="1">
      <alignment horizontal="right" wrapText="1"/>
    </xf>
    <xf numFmtId="0" fontId="316" fillId="60" borderId="71" xfId="2980" applyFont="1" applyFill="1" applyBorder="1" applyAlignment="1">
      <alignment horizontal="right" wrapText="1"/>
    </xf>
    <xf numFmtId="334" fontId="317" fillId="54" borderId="70" xfId="2980" applyNumberFormat="1" applyFont="1" applyFill="1" applyBorder="1" applyAlignment="1">
      <alignment horizontal="right" vertical="center" wrapText="1"/>
    </xf>
    <xf numFmtId="0" fontId="318" fillId="60" borderId="71" xfId="2980" applyFont="1" applyFill="1" applyBorder="1" applyAlignment="1">
      <alignment vertical="center" wrapText="1"/>
    </xf>
    <xf numFmtId="0" fontId="316" fillId="60" borderId="71" xfId="2980" applyFont="1" applyFill="1" applyBorder="1" applyAlignment="1">
      <alignment horizontal="right" vertical="center" wrapText="1"/>
    </xf>
    <xf numFmtId="332" fontId="248" fillId="60" borderId="70" xfId="2980" applyNumberFormat="1" applyFont="1" applyFill="1" applyBorder="1" applyAlignment="1">
      <alignment horizontal="right" vertical="center" wrapText="1"/>
    </xf>
    <xf numFmtId="168" fontId="248" fillId="0" borderId="70" xfId="2980" applyNumberFormat="1" applyFont="1" applyBorder="1" applyAlignment="1">
      <alignment vertical="center" wrapText="1"/>
    </xf>
    <xf numFmtId="332" fontId="248" fillId="60" borderId="71" xfId="2980" applyNumberFormat="1" applyFont="1" applyFill="1" applyBorder="1" applyAlignment="1">
      <alignment horizontal="right" vertical="center" wrapText="1"/>
    </xf>
    <xf numFmtId="168" fontId="248" fillId="0" borderId="71" xfId="2980" applyNumberFormat="1" applyFont="1" applyBorder="1" applyAlignment="1">
      <alignment vertical="center" wrapText="1"/>
    </xf>
    <xf numFmtId="332" fontId="250" fillId="60" borderId="70" xfId="2980" applyNumberFormat="1" applyFont="1" applyFill="1" applyBorder="1" applyAlignment="1">
      <alignment horizontal="right" vertical="center" wrapText="1"/>
    </xf>
    <xf numFmtId="168" fontId="250" fillId="0" borderId="70" xfId="2980" applyNumberFormat="1" applyFont="1" applyBorder="1" applyAlignment="1">
      <alignment vertical="center" wrapText="1"/>
    </xf>
    <xf numFmtId="168" fontId="248" fillId="0" borderId="0" xfId="2980" applyNumberFormat="1" applyFont="1" applyAlignment="1">
      <alignment vertical="center" wrapText="1"/>
    </xf>
    <xf numFmtId="0" fontId="317" fillId="60" borderId="71" xfId="2980" applyFont="1" applyFill="1" applyBorder="1" applyAlignment="1">
      <alignment wrapText="1"/>
    </xf>
    <xf numFmtId="340" fontId="315" fillId="60" borderId="0" xfId="2980" applyNumberFormat="1" applyFont="1" applyFill="1" applyAlignment="1">
      <alignment horizontal="right" wrapText="1"/>
    </xf>
    <xf numFmtId="0" fontId="360" fillId="60" borderId="71" xfId="2980" applyFont="1" applyFill="1" applyBorder="1" applyAlignment="1">
      <alignment horizontal="right" wrapText="1"/>
    </xf>
    <xf numFmtId="0" fontId="360" fillId="60" borderId="70" xfId="2980" applyFont="1" applyFill="1" applyBorder="1" applyAlignment="1">
      <alignment horizontal="right" vertical="center" wrapText="1"/>
    </xf>
    <xf numFmtId="0" fontId="316" fillId="60" borderId="93" xfId="2980" applyFont="1" applyFill="1" applyBorder="1" applyAlignment="1">
      <alignment horizontal="right" wrapText="1"/>
    </xf>
    <xf numFmtId="0" fontId="315" fillId="0" borderId="0" xfId="2980" applyFont="1" applyAlignment="1">
      <alignment horizontal="right" wrapText="1"/>
    </xf>
    <xf numFmtId="0" fontId="316" fillId="0" borderId="71" xfId="2980" applyFont="1" applyBorder="1" applyAlignment="1">
      <alignment horizontal="right" wrapText="1"/>
    </xf>
    <xf numFmtId="0" fontId="317" fillId="60" borderId="0" xfId="2980" applyFont="1" applyFill="1" applyAlignment="1">
      <alignment horizontal="right" vertical="center" wrapText="1"/>
    </xf>
    <xf numFmtId="327" fontId="317" fillId="54" borderId="70" xfId="2980" applyNumberFormat="1" applyFont="1" applyFill="1" applyBorder="1" applyAlignment="1">
      <alignment horizontal="right" vertical="center" wrapText="1"/>
    </xf>
    <xf numFmtId="327" fontId="317" fillId="54" borderId="71" xfId="2980" applyNumberFormat="1" applyFont="1" applyFill="1" applyBorder="1" applyAlignment="1">
      <alignment horizontal="right" vertical="center" wrapText="1"/>
    </xf>
    <xf numFmtId="327" fontId="318" fillId="54" borderId="70" xfId="2980" applyNumberFormat="1" applyFont="1" applyFill="1" applyBorder="1" applyAlignment="1">
      <alignment horizontal="right" vertical="center" wrapText="1"/>
    </xf>
    <xf numFmtId="0" fontId="318" fillId="60" borderId="0" xfId="2980" applyFont="1" applyFill="1" applyAlignment="1">
      <alignment horizontal="right" vertical="center" wrapText="1"/>
    </xf>
    <xf numFmtId="0" fontId="248" fillId="0" borderId="0" xfId="2980" applyFont="1" applyAlignment="1">
      <alignment horizontal="right" wrapText="1"/>
    </xf>
    <xf numFmtId="169" fontId="318" fillId="55" borderId="70" xfId="3075" applyNumberFormat="1" applyFont="1" applyFill="1" applyBorder="1" applyAlignment="1">
      <alignment horizontal="right" vertical="center" wrapText="1"/>
    </xf>
    <xf numFmtId="169" fontId="318" fillId="54" borderId="70" xfId="3075" applyNumberFormat="1" applyFont="1" applyFill="1" applyBorder="1" applyAlignment="1">
      <alignment horizontal="right" vertical="center" wrapText="1"/>
    </xf>
    <xf numFmtId="0" fontId="315" fillId="60" borderId="0" xfId="2980" applyFont="1" applyFill="1" applyAlignment="1">
      <alignment wrapText="1"/>
    </xf>
    <xf numFmtId="0" fontId="315" fillId="60" borderId="71" xfId="2980" applyFont="1" applyFill="1" applyBorder="1" applyAlignment="1">
      <alignment vertical="center" wrapText="1"/>
    </xf>
    <xf numFmtId="332" fontId="317" fillId="54" borderId="70" xfId="2980" applyNumberFormat="1" applyFont="1" applyFill="1" applyBorder="1" applyAlignment="1">
      <alignment vertical="center" wrapText="1"/>
    </xf>
    <xf numFmtId="332" fontId="317" fillId="0" borderId="70" xfId="2980" applyNumberFormat="1" applyFont="1" applyBorder="1" applyAlignment="1">
      <alignment vertical="center" wrapText="1"/>
    </xf>
    <xf numFmtId="0" fontId="318" fillId="60" borderId="0" xfId="2980" applyFont="1" applyFill="1" applyAlignment="1">
      <alignment horizontal="left" vertical="center" wrapText="1"/>
    </xf>
    <xf numFmtId="0" fontId="318" fillId="0" borderId="0" xfId="2980" applyFont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horizontal="right" vertical="center" wrapText="1"/>
    </xf>
    <xf numFmtId="327" fontId="317" fillId="55" borderId="71" xfId="2980" applyNumberFormat="1" applyFont="1" applyFill="1" applyBorder="1" applyAlignment="1">
      <alignment horizontal="right" vertical="center" wrapText="1"/>
    </xf>
    <xf numFmtId="0" fontId="318" fillId="60" borderId="70" xfId="2980" applyFont="1" applyFill="1" applyBorder="1" applyAlignment="1">
      <alignment horizontal="left" vertical="center" wrapText="1"/>
    </xf>
    <xf numFmtId="334" fontId="318" fillId="54" borderId="70" xfId="2980" applyNumberFormat="1" applyFont="1" applyFill="1" applyBorder="1" applyAlignment="1">
      <alignment horizontal="right" vertical="center" wrapText="1"/>
    </xf>
    <xf numFmtId="0" fontId="318" fillId="60" borderId="71" xfId="2980" applyFont="1" applyFill="1" applyBorder="1" applyAlignment="1">
      <alignment horizontal="right" vertical="center" wrapText="1"/>
    </xf>
    <xf numFmtId="0" fontId="318" fillId="0" borderId="71" xfId="2980" applyFont="1" applyBorder="1" applyAlignment="1">
      <alignment horizontal="right" vertical="center" wrapText="1"/>
    </xf>
    <xf numFmtId="0" fontId="318" fillId="0" borderId="70" xfId="2980" applyFont="1" applyBorder="1" applyAlignment="1">
      <alignment wrapText="1"/>
    </xf>
    <xf numFmtId="169" fontId="250" fillId="54" borderId="70" xfId="2980" applyNumberFormat="1" applyFont="1" applyFill="1" applyBorder="1" applyAlignment="1">
      <alignment horizontal="right" vertical="center" wrapText="1"/>
    </xf>
    <xf numFmtId="0" fontId="316" fillId="0" borderId="71" xfId="2980" applyFont="1" applyBorder="1" applyAlignment="1">
      <alignment horizontal="right" vertical="center" wrapText="1"/>
    </xf>
    <xf numFmtId="169" fontId="318" fillId="0" borderId="70" xfId="3075" applyNumberFormat="1" applyFont="1" applyFill="1" applyBorder="1" applyAlignment="1">
      <alignment horizontal="right" vertical="center" wrapText="1"/>
    </xf>
    <xf numFmtId="334" fontId="317" fillId="54" borderId="71" xfId="2980" applyNumberFormat="1" applyFont="1" applyFill="1" applyBorder="1" applyAlignment="1">
      <alignment horizontal="right" vertical="center" wrapText="1"/>
    </xf>
    <xf numFmtId="0" fontId="315" fillId="0" borderId="0" xfId="2980" applyFont="1" applyAlignment="1">
      <alignment horizontal="left" vertical="center" wrapText="1"/>
    </xf>
    <xf numFmtId="0" fontId="315" fillId="0" borderId="0" xfId="2980" applyFont="1" applyAlignment="1">
      <alignment horizontal="right" vertical="center" wrapText="1"/>
    </xf>
    <xf numFmtId="0" fontId="363" fillId="60" borderId="71" xfId="0" applyFont="1" applyFill="1" applyBorder="1" applyAlignment="1">
      <alignment horizontal="right" vertical="center" wrapText="1"/>
    </xf>
    <xf numFmtId="0" fontId="363" fillId="60" borderId="71" xfId="0" applyFont="1" applyFill="1" applyBorder="1" applyAlignment="1">
      <alignment horizontal="right" wrapText="1"/>
    </xf>
    <xf numFmtId="0" fontId="323" fillId="0" borderId="0" xfId="0" applyFont="1"/>
    <xf numFmtId="0" fontId="317" fillId="60" borderId="0" xfId="0" applyFont="1" applyFill="1" applyAlignment="1">
      <alignment wrapText="1"/>
    </xf>
    <xf numFmtId="0" fontId="318" fillId="60" borderId="0" xfId="0" applyFont="1" applyFill="1" applyAlignment="1">
      <alignment wrapText="1"/>
    </xf>
    <xf numFmtId="168" fontId="250" fillId="54" borderId="0" xfId="3010" applyNumberFormat="1" applyFont="1" applyFill="1" applyAlignment="1">
      <alignment horizontal="right" vertical="center"/>
    </xf>
    <xf numFmtId="168" fontId="250" fillId="0" borderId="0" xfId="3010" applyNumberFormat="1" applyFont="1" applyAlignment="1">
      <alignment horizontal="right" vertical="center"/>
    </xf>
    <xf numFmtId="0" fontId="317" fillId="60" borderId="0" xfId="2980" applyFont="1" applyFill="1" applyAlignment="1">
      <alignment wrapText="1"/>
    </xf>
    <xf numFmtId="332" fontId="248" fillId="60" borderId="0" xfId="2980" applyNumberFormat="1" applyFont="1" applyFill="1" applyAlignment="1">
      <alignment horizontal="right" vertical="center" wrapText="1"/>
    </xf>
    <xf numFmtId="10" fontId="317" fillId="55" borderId="0" xfId="1" applyNumberFormat="1" applyFont="1" applyFill="1" applyAlignment="1">
      <alignment horizontal="right" vertical="center" wrapText="1"/>
    </xf>
    <xf numFmtId="10" fontId="248" fillId="55" borderId="0" xfId="3010" applyNumberFormat="1" applyFont="1" applyFill="1" applyAlignment="1">
      <alignment horizontal="right" vertical="center"/>
    </xf>
    <xf numFmtId="265" fontId="317" fillId="60" borderId="0" xfId="2980" applyNumberFormat="1" applyFont="1" applyFill="1" applyAlignment="1">
      <alignment horizontal="right" vertical="center" wrapText="1"/>
    </xf>
    <xf numFmtId="332" fontId="317" fillId="55" borderId="70" xfId="2980" applyNumberFormat="1" applyFont="1" applyFill="1" applyBorder="1" applyAlignment="1">
      <alignment vertical="center" wrapText="1"/>
    </xf>
    <xf numFmtId="0" fontId="318" fillId="55" borderId="0" xfId="2980" applyFont="1" applyFill="1" applyAlignment="1">
      <alignment horizontal="right" vertical="center" wrapText="1"/>
    </xf>
    <xf numFmtId="0" fontId="316" fillId="55" borderId="71" xfId="2980" applyFont="1" applyFill="1" applyBorder="1" applyAlignment="1">
      <alignment horizontal="right" vertical="center" wrapText="1"/>
    </xf>
    <xf numFmtId="327" fontId="317" fillId="55" borderId="70" xfId="2980" applyNumberFormat="1" applyFont="1" applyFill="1" applyBorder="1" applyAlignment="1">
      <alignment horizontal="right" vertical="center" wrapText="1"/>
    </xf>
    <xf numFmtId="327" fontId="318" fillId="55" borderId="70" xfId="2980" applyNumberFormat="1" applyFont="1" applyFill="1" applyBorder="1" applyAlignment="1">
      <alignment horizontal="right" vertical="center" wrapText="1"/>
    </xf>
    <xf numFmtId="0" fontId="318" fillId="55" borderId="71" xfId="2980" applyFont="1" applyFill="1" applyBorder="1" applyAlignment="1">
      <alignment horizontal="right" vertical="center" wrapText="1"/>
    </xf>
    <xf numFmtId="265" fontId="317" fillId="54" borderId="0" xfId="0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9" fontId="317" fillId="0" borderId="0" xfId="24774" applyFont="1" applyFill="1" applyBorder="1" applyAlignment="1">
      <alignment horizontal="right" vertical="center" wrapText="1"/>
    </xf>
    <xf numFmtId="0" fontId="317" fillId="55" borderId="0" xfId="2980" applyFont="1" applyFill="1" applyAlignment="1">
      <alignment vertical="center" wrapText="1"/>
    </xf>
    <xf numFmtId="342" fontId="317" fillId="0" borderId="0" xfId="0" applyNumberFormat="1" applyFont="1" applyAlignment="1">
      <alignment horizontal="right" vertical="center" wrapText="1"/>
    </xf>
    <xf numFmtId="0" fontId="317" fillId="55" borderId="70" xfId="2980" applyFont="1" applyFill="1" applyBorder="1" applyAlignment="1">
      <alignment vertical="center" wrapText="1"/>
    </xf>
    <xf numFmtId="326" fontId="317" fillId="0" borderId="0" xfId="0" applyNumberFormat="1" applyFont="1" applyAlignment="1">
      <alignment horizontal="right" vertical="center" wrapText="1"/>
    </xf>
    <xf numFmtId="0" fontId="319" fillId="55" borderId="71" xfId="2980" applyFont="1" applyFill="1" applyBorder="1" applyAlignment="1">
      <alignment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0" fontId="250" fillId="55" borderId="0" xfId="3010" applyFont="1" applyFill="1" applyAlignment="1">
      <alignment vertical="center"/>
    </xf>
    <xf numFmtId="168" fontId="316" fillId="0" borderId="0" xfId="0" applyNumberFormat="1" applyFont="1" applyAlignment="1">
      <alignment horizontal="right" wrapText="1"/>
    </xf>
    <xf numFmtId="168" fontId="250" fillId="0" borderId="0" xfId="3010" applyNumberFormat="1" applyFont="1" applyAlignment="1">
      <alignment vertical="center"/>
    </xf>
    <xf numFmtId="334" fontId="317" fillId="0" borderId="70" xfId="2980" applyNumberFormat="1" applyFont="1" applyBorder="1" applyAlignment="1">
      <alignment horizontal="right" vertical="center" wrapText="1"/>
    </xf>
    <xf numFmtId="327" fontId="317" fillId="0" borderId="0" xfId="2980" applyNumberFormat="1" applyFont="1" applyAlignment="1">
      <alignment horizontal="right" vertical="center" wrapText="1"/>
    </xf>
    <xf numFmtId="327" fontId="317" fillId="54" borderId="0" xfId="2980" applyNumberFormat="1" applyFont="1" applyFill="1" applyAlignment="1">
      <alignment horizontal="right" vertical="center" wrapText="1"/>
    </xf>
    <xf numFmtId="0" fontId="316" fillId="60" borderId="0" xfId="2980" applyFont="1" applyFill="1" applyAlignment="1">
      <alignment horizontal="right" wrapText="1"/>
    </xf>
    <xf numFmtId="332" fontId="317" fillId="0" borderId="0" xfId="2980" applyNumberFormat="1" applyFont="1" applyAlignment="1">
      <alignment horizontal="right" vertical="center" wrapText="1"/>
    </xf>
    <xf numFmtId="343" fontId="317" fillId="0" borderId="0" xfId="0" applyNumberFormat="1" applyFont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168" fontId="317" fillId="0" borderId="0" xfId="2980" applyNumberFormat="1" applyFont="1" applyAlignment="1">
      <alignment horizontal="right" vertical="center" wrapText="1"/>
    </xf>
    <xf numFmtId="168" fontId="317" fillId="54" borderId="0" xfId="2980" applyNumberFormat="1" applyFont="1" applyFill="1" applyAlignment="1">
      <alignment horizontal="right" vertical="center" wrapText="1"/>
    </xf>
    <xf numFmtId="344" fontId="248" fillId="0" borderId="0" xfId="2988" applyNumberFormat="1" applyFont="1" applyAlignment="1">
      <alignment horizontal="right" vertical="center" wrapText="1"/>
    </xf>
    <xf numFmtId="0" fontId="248" fillId="0" borderId="0" xfId="2988" applyFont="1" applyAlignment="1">
      <alignment vertical="center" wrapText="1"/>
    </xf>
    <xf numFmtId="168" fontId="318" fillId="0" borderId="0" xfId="0" applyNumberFormat="1" applyFont="1" applyAlignment="1">
      <alignment horizontal="right" vertical="center" wrapText="1"/>
    </xf>
    <xf numFmtId="0" fontId="317" fillId="60" borderId="71" xfId="2980" applyFont="1" applyFill="1" applyBorder="1" applyAlignment="1">
      <alignment horizontal="left" vertical="center" wrapText="1"/>
    </xf>
    <xf numFmtId="0" fontId="317" fillId="60" borderId="70" xfId="2980" applyFont="1" applyFill="1" applyBorder="1" applyAlignment="1">
      <alignment horizontal="left" vertical="center" wrapText="1"/>
    </xf>
    <xf numFmtId="0" fontId="316" fillId="0" borderId="0" xfId="2988" applyFont="1" applyAlignment="1">
      <alignment horizontal="right" wrapText="1"/>
    </xf>
    <xf numFmtId="0" fontId="319" fillId="60" borderId="71" xfId="2980" applyFont="1" applyFill="1" applyBorder="1" applyAlignment="1">
      <alignment horizontal="left" vertical="top" wrapText="1"/>
    </xf>
    <xf numFmtId="0" fontId="315" fillId="0" borderId="0" xfId="2988" applyFont="1" applyAlignment="1">
      <alignment horizontal="right" wrapText="1"/>
    </xf>
    <xf numFmtId="0" fontId="322" fillId="60" borderId="0" xfId="2980" applyFont="1" applyFill="1" applyAlignment="1">
      <alignment horizontal="left" vertical="top" wrapText="1"/>
    </xf>
    <xf numFmtId="0" fontId="322" fillId="0" borderId="0" xfId="2988" applyFont="1" applyAlignment="1">
      <alignment horizontal="left" vertical="top" wrapText="1"/>
    </xf>
    <xf numFmtId="327" fontId="318" fillId="0" borderId="70" xfId="2980" applyNumberFormat="1" applyFont="1" applyBorder="1" applyAlignment="1">
      <alignment horizontal="right" vertical="center" wrapText="1"/>
    </xf>
    <xf numFmtId="327" fontId="317" fillId="0" borderId="71" xfId="2980" applyNumberFormat="1" applyFont="1" applyBorder="1" applyAlignment="1">
      <alignment horizontal="right" vertical="center" wrapText="1"/>
    </xf>
    <xf numFmtId="0" fontId="317" fillId="0" borderId="71" xfId="2980" applyFont="1" applyBorder="1" applyAlignment="1">
      <alignment vertical="center" wrapText="1"/>
    </xf>
    <xf numFmtId="0" fontId="365" fillId="0" borderId="0" xfId="2980" applyFont="1" applyAlignment="1">
      <alignment vertical="center" wrapText="1"/>
    </xf>
    <xf numFmtId="0" fontId="365" fillId="60" borderId="0" xfId="2980" applyFont="1" applyFill="1" applyAlignment="1">
      <alignment vertical="center" wrapText="1"/>
    </xf>
    <xf numFmtId="0" fontId="316" fillId="60" borderId="0" xfId="2980" applyFont="1" applyFill="1" applyAlignment="1">
      <alignment horizontal="right" vertical="center" wrapText="1"/>
    </xf>
    <xf numFmtId="0" fontId="318" fillId="60" borderId="71" xfId="2980" applyFont="1" applyFill="1" applyBorder="1" applyAlignment="1">
      <alignment horizontal="left" vertical="center" wrapText="1"/>
    </xf>
    <xf numFmtId="0" fontId="322" fillId="60" borderId="0" xfId="2980" applyFont="1" applyFill="1" applyAlignment="1">
      <alignment vertical="center" wrapText="1"/>
    </xf>
    <xf numFmtId="322" fontId="248" fillId="0" borderId="0" xfId="3010" applyNumberFormat="1" applyFont="1" applyAlignment="1">
      <alignment vertical="center"/>
    </xf>
    <xf numFmtId="0" fontId="319" fillId="0" borderId="71" xfId="2980" applyFont="1" applyBorder="1" applyAlignment="1">
      <alignment vertical="center" wrapText="1"/>
    </xf>
    <xf numFmtId="0" fontId="366" fillId="60" borderId="0" xfId="2980" applyFont="1" applyFill="1" applyAlignment="1">
      <alignment wrapText="1"/>
    </xf>
    <xf numFmtId="0" fontId="316" fillId="0" borderId="0" xfId="3010" applyFont="1" applyAlignment="1">
      <alignment vertical="center" wrapText="1"/>
    </xf>
    <xf numFmtId="0" fontId="322" fillId="0" borderId="0" xfId="3010" applyFont="1" applyAlignment="1">
      <alignment horizontal="left" vertical="center" wrapText="1"/>
    </xf>
    <xf numFmtId="168" fontId="318" fillId="0" borderId="70" xfId="2980" applyNumberFormat="1" applyFont="1" applyBorder="1" applyAlignment="1">
      <alignment vertical="center" wrapText="1"/>
    </xf>
    <xf numFmtId="168" fontId="318" fillId="54" borderId="70" xfId="2980" applyNumberFormat="1" applyFont="1" applyFill="1" applyBorder="1" applyAlignment="1">
      <alignment vertical="center" wrapText="1"/>
    </xf>
    <xf numFmtId="9" fontId="248" fillId="0" borderId="0" xfId="1" applyFont="1" applyFill="1" applyAlignment="1">
      <alignment vertical="center"/>
    </xf>
    <xf numFmtId="9" fontId="248" fillId="0" borderId="0" xfId="3075" applyFont="1" applyFill="1" applyAlignment="1">
      <alignment vertical="center"/>
    </xf>
    <xf numFmtId="9" fontId="248" fillId="54" borderId="0" xfId="3075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0" fontId="322" fillId="0" borderId="0" xfId="3010" applyFont="1" applyAlignment="1">
      <alignment vertical="center" wrapText="1"/>
    </xf>
    <xf numFmtId="345" fontId="248" fillId="0" borderId="0" xfId="2988" applyNumberFormat="1" applyFont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168" fontId="317" fillId="0" borderId="71" xfId="2980" applyNumberFormat="1" applyFont="1" applyBorder="1" applyAlignment="1">
      <alignment horizontal="right" vertical="center" wrapText="1"/>
    </xf>
    <xf numFmtId="168" fontId="317" fillId="54" borderId="71" xfId="2980" applyNumberFormat="1" applyFont="1" applyFill="1" applyBorder="1" applyAlignment="1">
      <alignment horizontal="right" vertical="center" wrapText="1"/>
    </xf>
    <xf numFmtId="168" fontId="318" fillId="0" borderId="70" xfId="2980" applyNumberFormat="1" applyFont="1" applyBorder="1" applyAlignment="1">
      <alignment horizontal="right" vertical="center" wrapText="1"/>
    </xf>
    <xf numFmtId="168" fontId="318" fillId="54" borderId="70" xfId="2980" applyNumberFormat="1" applyFont="1" applyFill="1" applyBorder="1" applyAlignment="1">
      <alignment horizontal="right" vertical="center" wrapText="1"/>
    </xf>
    <xf numFmtId="168" fontId="309" fillId="60" borderId="71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60" borderId="70" xfId="0" applyNumberFormat="1" applyFont="1" applyFill="1" applyBorder="1" applyAlignment="1">
      <alignment horizontal="right"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169" fontId="248" fillId="0" borderId="0" xfId="3075" applyNumberFormat="1" applyFont="1" applyFill="1" applyAlignment="1">
      <alignment vertical="center"/>
    </xf>
    <xf numFmtId="169" fontId="248" fillId="54" borderId="0" xfId="3075" applyNumberFormat="1" applyFont="1" applyFill="1" applyAlignment="1">
      <alignment vertical="center"/>
    </xf>
    <xf numFmtId="0" fontId="317" fillId="60" borderId="98" xfId="2980" applyFont="1" applyFill="1" applyBorder="1" applyAlignment="1">
      <alignment vertical="center" wrapText="1"/>
    </xf>
    <xf numFmtId="0" fontId="364" fillId="0" borderId="0" xfId="2980" applyFont="1" applyAlignment="1">
      <alignment vertical="center" wrapText="1"/>
    </xf>
    <xf numFmtId="0" fontId="317" fillId="0" borderId="94" xfId="2980" applyFont="1" applyBorder="1" applyAlignment="1">
      <alignment vertical="center" wrapText="1"/>
    </xf>
    <xf numFmtId="0" fontId="319" fillId="60" borderId="93" xfId="2980" applyFont="1" applyFill="1" applyBorder="1" applyAlignment="1">
      <alignment vertical="center" wrapText="1"/>
    </xf>
    <xf numFmtId="0" fontId="318" fillId="60" borderId="99" xfId="2980" applyFont="1" applyFill="1" applyBorder="1" applyAlignment="1">
      <alignment vertical="center" wrapText="1"/>
    </xf>
    <xf numFmtId="168" fontId="318" fillId="0" borderId="99" xfId="2980" applyNumberFormat="1" applyFont="1" applyBorder="1" applyAlignment="1">
      <alignment horizontal="right" vertical="center" wrapText="1"/>
    </xf>
    <xf numFmtId="168" fontId="318" fillId="54" borderId="99" xfId="2980" applyNumberFormat="1" applyFont="1" applyFill="1" applyBorder="1" applyAlignment="1">
      <alignment horizontal="right" vertical="center" wrapText="1"/>
    </xf>
    <xf numFmtId="168" fontId="317" fillId="0" borderId="98" xfId="2980" applyNumberFormat="1" applyFont="1" applyBorder="1" applyAlignment="1">
      <alignment horizontal="right" vertical="center" wrapText="1"/>
    </xf>
    <xf numFmtId="168" fontId="317" fillId="54" borderId="98" xfId="2980" applyNumberFormat="1" applyFont="1" applyFill="1" applyBorder="1" applyAlignment="1">
      <alignment horizontal="right"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8" fillId="0" borderId="0" xfId="0" applyFont="1" applyAlignment="1">
      <alignment vertical="center" wrapText="1"/>
    </xf>
    <xf numFmtId="327" fontId="317" fillId="0" borderId="0" xfId="0" applyNumberFormat="1" applyFont="1" applyAlignment="1">
      <alignment horizontal="right" vertical="center" wrapText="1"/>
    </xf>
    <xf numFmtId="0" fontId="319" fillId="60" borderId="100" xfId="2980" applyFont="1" applyFill="1" applyBorder="1" applyAlignment="1">
      <alignment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15" fillId="55" borderId="0" xfId="2980" applyFont="1" applyFill="1" applyAlignment="1">
      <alignment horizontal="right" wrapText="1"/>
    </xf>
    <xf numFmtId="0" fontId="316" fillId="55" borderId="71" xfId="2980" applyFont="1" applyFill="1" applyBorder="1" applyAlignment="1">
      <alignment horizontal="right" wrapText="1"/>
    </xf>
    <xf numFmtId="168" fontId="317" fillId="55" borderId="0" xfId="2980" applyNumberFormat="1" applyFont="1" applyFill="1" applyAlignment="1">
      <alignment horizontal="right" vertical="center" wrapText="1"/>
    </xf>
    <xf numFmtId="332" fontId="317" fillId="55" borderId="0" xfId="2980" applyNumberFormat="1" applyFont="1" applyFill="1" applyAlignment="1">
      <alignment horizontal="right" vertical="center" wrapText="1"/>
    </xf>
    <xf numFmtId="327" fontId="317" fillId="55" borderId="0" xfId="2980" applyNumberFormat="1" applyFont="1" applyFill="1" applyAlignment="1">
      <alignment horizontal="right" vertical="center" wrapText="1"/>
    </xf>
    <xf numFmtId="334" fontId="318" fillId="0" borderId="70" xfId="2980" applyNumberFormat="1" applyFont="1" applyBorder="1" applyAlignment="1">
      <alignment horizontal="right" vertical="center" wrapText="1"/>
    </xf>
    <xf numFmtId="169" fontId="250" fillId="0" borderId="70" xfId="2980" applyNumberFormat="1" applyFont="1" applyBorder="1" applyAlignment="1">
      <alignment horizontal="right" vertical="center" wrapText="1"/>
    </xf>
    <xf numFmtId="169" fontId="318" fillId="60" borderId="0" xfId="2980" applyNumberFormat="1" applyFont="1" applyFill="1" applyAlignment="1">
      <alignment horizontal="right" vertical="center" wrapText="1"/>
    </xf>
    <xf numFmtId="0" fontId="361" fillId="0" borderId="0" xfId="0" applyFont="1" applyAlignment="1">
      <alignment vertical="center" wrapText="1"/>
    </xf>
    <xf numFmtId="0" fontId="361" fillId="0" borderId="0" xfId="15472" applyFont="1" applyAlignment="1">
      <alignment vertical="center"/>
    </xf>
    <xf numFmtId="334" fontId="317" fillId="0" borderId="71" xfId="2980" applyNumberFormat="1" applyFont="1" applyBorder="1" applyAlignment="1">
      <alignment horizontal="right" vertical="center" wrapText="1"/>
    </xf>
    <xf numFmtId="0" fontId="24" fillId="55" borderId="0" xfId="15472" applyFont="1" applyFill="1" applyAlignment="1">
      <alignment vertical="center"/>
    </xf>
    <xf numFmtId="334" fontId="318" fillId="55" borderId="70" xfId="2980" applyNumberFormat="1" applyFont="1" applyFill="1" applyBorder="1" applyAlignment="1">
      <alignment horizontal="right" vertical="center" wrapText="1"/>
    </xf>
    <xf numFmtId="169" fontId="250" fillId="55" borderId="70" xfId="2980" applyNumberFormat="1" applyFont="1" applyFill="1" applyBorder="1" applyAlignment="1">
      <alignment horizontal="right" vertical="center" wrapText="1"/>
    </xf>
    <xf numFmtId="0" fontId="321" fillId="55" borderId="0" xfId="16678" applyFill="1"/>
    <xf numFmtId="0" fontId="316" fillId="55" borderId="0" xfId="3010" applyFont="1" applyFill="1" applyAlignment="1">
      <alignment vertical="center" wrapText="1"/>
    </xf>
    <xf numFmtId="0" fontId="365" fillId="55" borderId="0" xfId="2980" applyFont="1" applyFill="1" applyAlignment="1">
      <alignment vertical="center" wrapText="1"/>
    </xf>
    <xf numFmtId="0" fontId="317" fillId="55" borderId="71" xfId="2980" applyFont="1" applyFill="1" applyBorder="1" applyAlignment="1">
      <alignment vertical="center" wrapText="1"/>
    </xf>
    <xf numFmtId="0" fontId="361" fillId="55" borderId="0" xfId="0" applyFont="1" applyFill="1" applyAlignment="1">
      <alignment vertical="center" wrapText="1"/>
    </xf>
    <xf numFmtId="168" fontId="317" fillId="55" borderId="70" xfId="2980" applyNumberFormat="1" applyFont="1" applyFill="1" applyBorder="1" applyAlignment="1">
      <alignment horizontal="right" vertical="center" wrapText="1"/>
    </xf>
    <xf numFmtId="168" fontId="317" fillId="55" borderId="98" xfId="2980" applyNumberFormat="1" applyFont="1" applyFill="1" applyBorder="1" applyAlignment="1">
      <alignment horizontal="right" vertical="center" wrapText="1"/>
    </xf>
    <xf numFmtId="168" fontId="318" fillId="55" borderId="99" xfId="2980" applyNumberFormat="1" applyFont="1" applyFill="1" applyBorder="1" applyAlignment="1">
      <alignment horizontal="right" vertical="center" wrapText="1"/>
    </xf>
    <xf numFmtId="168" fontId="317" fillId="55" borderId="71" xfId="2980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horizontal="right" vertical="center" wrapText="1"/>
    </xf>
    <xf numFmtId="169" fontId="248" fillId="55" borderId="0" xfId="3075" applyNumberFormat="1" applyFont="1" applyFill="1" applyAlignment="1">
      <alignment vertical="center"/>
    </xf>
    <xf numFmtId="9" fontId="248" fillId="55" borderId="0" xfId="3075" applyFont="1" applyFill="1" applyAlignment="1">
      <alignment vertical="center"/>
    </xf>
    <xf numFmtId="168" fontId="318" fillId="55" borderId="70" xfId="2980" applyNumberFormat="1" applyFont="1" applyFill="1" applyBorder="1" applyAlignment="1">
      <alignment vertical="center" wrapText="1"/>
    </xf>
    <xf numFmtId="9" fontId="248" fillId="55" borderId="0" xfId="24774" applyFont="1" applyFill="1" applyBorder="1" applyAlignment="1">
      <alignment vertical="center" wrapText="1"/>
    </xf>
    <xf numFmtId="168" fontId="309" fillId="55" borderId="70" xfId="0" applyNumberFormat="1" applyFont="1" applyFill="1" applyBorder="1" applyAlignment="1">
      <alignment horizontal="right" vertical="center" wrapText="1"/>
    </xf>
    <xf numFmtId="168" fontId="309" fillId="55" borderId="71" xfId="0" applyNumberFormat="1" applyFont="1" applyFill="1" applyBorder="1" applyAlignment="1">
      <alignment horizontal="right" vertical="center" wrapText="1"/>
    </xf>
    <xf numFmtId="345" fontId="248" fillId="55" borderId="0" xfId="2988" applyNumberFormat="1" applyFont="1" applyFill="1" applyAlignment="1">
      <alignment horizontal="right" vertical="center" wrapText="1"/>
    </xf>
    <xf numFmtId="334" fontId="361" fillId="55" borderId="0" xfId="15472" applyNumberFormat="1" applyFont="1" applyFill="1" applyAlignment="1">
      <alignment vertical="center"/>
    </xf>
    <xf numFmtId="334" fontId="317" fillId="55" borderId="71" xfId="2980" applyNumberFormat="1" applyFont="1" applyFill="1" applyBorder="1" applyAlignment="1">
      <alignment horizontal="right" vertical="center" wrapText="1"/>
    </xf>
    <xf numFmtId="323" fontId="322" fillId="55" borderId="0" xfId="2979" applyNumberFormat="1" applyFont="1" applyFill="1" applyAlignment="1">
      <alignment vertical="center" wrapText="1"/>
    </xf>
    <xf numFmtId="0" fontId="367" fillId="0" borderId="0" xfId="0" applyFont="1" applyAlignment="1">
      <alignment horizontal="left" vertical="center" wrapText="1"/>
    </xf>
    <xf numFmtId="0" fontId="368" fillId="0" borderId="97" xfId="0" applyFont="1" applyBorder="1" applyAlignment="1">
      <alignment wrapText="1"/>
    </xf>
    <xf numFmtId="346" fontId="368" fillId="0" borderId="97" xfId="0" applyNumberFormat="1" applyFont="1" applyBorder="1" applyAlignment="1">
      <alignment wrapText="1"/>
    </xf>
    <xf numFmtId="341" fontId="368" fillId="0" borderId="97" xfId="0" applyNumberFormat="1" applyFont="1" applyBorder="1" applyAlignment="1">
      <alignment wrapText="1"/>
    </xf>
    <xf numFmtId="0" fontId="369" fillId="0" borderId="96" xfId="0" applyFont="1" applyBorder="1" applyAlignment="1">
      <alignment wrapText="1"/>
    </xf>
    <xf numFmtId="347" fontId="369" fillId="0" borderId="96" xfId="0" applyNumberFormat="1" applyFont="1" applyBorder="1" applyAlignment="1">
      <alignment wrapText="1"/>
    </xf>
    <xf numFmtId="341" fontId="369" fillId="0" borderId="96" xfId="0" applyNumberFormat="1" applyFont="1" applyBorder="1" applyAlignment="1">
      <alignment horizontal="right" wrapText="1"/>
    </xf>
    <xf numFmtId="0" fontId="369" fillId="0" borderId="0" xfId="0" applyFont="1" applyAlignment="1">
      <alignment wrapText="1"/>
    </xf>
    <xf numFmtId="341" fontId="369" fillId="0" borderId="0" xfId="0" applyNumberFormat="1" applyFont="1" applyAlignment="1">
      <alignment wrapText="1"/>
    </xf>
    <xf numFmtId="0" fontId="369" fillId="0" borderId="97" xfId="0" applyFont="1" applyBorder="1" applyAlignment="1">
      <alignment wrapText="1"/>
    </xf>
    <xf numFmtId="341" fontId="369" fillId="0" borderId="97" xfId="0" applyNumberFormat="1" applyFont="1" applyBorder="1" applyAlignment="1">
      <alignment wrapText="1"/>
    </xf>
    <xf numFmtId="0" fontId="368" fillId="0" borderId="96" xfId="0" applyFont="1" applyBorder="1" applyAlignment="1">
      <alignment wrapText="1"/>
    </xf>
    <xf numFmtId="341" fontId="368" fillId="0" borderId="96" xfId="0" applyNumberFormat="1" applyFont="1" applyBorder="1" applyAlignment="1">
      <alignment wrapText="1"/>
    </xf>
    <xf numFmtId="0" fontId="318" fillId="60" borderId="0" xfId="2980" applyFont="1" applyFill="1" applyAlignment="1">
      <alignment wrapText="1"/>
    </xf>
    <xf numFmtId="168" fontId="250" fillId="0" borderId="0" xfId="2980" applyNumberFormat="1" applyFont="1" applyAlignment="1">
      <alignment vertical="center" wrapText="1"/>
    </xf>
    <xf numFmtId="0" fontId="318" fillId="55" borderId="70" xfId="2980" applyFont="1" applyFill="1" applyBorder="1" applyAlignment="1">
      <alignment vertical="center" wrapText="1"/>
    </xf>
    <xf numFmtId="168" fontId="318" fillId="54" borderId="0" xfId="2980" applyNumberFormat="1" applyFont="1" applyFill="1" applyAlignment="1">
      <alignment horizontal="right" vertical="center" wrapText="1"/>
    </xf>
    <xf numFmtId="168" fontId="318" fillId="55" borderId="0" xfId="2980" applyNumberFormat="1" applyFont="1" applyFill="1" applyAlignment="1">
      <alignment horizontal="right" vertical="center" wrapText="1"/>
    </xf>
    <xf numFmtId="168" fontId="318" fillId="0" borderId="0" xfId="2980" applyNumberFormat="1" applyFont="1" applyAlignment="1">
      <alignment horizontal="right" vertical="center" wrapText="1"/>
    </xf>
    <xf numFmtId="0" fontId="318" fillId="60" borderId="94" xfId="2980" applyFont="1" applyFill="1" applyBorder="1" applyAlignment="1">
      <alignment vertical="center" wrapText="1"/>
    </xf>
    <xf numFmtId="349" fontId="318" fillId="54" borderId="70" xfId="3075" applyNumberFormat="1" applyFont="1" applyFill="1" applyBorder="1" applyAlignment="1">
      <alignment horizontal="right" vertical="center" wrapText="1"/>
    </xf>
    <xf numFmtId="0" fontId="318" fillId="0" borderId="0" xfId="2980" applyFont="1" applyAlignment="1">
      <alignment wrapText="1"/>
    </xf>
    <xf numFmtId="169" fontId="318" fillId="55" borderId="0" xfId="3075" applyNumberFormat="1" applyFont="1" applyFill="1" applyBorder="1" applyAlignment="1">
      <alignment horizontal="right" vertical="center" wrapText="1"/>
    </xf>
    <xf numFmtId="169" fontId="318" fillId="0" borderId="0" xfId="3075" applyNumberFormat="1" applyFont="1" applyFill="1" applyBorder="1" applyAlignment="1">
      <alignment horizontal="right" vertical="center" wrapText="1"/>
    </xf>
    <xf numFmtId="0" fontId="370" fillId="0" borderId="0" xfId="0" applyFont="1"/>
    <xf numFmtId="327" fontId="317" fillId="55" borderId="0" xfId="0" applyNumberFormat="1" applyFont="1" applyFill="1" applyAlignment="1">
      <alignment horizontal="right" vertical="center" wrapText="1"/>
    </xf>
    <xf numFmtId="0" fontId="317" fillId="60" borderId="0" xfId="0" applyFont="1" applyFill="1" applyAlignment="1">
      <alignment horizontal="left" vertical="center" wrapText="1"/>
    </xf>
    <xf numFmtId="0" fontId="317" fillId="60" borderId="71" xfId="0" applyFont="1" applyFill="1" applyBorder="1" applyAlignment="1">
      <alignment horizontal="left" vertical="center" wrapText="1"/>
    </xf>
    <xf numFmtId="0" fontId="371" fillId="60" borderId="0" xfId="0" applyFont="1" applyFill="1" applyAlignment="1">
      <alignment horizontal="right" vertical="center" wrapText="1"/>
    </xf>
    <xf numFmtId="0" fontId="371" fillId="60" borderId="0" xfId="0" applyFont="1" applyFill="1" applyAlignment="1">
      <alignment vertical="center" wrapText="1"/>
    </xf>
    <xf numFmtId="247" fontId="250" fillId="55" borderId="70" xfId="2980" applyNumberFormat="1" applyFont="1" applyFill="1" applyBorder="1" applyAlignment="1">
      <alignment horizontal="right" vertical="center" wrapText="1"/>
    </xf>
    <xf numFmtId="0" fontId="317" fillId="60" borderId="0" xfId="0" applyFont="1" applyFill="1" applyAlignment="1">
      <alignment horizontal="left" vertical="center" wrapText="1" indent="2"/>
    </xf>
    <xf numFmtId="0" fontId="317" fillId="60" borderId="71" xfId="0" applyFont="1" applyFill="1" applyBorder="1" applyAlignment="1">
      <alignment horizontal="left" vertical="center" wrapText="1" indent="2"/>
    </xf>
    <xf numFmtId="0" fontId="318" fillId="60" borderId="70" xfId="0" applyFont="1" applyFill="1" applyBorder="1" applyAlignment="1">
      <alignment horizontal="left" vertical="center" wrapText="1" indent="1"/>
    </xf>
    <xf numFmtId="0" fontId="318" fillId="60" borderId="0" xfId="0" applyFont="1" applyFill="1" applyAlignment="1">
      <alignment horizontal="left" vertical="center" wrapText="1" indent="1"/>
    </xf>
    <xf numFmtId="0" fontId="322" fillId="0" borderId="0" xfId="3010" applyFont="1" applyAlignment="1">
      <alignment vertical="top"/>
    </xf>
    <xf numFmtId="0" fontId="374" fillId="60" borderId="0" xfId="0" applyFont="1" applyFill="1" applyAlignment="1">
      <alignment horizontal="center" vertical="center" wrapText="1"/>
    </xf>
    <xf numFmtId="340" fontId="373" fillId="60" borderId="0" xfId="0" applyNumberFormat="1" applyFont="1" applyFill="1" applyAlignment="1">
      <alignment horizontal="right" vertical="center" wrapText="1"/>
    </xf>
    <xf numFmtId="0" fontId="373" fillId="0" borderId="0" xfId="0" applyFont="1" applyAlignment="1">
      <alignment horizontal="right" vertical="center" wrapText="1"/>
    </xf>
    <xf numFmtId="0" fontId="374" fillId="60" borderId="0" xfId="0" applyFont="1" applyFill="1" applyAlignment="1">
      <alignment vertical="center" wrapText="1"/>
    </xf>
    <xf numFmtId="0" fontId="373" fillId="60" borderId="0" xfId="0" applyFont="1" applyFill="1" applyAlignment="1">
      <alignment horizontal="right" vertical="center" wrapText="1"/>
    </xf>
    <xf numFmtId="0" fontId="376" fillId="60" borderId="0" xfId="0" applyFont="1" applyFill="1" applyAlignment="1">
      <alignment horizontal="right" vertical="center" wrapText="1"/>
    </xf>
    <xf numFmtId="0" fontId="371" fillId="60" borderId="0" xfId="0" applyFont="1" applyFill="1" applyAlignment="1">
      <alignment wrapText="1"/>
    </xf>
    <xf numFmtId="341" fontId="371" fillId="123" borderId="0" xfId="0" applyNumberFormat="1" applyFont="1" applyFill="1" applyAlignment="1">
      <alignment horizontal="right" vertical="center" wrapText="1"/>
    </xf>
    <xf numFmtId="341" fontId="374" fillId="0" borderId="0" xfId="0" applyNumberFormat="1" applyFont="1" applyAlignment="1">
      <alignment horizontal="right" vertical="center" wrapText="1"/>
    </xf>
    <xf numFmtId="341" fontId="371" fillId="0" borderId="0" xfId="0" applyNumberFormat="1" applyFont="1" applyAlignment="1">
      <alignment horizontal="right" vertical="center" wrapText="1"/>
    </xf>
    <xf numFmtId="341" fontId="371" fillId="60" borderId="0" xfId="0" applyNumberFormat="1" applyFont="1" applyFill="1" applyAlignment="1">
      <alignment horizontal="right" vertical="center" wrapText="1"/>
    </xf>
    <xf numFmtId="0" fontId="371" fillId="60" borderId="71" xfId="0" applyFont="1" applyFill="1" applyBorder="1" applyAlignment="1">
      <alignment wrapText="1"/>
    </xf>
    <xf numFmtId="341" fontId="371" fillId="123" borderId="71" xfId="0" applyNumberFormat="1" applyFont="1" applyFill="1" applyBorder="1" applyAlignment="1">
      <alignment horizontal="right" vertical="center" wrapText="1"/>
    </xf>
    <xf numFmtId="341" fontId="374" fillId="0" borderId="71" xfId="0" applyNumberFormat="1" applyFont="1" applyBorder="1" applyAlignment="1">
      <alignment horizontal="right" vertical="center" wrapText="1"/>
    </xf>
    <xf numFmtId="341" fontId="374" fillId="60" borderId="71" xfId="0" applyNumberFormat="1" applyFont="1" applyFill="1" applyBorder="1" applyAlignment="1">
      <alignment horizontal="right" vertical="center" wrapText="1"/>
    </xf>
    <xf numFmtId="0" fontId="374" fillId="60" borderId="71" xfId="0" applyFont="1" applyFill="1" applyBorder="1" applyAlignment="1">
      <alignment horizontal="right" vertical="center" wrapText="1"/>
    </xf>
    <xf numFmtId="0" fontId="374" fillId="60" borderId="70" xfId="0" applyFont="1" applyFill="1" applyBorder="1" applyAlignment="1">
      <alignment vertical="center" wrapText="1"/>
    </xf>
    <xf numFmtId="341" fontId="374" fillId="123" borderId="70" xfId="0" applyNumberFormat="1" applyFont="1" applyFill="1" applyBorder="1" applyAlignment="1">
      <alignment horizontal="right" vertical="center" wrapText="1"/>
    </xf>
    <xf numFmtId="341" fontId="374" fillId="0" borderId="70" xfId="0" applyNumberFormat="1" applyFont="1" applyBorder="1" applyAlignment="1">
      <alignment horizontal="right" vertical="center" wrapText="1"/>
    </xf>
    <xf numFmtId="341" fontId="374" fillId="60" borderId="70" xfId="0" applyNumberFormat="1" applyFont="1" applyFill="1" applyBorder="1" applyAlignment="1">
      <alignment horizontal="right" vertical="center" wrapText="1"/>
    </xf>
    <xf numFmtId="0" fontId="371" fillId="60" borderId="71" xfId="0" applyFont="1" applyFill="1" applyBorder="1" applyAlignment="1">
      <alignment vertical="center" wrapText="1"/>
    </xf>
    <xf numFmtId="341" fontId="371" fillId="0" borderId="71" xfId="0" applyNumberFormat="1" applyFont="1" applyBorder="1" applyAlignment="1">
      <alignment horizontal="right" vertical="center" wrapText="1"/>
    </xf>
    <xf numFmtId="341" fontId="371" fillId="60" borderId="71" xfId="0" applyNumberFormat="1" applyFont="1" applyFill="1" applyBorder="1" applyAlignment="1">
      <alignment horizontal="right" vertical="center" wrapText="1"/>
    </xf>
    <xf numFmtId="0" fontId="371" fillId="0" borderId="71" xfId="0" applyFont="1" applyBorder="1" applyAlignment="1">
      <alignment horizontal="right" vertical="center" wrapText="1"/>
    </xf>
    <xf numFmtId="0" fontId="371" fillId="60" borderId="71" xfId="0" applyFont="1" applyFill="1" applyBorder="1" applyAlignment="1">
      <alignment horizontal="right" vertical="center" wrapText="1"/>
    </xf>
    <xf numFmtId="0" fontId="374" fillId="60" borderId="0" xfId="0" applyFont="1" applyFill="1" applyAlignment="1">
      <alignment horizontal="right" vertical="center" wrapText="1"/>
    </xf>
    <xf numFmtId="0" fontId="374" fillId="0" borderId="0" xfId="0" applyFont="1" applyAlignment="1">
      <alignment horizontal="right" vertical="center" wrapText="1"/>
    </xf>
    <xf numFmtId="0" fontId="377" fillId="60" borderId="71" xfId="0" applyFont="1" applyFill="1" applyBorder="1" applyAlignment="1">
      <alignment vertical="center" wrapText="1"/>
    </xf>
    <xf numFmtId="0" fontId="371" fillId="60" borderId="70" xfId="0" applyFont="1" applyFill="1" applyBorder="1" applyAlignment="1">
      <alignment vertical="center" wrapText="1"/>
    </xf>
    <xf numFmtId="350" fontId="371" fillId="123" borderId="70" xfId="0" applyNumberFormat="1" applyFont="1" applyFill="1" applyBorder="1" applyAlignment="1">
      <alignment horizontal="right" vertical="center" wrapText="1"/>
    </xf>
    <xf numFmtId="350" fontId="371" fillId="0" borderId="70" xfId="0" applyNumberFormat="1" applyFont="1" applyBorder="1" applyAlignment="1">
      <alignment horizontal="right" vertical="center" wrapText="1"/>
    </xf>
    <xf numFmtId="0" fontId="374" fillId="60" borderId="70" xfId="0" applyFont="1" applyFill="1" applyBorder="1" applyAlignment="1">
      <alignment horizontal="right" vertical="center" wrapText="1"/>
    </xf>
    <xf numFmtId="351" fontId="371" fillId="123" borderId="0" xfId="0" applyNumberFormat="1" applyFont="1" applyFill="1" applyAlignment="1">
      <alignment horizontal="right" vertical="center" wrapText="1"/>
    </xf>
    <xf numFmtId="351" fontId="371" fillId="0" borderId="0" xfId="0" applyNumberFormat="1" applyFont="1" applyAlignment="1">
      <alignment horizontal="right" vertical="center" wrapText="1"/>
    </xf>
    <xf numFmtId="335" fontId="371" fillId="123" borderId="0" xfId="0" applyNumberFormat="1" applyFont="1" applyFill="1" applyAlignment="1">
      <alignment horizontal="right" vertical="center" wrapText="1"/>
    </xf>
    <xf numFmtId="335" fontId="371" fillId="0" borderId="0" xfId="0" applyNumberFormat="1" applyFont="1" applyAlignment="1">
      <alignment horizontal="right" vertical="center" wrapText="1"/>
    </xf>
    <xf numFmtId="352" fontId="371" fillId="123" borderId="0" xfId="0" applyNumberFormat="1" applyFont="1" applyFill="1" applyAlignment="1">
      <alignment horizontal="right" vertical="center" wrapText="1"/>
    </xf>
    <xf numFmtId="352" fontId="371" fillId="0" borderId="0" xfId="0" applyNumberFormat="1" applyFont="1" applyAlignment="1">
      <alignment horizontal="right" vertical="center" wrapText="1"/>
    </xf>
    <xf numFmtId="353" fontId="371" fillId="123" borderId="0" xfId="0" applyNumberFormat="1" applyFont="1" applyFill="1" applyAlignment="1">
      <alignment horizontal="right" vertical="center" wrapText="1"/>
    </xf>
    <xf numFmtId="353" fontId="371" fillId="0" borderId="0" xfId="0" applyNumberFormat="1" applyFont="1" applyAlignment="1">
      <alignment horizontal="right" vertical="center" wrapText="1"/>
    </xf>
    <xf numFmtId="0" fontId="371" fillId="0" borderId="0" xfId="0" applyFont="1" applyAlignment="1">
      <alignment horizontal="right" vertical="center" wrapText="1"/>
    </xf>
    <xf numFmtId="354" fontId="371" fillId="0" borderId="0" xfId="0" applyNumberFormat="1" applyFont="1" applyAlignment="1">
      <alignment horizontal="right" vertical="center" wrapText="1"/>
    </xf>
    <xf numFmtId="354" fontId="371" fillId="123" borderId="0" xfId="0" applyNumberFormat="1" applyFont="1" applyFill="1" applyAlignment="1">
      <alignment horizontal="right" vertical="center" wrapText="1"/>
    </xf>
    <xf numFmtId="0" fontId="373" fillId="60" borderId="0" xfId="0" applyFont="1" applyFill="1" applyAlignment="1">
      <alignment horizontal="right" wrapText="1"/>
    </xf>
    <xf numFmtId="0" fontId="377" fillId="60" borderId="92" xfId="0" applyFont="1" applyFill="1" applyBorder="1" applyAlignment="1">
      <alignment wrapText="1"/>
    </xf>
    <xf numFmtId="0" fontId="376" fillId="60" borderId="71" xfId="0" applyFont="1" applyFill="1" applyBorder="1" applyAlignment="1">
      <alignment horizontal="right" wrapText="1"/>
    </xf>
    <xf numFmtId="0" fontId="371" fillId="60" borderId="95" xfId="0" applyFont="1" applyFill="1" applyBorder="1" applyAlignment="1">
      <alignment wrapText="1"/>
    </xf>
    <xf numFmtId="351" fontId="371" fillId="123" borderId="70" xfId="0" applyNumberFormat="1" applyFont="1" applyFill="1" applyBorder="1" applyAlignment="1">
      <alignment horizontal="right" vertical="center" wrapText="1"/>
    </xf>
    <xf numFmtId="351" fontId="371" fillId="0" borderId="70" xfId="0" applyNumberFormat="1" applyFont="1" applyBorder="1" applyAlignment="1">
      <alignment horizontal="right" vertical="center" wrapText="1"/>
    </xf>
    <xf numFmtId="336" fontId="371" fillId="123" borderId="0" xfId="0" applyNumberFormat="1" applyFont="1" applyFill="1" applyAlignment="1">
      <alignment horizontal="right" wrapText="1"/>
    </xf>
    <xf numFmtId="336" fontId="371" fillId="0" borderId="0" xfId="0" applyNumberFormat="1" applyFont="1" applyAlignment="1">
      <alignment horizontal="right" wrapText="1"/>
    </xf>
    <xf numFmtId="338" fontId="371" fillId="0" borderId="0" xfId="0" applyNumberFormat="1" applyFont="1" applyAlignment="1">
      <alignment horizontal="right" vertical="center" wrapText="1"/>
    </xf>
    <xf numFmtId="337" fontId="371" fillId="123" borderId="0" xfId="0" applyNumberFormat="1" applyFont="1" applyFill="1" applyAlignment="1">
      <alignment horizontal="right" vertical="center" wrapText="1"/>
    </xf>
    <xf numFmtId="337" fontId="371" fillId="0" borderId="0" xfId="0" applyNumberFormat="1" applyFont="1" applyAlignment="1">
      <alignment horizontal="right" vertical="center" wrapText="1"/>
    </xf>
    <xf numFmtId="355" fontId="371" fillId="123" borderId="0" xfId="0" applyNumberFormat="1" applyFont="1" applyFill="1" applyAlignment="1">
      <alignment horizontal="right" vertical="center" wrapText="1"/>
    </xf>
    <xf numFmtId="355" fontId="371" fillId="0" borderId="0" xfId="0" applyNumberFormat="1" applyFont="1" applyAlignment="1">
      <alignment horizontal="right" vertical="center" wrapText="1"/>
    </xf>
    <xf numFmtId="0" fontId="371" fillId="0" borderId="0" xfId="0" applyFont="1" applyAlignment="1">
      <alignment vertical="center" wrapText="1"/>
    </xf>
    <xf numFmtId="0" fontId="376" fillId="0" borderId="71" xfId="0" applyFont="1" applyBorder="1" applyAlignment="1">
      <alignment horizontal="right" vertical="center" wrapText="1"/>
    </xf>
    <xf numFmtId="348" fontId="371" fillId="123" borderId="70" xfId="0" applyNumberFormat="1" applyFont="1" applyFill="1" applyBorder="1" applyAlignment="1">
      <alignment horizontal="right" vertical="center" wrapText="1"/>
    </xf>
    <xf numFmtId="348" fontId="371" fillId="0" borderId="70" xfId="0" applyNumberFormat="1" applyFont="1" applyBorder="1" applyAlignment="1">
      <alignment horizontal="right" vertical="center" wrapText="1"/>
    </xf>
    <xf numFmtId="0" fontId="372" fillId="60" borderId="0" xfId="34760" applyFont="1" applyFill="1" applyAlignment="1">
      <alignment horizontal="left" vertical="center" wrapText="1"/>
    </xf>
    <xf numFmtId="0" fontId="378" fillId="0" borderId="0" xfId="34760"/>
    <xf numFmtId="0" fontId="375" fillId="0" borderId="0" xfId="34761">
      <alignment wrapText="1"/>
    </xf>
    <xf numFmtId="0" fontId="373" fillId="60" borderId="0" xfId="34760" applyFont="1" applyFill="1" applyAlignment="1">
      <alignment horizontal="right" vertical="center" wrapText="1"/>
    </xf>
    <xf numFmtId="0" fontId="375" fillId="60" borderId="71" xfId="34760" applyFont="1" applyFill="1" applyBorder="1" applyAlignment="1">
      <alignment wrapText="1"/>
    </xf>
    <xf numFmtId="0" fontId="376" fillId="60" borderId="71" xfId="34760" applyFont="1" applyFill="1" applyBorder="1" applyAlignment="1">
      <alignment horizontal="right" vertical="center" wrapText="1"/>
    </xf>
    <xf numFmtId="341" fontId="374" fillId="123" borderId="70" xfId="34760" applyNumberFormat="1" applyFont="1" applyFill="1" applyBorder="1" applyAlignment="1">
      <alignment horizontal="right" vertical="center" wrapText="1"/>
    </xf>
    <xf numFmtId="341" fontId="374" fillId="0" borderId="70" xfId="34760" applyNumberFormat="1" applyFont="1" applyBorder="1" applyAlignment="1">
      <alignment horizontal="right" vertical="center" wrapText="1"/>
    </xf>
    <xf numFmtId="341" fontId="374" fillId="60" borderId="70" xfId="34760" applyNumberFormat="1" applyFont="1" applyFill="1" applyBorder="1" applyAlignment="1">
      <alignment horizontal="right" vertical="center" wrapText="1"/>
    </xf>
    <xf numFmtId="341" fontId="374" fillId="0" borderId="0" xfId="34760" applyNumberFormat="1" applyFont="1" applyAlignment="1">
      <alignment horizontal="right" vertical="center" wrapText="1"/>
    </xf>
    <xf numFmtId="0" fontId="371" fillId="60" borderId="0" xfId="34760" applyFont="1" applyFill="1" applyAlignment="1">
      <alignment vertical="center" wrapText="1" indent="1"/>
    </xf>
    <xf numFmtId="341" fontId="371" fillId="123" borderId="0" xfId="34760" applyNumberFormat="1" applyFont="1" applyFill="1" applyAlignment="1">
      <alignment horizontal="right" vertical="center" wrapText="1"/>
    </xf>
    <xf numFmtId="341" fontId="371" fillId="0" borderId="0" xfId="34760" applyNumberFormat="1" applyFont="1" applyAlignment="1">
      <alignment horizontal="right" vertical="center" wrapText="1"/>
    </xf>
    <xf numFmtId="341" fontId="371" fillId="60" borderId="0" xfId="34760" applyNumberFormat="1" applyFont="1" applyFill="1" applyAlignment="1">
      <alignment horizontal="right" vertical="center" wrapText="1"/>
    </xf>
    <xf numFmtId="0" fontId="371" fillId="60" borderId="0" xfId="34760" applyFont="1" applyFill="1" applyAlignment="1">
      <alignment horizontal="right" vertical="center" wrapText="1"/>
    </xf>
    <xf numFmtId="341" fontId="374" fillId="123" borderId="0" xfId="34760" applyNumberFormat="1" applyFont="1" applyFill="1" applyAlignment="1">
      <alignment horizontal="right" vertical="center" wrapText="1"/>
    </xf>
    <xf numFmtId="341" fontId="374" fillId="60" borderId="0" xfId="34760" applyNumberFormat="1" applyFont="1" applyFill="1" applyAlignment="1">
      <alignment horizontal="right" vertical="center" wrapText="1"/>
    </xf>
    <xf numFmtId="0" fontId="374" fillId="60" borderId="0" xfId="34760" applyFont="1" applyFill="1" applyAlignment="1">
      <alignment horizontal="right" vertical="center" wrapText="1"/>
    </xf>
    <xf numFmtId="0" fontId="371" fillId="60" borderId="71" xfId="34760" applyFont="1" applyFill="1" applyBorder="1" applyAlignment="1">
      <alignment vertical="center" wrapText="1" indent="1"/>
    </xf>
    <xf numFmtId="341" fontId="371" fillId="123" borderId="71" xfId="34760" applyNumberFormat="1" applyFont="1" applyFill="1" applyBorder="1" applyAlignment="1">
      <alignment horizontal="right" vertical="center" wrapText="1"/>
    </xf>
    <xf numFmtId="341" fontId="371" fillId="0" borderId="71" xfId="34760" applyNumberFormat="1" applyFont="1" applyBorder="1" applyAlignment="1">
      <alignment horizontal="right" vertical="center" wrapText="1"/>
    </xf>
    <xf numFmtId="341" fontId="371" fillId="60" borderId="71" xfId="34760" applyNumberFormat="1" applyFont="1" applyFill="1" applyBorder="1" applyAlignment="1">
      <alignment horizontal="right" vertical="center" wrapText="1"/>
    </xf>
    <xf numFmtId="341" fontId="374" fillId="0" borderId="71" xfId="34760" applyNumberFormat="1" applyFont="1" applyBorder="1" applyAlignment="1">
      <alignment horizontal="right" vertical="center" wrapText="1"/>
    </xf>
    <xf numFmtId="0" fontId="374" fillId="60" borderId="70" xfId="34760" applyFont="1" applyFill="1" applyBorder="1" applyAlignment="1">
      <alignment vertical="center" wrapText="1"/>
    </xf>
    <xf numFmtId="0" fontId="371" fillId="0" borderId="0" xfId="34760" applyFont="1" applyAlignment="1">
      <alignment horizontal="right" vertical="center" wrapText="1"/>
    </xf>
    <xf numFmtId="0" fontId="371" fillId="0" borderId="71" xfId="34760" applyFont="1" applyBorder="1" applyAlignment="1">
      <alignment horizontal="right" vertical="center" wrapText="1"/>
    </xf>
    <xf numFmtId="0" fontId="374" fillId="0" borderId="70" xfId="34760" applyFont="1" applyBorder="1" applyAlignment="1">
      <alignment horizontal="right" vertical="center" wrapText="1"/>
    </xf>
    <xf numFmtId="0" fontId="371" fillId="60" borderId="71" xfId="34760" applyFont="1" applyFill="1" applyBorder="1" applyAlignment="1">
      <alignment vertical="center" wrapText="1"/>
    </xf>
    <xf numFmtId="0" fontId="371" fillId="60" borderId="0" xfId="34760" applyFont="1" applyFill="1" applyAlignment="1">
      <alignment vertical="center" wrapText="1"/>
    </xf>
    <xf numFmtId="0" fontId="374" fillId="60" borderId="71" xfId="34760" applyFont="1" applyFill="1" applyBorder="1" applyAlignment="1">
      <alignment vertical="center" wrapText="1"/>
    </xf>
    <xf numFmtId="341" fontId="374" fillId="123" borderId="71" xfId="34760" applyNumberFormat="1" applyFont="1" applyFill="1" applyBorder="1" applyAlignment="1">
      <alignment horizontal="right" vertical="center" wrapText="1"/>
    </xf>
    <xf numFmtId="341" fontId="374" fillId="60" borderId="71" xfId="34760" applyNumberFormat="1" applyFont="1" applyFill="1" applyBorder="1" applyAlignment="1">
      <alignment horizontal="right" vertical="center" wrapText="1"/>
    </xf>
    <xf numFmtId="0" fontId="374" fillId="0" borderId="71" xfId="34760" applyFont="1" applyBorder="1" applyAlignment="1">
      <alignment horizontal="right" vertical="center" wrapText="1"/>
    </xf>
    <xf numFmtId="0" fontId="376" fillId="0" borderId="71" xfId="34760" applyFont="1" applyBorder="1" applyAlignment="1">
      <alignment horizontal="right" vertical="center" wrapText="1"/>
    </xf>
    <xf numFmtId="0" fontId="371" fillId="0" borderId="101" xfId="34760" applyFont="1" applyBorder="1" applyAlignment="1">
      <alignment horizontal="left" vertical="center" wrapText="1"/>
    </xf>
    <xf numFmtId="356" fontId="371" fillId="0" borderId="101" xfId="34760" applyNumberFormat="1" applyFont="1" applyBorder="1" applyAlignment="1">
      <alignment horizontal="right" vertical="center" wrapText="1"/>
    </xf>
    <xf numFmtId="0" fontId="371" fillId="0" borderId="101" xfId="34760" applyFont="1" applyBorder="1" applyAlignment="1">
      <alignment horizontal="right" vertical="center" wrapText="1"/>
    </xf>
    <xf numFmtId="357" fontId="374" fillId="0" borderId="70" xfId="34760" applyNumberFormat="1" applyFont="1" applyBorder="1" applyAlignment="1">
      <alignment horizontal="right" vertical="center" wrapText="1"/>
    </xf>
    <xf numFmtId="0" fontId="374" fillId="0" borderId="0" xfId="34760" applyFont="1" applyAlignment="1">
      <alignment horizontal="right" vertical="center" wrapText="1"/>
    </xf>
    <xf numFmtId="0" fontId="375" fillId="0" borderId="0" xfId="34760" applyFont="1" applyAlignment="1">
      <alignment wrapText="1"/>
    </xf>
    <xf numFmtId="341" fontId="374" fillId="0" borderId="101" xfId="34760" applyNumberFormat="1" applyFont="1" applyBorder="1" applyAlignment="1">
      <alignment horizontal="right" vertical="center" wrapText="1"/>
    </xf>
    <xf numFmtId="0" fontId="374" fillId="60" borderId="0" xfId="34760" applyFont="1" applyFill="1" applyAlignment="1">
      <alignment vertical="center" wrapText="1"/>
    </xf>
    <xf numFmtId="0" fontId="374" fillId="60" borderId="101" xfId="34760" applyFont="1" applyFill="1" applyBorder="1" applyAlignment="1">
      <alignment vertical="center" wrapText="1"/>
    </xf>
    <xf numFmtId="341" fontId="374" fillId="123" borderId="101" xfId="34760" applyNumberFormat="1" applyFont="1" applyFill="1" applyBorder="1" applyAlignment="1">
      <alignment horizontal="right" vertical="center" wrapText="1"/>
    </xf>
    <xf numFmtId="341" fontId="374" fillId="60" borderId="101" xfId="34760" applyNumberFormat="1" applyFont="1" applyFill="1" applyBorder="1" applyAlignment="1">
      <alignment horizontal="right" vertical="center" wrapText="1"/>
    </xf>
    <xf numFmtId="0" fontId="376" fillId="60" borderId="71" xfId="0" applyFont="1" applyFill="1" applyBorder="1" applyAlignment="1">
      <alignment horizontal="right" vertical="center" wrapText="1"/>
    </xf>
    <xf numFmtId="0" fontId="374" fillId="60" borderId="0" xfId="0" applyFont="1" applyFill="1" applyAlignment="1">
      <alignment horizontal="left" vertical="center" wrapText="1"/>
    </xf>
    <xf numFmtId="0" fontId="376" fillId="0" borderId="0" xfId="0" applyFont="1" applyAlignment="1">
      <alignment horizontal="right" wrapText="1"/>
    </xf>
    <xf numFmtId="0" fontId="376" fillId="0" borderId="71" xfId="0" applyFont="1" applyBorder="1" applyAlignment="1">
      <alignment horizontal="right" wrapText="1"/>
    </xf>
    <xf numFmtId="0" fontId="371" fillId="123" borderId="70" xfId="0" applyFont="1" applyFill="1" applyBorder="1" applyAlignment="1">
      <alignment horizontal="right" vertical="center" wrapText="1"/>
    </xf>
    <xf numFmtId="0" fontId="373" fillId="60" borderId="0" xfId="0" applyFont="1" applyFill="1" applyAlignment="1">
      <alignment wrapText="1"/>
    </xf>
    <xf numFmtId="0" fontId="379" fillId="0" borderId="70" xfId="0" applyFont="1" applyBorder="1" applyAlignment="1">
      <alignment horizontal="right" vertical="center" wrapText="1"/>
    </xf>
    <xf numFmtId="0" fontId="373" fillId="60" borderId="71" xfId="0" applyFont="1" applyFill="1" applyBorder="1" applyAlignment="1">
      <alignment vertical="center" wrapText="1"/>
    </xf>
    <xf numFmtId="331" fontId="374" fillId="0" borderId="70" xfId="0" applyNumberFormat="1" applyFont="1" applyBorder="1" applyAlignment="1">
      <alignment horizontal="right" vertical="center" wrapText="1"/>
    </xf>
    <xf numFmtId="331" fontId="374" fillId="60" borderId="70" xfId="0" applyNumberFormat="1" applyFont="1" applyFill="1" applyBorder="1" applyAlignment="1">
      <alignment horizontal="right" vertical="center" wrapText="1"/>
    </xf>
    <xf numFmtId="0" fontId="371" fillId="60" borderId="70" xfId="0" applyFont="1" applyFill="1" applyBorder="1" applyAlignment="1">
      <alignment horizontal="right" vertical="center" wrapText="1"/>
    </xf>
    <xf numFmtId="356" fontId="374" fillId="0" borderId="70" xfId="0" applyNumberFormat="1" applyFont="1" applyBorder="1" applyAlignment="1">
      <alignment horizontal="right" vertical="center" wrapText="1"/>
    </xf>
    <xf numFmtId="0" fontId="374" fillId="123" borderId="70" xfId="0" applyFont="1" applyFill="1" applyBorder="1" applyAlignment="1">
      <alignment horizontal="right" vertical="center" wrapText="1"/>
    </xf>
    <xf numFmtId="356" fontId="371" fillId="0" borderId="70" xfId="0" applyNumberFormat="1" applyFont="1" applyBorder="1" applyAlignment="1">
      <alignment horizontal="right" vertical="center" wrapText="1"/>
    </xf>
    <xf numFmtId="356" fontId="371" fillId="60" borderId="70" xfId="0" applyNumberFormat="1" applyFont="1" applyFill="1" applyBorder="1" applyAlignment="1">
      <alignment horizontal="right" vertical="center" wrapText="1"/>
    </xf>
    <xf numFmtId="356" fontId="371" fillId="123" borderId="70" xfId="0" applyNumberFormat="1" applyFont="1" applyFill="1" applyBorder="1" applyAlignment="1">
      <alignment horizontal="right" vertical="center" wrapText="1"/>
    </xf>
    <xf numFmtId="356" fontId="371" fillId="0" borderId="71" xfId="0" applyNumberFormat="1" applyFont="1" applyBorder="1" applyAlignment="1">
      <alignment horizontal="right" vertical="center" wrapText="1"/>
    </xf>
    <xf numFmtId="351" fontId="371" fillId="0" borderId="71" xfId="0" applyNumberFormat="1" applyFont="1" applyBorder="1" applyAlignment="1">
      <alignment horizontal="right" vertical="center" wrapText="1"/>
    </xf>
    <xf numFmtId="356" fontId="371" fillId="60" borderId="71" xfId="0" applyNumberFormat="1" applyFont="1" applyFill="1" applyBorder="1" applyAlignment="1">
      <alignment horizontal="right" vertical="center" wrapText="1"/>
    </xf>
    <xf numFmtId="356" fontId="371" fillId="123" borderId="71" xfId="0" applyNumberFormat="1" applyFont="1" applyFill="1" applyBorder="1" applyAlignment="1">
      <alignment horizontal="right" vertical="center" wrapText="1"/>
    </xf>
    <xf numFmtId="356" fontId="374" fillId="60" borderId="70" xfId="0" applyNumberFormat="1" applyFont="1" applyFill="1" applyBorder="1" applyAlignment="1">
      <alignment horizontal="right" vertical="center" wrapText="1"/>
    </xf>
    <xf numFmtId="356" fontId="374" fillId="123" borderId="70" xfId="0" applyNumberFormat="1" applyFont="1" applyFill="1" applyBorder="1" applyAlignment="1">
      <alignment horizontal="right" vertical="center" wrapText="1"/>
    </xf>
    <xf numFmtId="350" fontId="374" fillId="0" borderId="70" xfId="0" applyNumberFormat="1" applyFont="1" applyBorder="1" applyAlignment="1">
      <alignment horizontal="right" vertical="center" wrapText="1"/>
    </xf>
    <xf numFmtId="350" fontId="374" fillId="60" borderId="70" xfId="0" applyNumberFormat="1" applyFont="1" applyFill="1" applyBorder="1" applyAlignment="1">
      <alignment horizontal="right" vertical="center" wrapText="1"/>
    </xf>
    <xf numFmtId="350" fontId="374" fillId="123" borderId="70" xfId="0" applyNumberFormat="1" applyFont="1" applyFill="1" applyBorder="1" applyAlignment="1">
      <alignment horizontal="right" vertical="center" wrapText="1"/>
    </xf>
    <xf numFmtId="0" fontId="373" fillId="0" borderId="0" xfId="0" applyFont="1" applyAlignment="1">
      <alignment horizontal="right" wrapText="1"/>
    </xf>
    <xf numFmtId="341" fontId="371" fillId="123" borderId="70" xfId="0" applyNumberFormat="1" applyFont="1" applyFill="1" applyBorder="1" applyAlignment="1">
      <alignment vertical="center" wrapText="1"/>
    </xf>
    <xf numFmtId="341" fontId="371" fillId="0" borderId="70" xfId="0" applyNumberFormat="1" applyFont="1" applyBorder="1" applyAlignment="1">
      <alignment vertical="center" wrapText="1"/>
    </xf>
    <xf numFmtId="0" fontId="376" fillId="0" borderId="0" xfId="0" applyFont="1" applyAlignment="1">
      <alignment horizontal="right" vertical="center" wrapText="1"/>
    </xf>
    <xf numFmtId="0" fontId="374" fillId="60" borderId="71" xfId="0" applyFont="1" applyFill="1" applyBorder="1" applyAlignment="1">
      <alignment vertical="center" wrapText="1"/>
    </xf>
    <xf numFmtId="0" fontId="374" fillId="0" borderId="71" xfId="0" applyFont="1" applyBorder="1" applyAlignment="1">
      <alignment horizontal="right" vertical="center" wrapText="1"/>
    </xf>
    <xf numFmtId="0" fontId="374" fillId="60" borderId="70" xfId="0" applyFont="1" applyFill="1" applyBorder="1" applyAlignment="1">
      <alignment wrapText="1"/>
    </xf>
    <xf numFmtId="265" fontId="317" fillId="60" borderId="0" xfId="0" applyNumberFormat="1" applyFont="1" applyFill="1" applyAlignment="1">
      <alignment horizontal="right" vertical="center" wrapText="1"/>
    </xf>
    <xf numFmtId="265" fontId="374" fillId="60" borderId="70" xfId="0" applyNumberFormat="1" applyFont="1" applyFill="1" applyBorder="1" applyAlignment="1">
      <alignment horizontal="right" vertical="center" wrapText="1"/>
    </xf>
    <xf numFmtId="351" fontId="371" fillId="60" borderId="0" xfId="0" applyNumberFormat="1" applyFont="1" applyFill="1" applyAlignment="1">
      <alignment horizontal="right" vertical="center" wrapText="1"/>
    </xf>
    <xf numFmtId="169" fontId="374" fillId="60" borderId="70" xfId="1" applyNumberFormat="1" applyFont="1" applyFill="1" applyBorder="1" applyAlignment="1">
      <alignment horizontal="right" vertical="center" wrapText="1"/>
    </xf>
    <xf numFmtId="169" fontId="374" fillId="123" borderId="70" xfId="1" applyNumberFormat="1" applyFont="1" applyFill="1" applyBorder="1" applyAlignment="1">
      <alignment horizontal="right" vertical="center" wrapText="1"/>
    </xf>
    <xf numFmtId="0" fontId="373" fillId="60" borderId="0" xfId="34760" applyFont="1" applyFill="1" applyAlignment="1">
      <alignment horizontal="center" vertical="center" wrapText="1"/>
    </xf>
    <xf numFmtId="0" fontId="372" fillId="60" borderId="0" xfId="0" applyFont="1" applyFill="1" applyAlignment="1">
      <alignment horizontal="left" vertical="center" wrapText="1"/>
    </xf>
    <xf numFmtId="336" fontId="371" fillId="123" borderId="0" xfId="0" applyNumberFormat="1" applyFont="1" applyFill="1" applyAlignment="1">
      <alignment horizontal="right" vertical="center" wrapText="1"/>
    </xf>
    <xf numFmtId="336" fontId="371" fillId="0" borderId="0" xfId="0" applyNumberFormat="1" applyFont="1" applyAlignment="1">
      <alignment horizontal="right" vertical="center" wrapText="1"/>
    </xf>
    <xf numFmtId="358" fontId="371" fillId="123" borderId="0" xfId="0" applyNumberFormat="1" applyFont="1" applyFill="1" applyAlignment="1">
      <alignment horizontal="right" vertical="center" wrapText="1"/>
    </xf>
    <xf numFmtId="358" fontId="371" fillId="60" borderId="0" xfId="0" applyNumberFormat="1" applyFont="1" applyFill="1" applyAlignment="1">
      <alignment horizontal="right" vertical="center" wrapText="1"/>
    </xf>
    <xf numFmtId="350" fontId="371" fillId="60" borderId="102" xfId="0" applyNumberFormat="1" applyFont="1" applyFill="1" applyBorder="1" applyAlignment="1">
      <alignment horizontal="right" vertical="center" wrapText="1"/>
    </xf>
    <xf numFmtId="341" fontId="371" fillId="60" borderId="70" xfId="0" applyNumberFormat="1" applyFont="1" applyFill="1" applyBorder="1" applyAlignment="1">
      <alignment horizontal="right" vertical="center" wrapText="1"/>
    </xf>
    <xf numFmtId="341" fontId="374" fillId="123" borderId="0" xfId="0" applyNumberFormat="1" applyFont="1" applyFill="1" applyAlignment="1">
      <alignment horizontal="right" vertical="center" wrapText="1"/>
    </xf>
    <xf numFmtId="341" fontId="374" fillId="123" borderId="71" xfId="0" applyNumberFormat="1" applyFont="1" applyFill="1" applyBorder="1" applyAlignment="1">
      <alignment horizontal="right" vertical="center" wrapText="1"/>
    </xf>
    <xf numFmtId="350" fontId="371" fillId="123" borderId="102" xfId="0" applyNumberFormat="1" applyFont="1" applyFill="1" applyBorder="1" applyAlignment="1">
      <alignment wrapText="1"/>
    </xf>
    <xf numFmtId="350" fontId="371" fillId="0" borderId="102" xfId="0" applyNumberFormat="1" applyFont="1" applyBorder="1" applyAlignment="1">
      <alignment wrapText="1"/>
    </xf>
    <xf numFmtId="0" fontId="362" fillId="0" borderId="0" xfId="34759">
      <alignment wrapText="1"/>
    </xf>
    <xf numFmtId="355" fontId="371" fillId="123" borderId="0" xfId="0" applyNumberFormat="1" applyFont="1" applyFill="1" applyAlignment="1">
      <alignment wrapText="1"/>
    </xf>
    <xf numFmtId="355" fontId="371" fillId="0" borderId="0" xfId="0" applyNumberFormat="1" applyFont="1" applyAlignment="1">
      <alignment wrapText="1"/>
    </xf>
    <xf numFmtId="358" fontId="371" fillId="123" borderId="0" xfId="0" applyNumberFormat="1" applyFont="1" applyFill="1" applyAlignment="1">
      <alignment wrapText="1"/>
    </xf>
    <xf numFmtId="358" fontId="371" fillId="0" borderId="0" xfId="0" applyNumberFormat="1" applyFont="1" applyAlignment="1">
      <alignment wrapText="1"/>
    </xf>
    <xf numFmtId="331" fontId="371" fillId="123" borderId="0" xfId="0" applyNumberFormat="1" applyFont="1" applyFill="1" applyAlignment="1">
      <alignment wrapText="1"/>
    </xf>
    <xf numFmtId="331" fontId="371" fillId="0" borderId="0" xfId="0" applyNumberFormat="1" applyFont="1" applyAlignment="1">
      <alignment wrapText="1"/>
    </xf>
    <xf numFmtId="355" fontId="371" fillId="123" borderId="70" xfId="0" applyNumberFormat="1" applyFont="1" applyFill="1" applyBorder="1" applyAlignment="1">
      <alignment horizontal="right" vertical="center" wrapText="1"/>
    </xf>
    <xf numFmtId="355" fontId="371" fillId="0" borderId="70" xfId="0" applyNumberFormat="1" applyFont="1" applyBorder="1" applyAlignment="1">
      <alignment horizontal="right" vertical="center" wrapText="1"/>
    </xf>
    <xf numFmtId="0" fontId="383" fillId="0" borderId="0" xfId="34764"/>
    <xf numFmtId="0" fontId="384" fillId="0" borderId="0" xfId="34765">
      <alignment wrapText="1"/>
    </xf>
    <xf numFmtId="0" fontId="371" fillId="60" borderId="71" xfId="34764" applyFont="1" applyFill="1" applyBorder="1" applyAlignment="1">
      <alignment vertical="center" wrapText="1"/>
    </xf>
    <xf numFmtId="0" fontId="384" fillId="60" borderId="0" xfId="0" applyFont="1" applyFill="1" applyAlignment="1">
      <alignment wrapText="1"/>
    </xf>
    <xf numFmtId="0" fontId="374" fillId="0" borderId="70" xfId="0" applyFont="1" applyBorder="1" applyAlignment="1">
      <alignment horizontal="right" vertical="center" wrapText="1"/>
    </xf>
    <xf numFmtId="360" fontId="371" fillId="123" borderId="0" xfId="0" applyNumberFormat="1" applyFont="1" applyFill="1" applyAlignment="1">
      <alignment horizontal="right" vertical="center" wrapText="1"/>
    </xf>
    <xf numFmtId="360" fontId="371" fillId="0" borderId="0" xfId="0" applyNumberFormat="1" applyFont="1" applyAlignment="1">
      <alignment horizontal="right" vertical="center" wrapText="1"/>
    </xf>
    <xf numFmtId="0" fontId="384" fillId="60" borderId="71" xfId="0" applyFont="1" applyFill="1" applyBorder="1" applyAlignment="1">
      <alignment wrapText="1"/>
    </xf>
    <xf numFmtId="0" fontId="371" fillId="60" borderId="70" xfId="0" applyFont="1" applyFill="1" applyBorder="1" applyAlignment="1">
      <alignment vertical="center" wrapText="1" indent="1"/>
    </xf>
    <xf numFmtId="0" fontId="371" fillId="60" borderId="0" xfId="0" applyFont="1" applyFill="1" applyAlignment="1">
      <alignment vertical="center" wrapText="1" indent="1"/>
    </xf>
    <xf numFmtId="0" fontId="371" fillId="60" borderId="71" xfId="0" applyFont="1" applyFill="1" applyBorder="1" applyAlignment="1">
      <alignment vertical="center" wrapText="1" indent="1"/>
    </xf>
    <xf numFmtId="341" fontId="371" fillId="123" borderId="70" xfId="0" applyNumberFormat="1" applyFont="1" applyFill="1" applyBorder="1" applyAlignment="1">
      <alignment horizontal="right" vertical="center" wrapText="1"/>
    </xf>
    <xf numFmtId="341" fontId="371" fillId="0" borderId="70" xfId="0" applyNumberFormat="1" applyFont="1" applyBorder="1" applyAlignment="1">
      <alignment horizontal="right" vertical="center" wrapText="1"/>
    </xf>
    <xf numFmtId="0" fontId="385" fillId="0" borderId="0" xfId="0" applyFont="1" applyAlignment="1">
      <alignment wrapText="1"/>
    </xf>
    <xf numFmtId="0" fontId="371" fillId="0" borderId="101" xfId="0" applyFont="1" applyBorder="1" applyAlignment="1">
      <alignment horizontal="left" vertical="center" wrapText="1"/>
    </xf>
    <xf numFmtId="0" fontId="371" fillId="0" borderId="101" xfId="0" applyFont="1" applyBorder="1" applyAlignment="1">
      <alignment horizontal="right" vertical="center" wrapText="1"/>
    </xf>
    <xf numFmtId="357" fontId="374" fillId="0" borderId="70" xfId="0" applyNumberFormat="1" applyFont="1" applyBorder="1" applyAlignment="1">
      <alignment horizontal="right" vertical="center" wrapText="1"/>
    </xf>
    <xf numFmtId="340" fontId="373" fillId="60" borderId="0" xfId="0" applyNumberFormat="1" applyFont="1" applyFill="1" applyAlignment="1">
      <alignment horizontal="right" wrapText="1"/>
    </xf>
    <xf numFmtId="341" fontId="371" fillId="123" borderId="103" xfId="0" applyNumberFormat="1" applyFont="1" applyFill="1" applyBorder="1" applyAlignment="1">
      <alignment horizontal="right" vertical="center" wrapText="1"/>
    </xf>
    <xf numFmtId="0" fontId="371" fillId="60" borderId="103" xfId="0" applyFont="1" applyFill="1" applyBorder="1" applyAlignment="1">
      <alignment vertical="center" wrapText="1"/>
    </xf>
    <xf numFmtId="0" fontId="374" fillId="60" borderId="102" xfId="0" applyFont="1" applyFill="1" applyBorder="1" applyAlignment="1">
      <alignment vertical="center" wrapText="1"/>
    </xf>
    <xf numFmtId="341" fontId="374" fillId="123" borderId="102" xfId="0" applyNumberFormat="1" applyFont="1" applyFill="1" applyBorder="1" applyAlignment="1">
      <alignment horizontal="right" vertical="center" wrapText="1"/>
    </xf>
    <xf numFmtId="0" fontId="373" fillId="60" borderId="71" xfId="0" applyFont="1" applyFill="1" applyBorder="1" applyAlignment="1">
      <alignment horizontal="right" wrapText="1"/>
    </xf>
    <xf numFmtId="0" fontId="371" fillId="123" borderId="70" xfId="0" applyFont="1" applyFill="1" applyBorder="1" applyAlignment="1">
      <alignment wrapText="1"/>
    </xf>
    <xf numFmtId="341" fontId="371" fillId="0" borderId="70" xfId="0" applyNumberFormat="1" applyFont="1" applyBorder="1" applyAlignment="1">
      <alignment wrapText="1"/>
    </xf>
    <xf numFmtId="341" fontId="371" fillId="123" borderId="70" xfId="0" applyNumberFormat="1" applyFont="1" applyFill="1" applyBorder="1" applyAlignment="1">
      <alignment wrapText="1"/>
    </xf>
    <xf numFmtId="340" fontId="373" fillId="0" borderId="0" xfId="0" applyNumberFormat="1" applyFont="1" applyAlignment="1">
      <alignment horizontal="right" wrapText="1"/>
    </xf>
    <xf numFmtId="350" fontId="371" fillId="60" borderId="70" xfId="0" applyNumberFormat="1" applyFont="1" applyFill="1" applyBorder="1" applyAlignment="1">
      <alignment horizontal="right" vertical="center" wrapText="1"/>
    </xf>
    <xf numFmtId="346" fontId="371" fillId="123" borderId="70" xfId="0" applyNumberFormat="1" applyFont="1" applyFill="1" applyBorder="1" applyAlignment="1">
      <alignment horizontal="right" vertical="center" wrapText="1"/>
    </xf>
    <xf numFmtId="341" fontId="371" fillId="123" borderId="102" xfId="0" applyNumberFormat="1" applyFont="1" applyFill="1" applyBorder="1" applyAlignment="1">
      <alignment horizontal="right" vertical="center" wrapText="1"/>
    </xf>
    <xf numFmtId="341" fontId="374" fillId="0" borderId="104" xfId="0" applyNumberFormat="1" applyFont="1" applyBorder="1" applyAlignment="1">
      <alignment horizontal="right" vertical="center" wrapText="1"/>
    </xf>
    <xf numFmtId="359" fontId="371" fillId="0" borderId="0" xfId="0" applyNumberFormat="1" applyFont="1" applyAlignment="1">
      <alignment wrapText="1"/>
    </xf>
    <xf numFmtId="351" fontId="371" fillId="60" borderId="94" xfId="0" applyNumberFormat="1" applyFont="1" applyFill="1" applyBorder="1" applyAlignment="1">
      <alignment horizontal="right" vertical="center" wrapText="1"/>
    </xf>
    <xf numFmtId="0" fontId="388" fillId="60" borderId="0" xfId="0" applyFont="1" applyFill="1" applyAlignment="1">
      <alignment vertical="center" wrapText="1"/>
    </xf>
    <xf numFmtId="0" fontId="388" fillId="0" borderId="0" xfId="0" applyFont="1" applyAlignment="1">
      <alignment vertical="center" wrapText="1"/>
    </xf>
    <xf numFmtId="0" fontId="371" fillId="0" borderId="71" xfId="0" applyFont="1" applyBorder="1" applyAlignment="1">
      <alignment vertical="center" wrapText="1"/>
    </xf>
    <xf numFmtId="350" fontId="371" fillId="0" borderId="0" xfId="0" applyNumberFormat="1" applyFont="1" applyAlignment="1">
      <alignment horizontal="right" vertical="center" wrapText="1"/>
    </xf>
    <xf numFmtId="358" fontId="371" fillId="0" borderId="0" xfId="0" applyNumberFormat="1" applyFont="1" applyAlignment="1">
      <alignment horizontal="right" vertical="center" wrapText="1"/>
    </xf>
    <xf numFmtId="0" fontId="371" fillId="123" borderId="0" xfId="0" applyFont="1" applyFill="1" applyAlignment="1">
      <alignment horizontal="right" vertical="center" wrapText="1"/>
    </xf>
    <xf numFmtId="350" fontId="371" fillId="123" borderId="0" xfId="0" applyNumberFormat="1" applyFont="1" applyFill="1" applyAlignment="1">
      <alignment horizontal="right" vertical="center" wrapText="1"/>
    </xf>
    <xf numFmtId="0" fontId="371" fillId="0" borderId="70" xfId="0" applyFont="1" applyBorder="1" applyAlignment="1">
      <alignment horizontal="right" vertical="center" wrapText="1"/>
    </xf>
    <xf numFmtId="0" fontId="384" fillId="0" borderId="71" xfId="0" applyFont="1" applyBorder="1" applyAlignment="1">
      <alignment wrapText="1"/>
    </xf>
    <xf numFmtId="341" fontId="371" fillId="123" borderId="98" xfId="0" applyNumberFormat="1" applyFont="1" applyFill="1" applyBorder="1" applyAlignment="1">
      <alignment horizontal="right" vertical="center" wrapText="1"/>
    </xf>
    <xf numFmtId="341" fontId="371" fillId="0" borderId="98" xfId="0" applyNumberFormat="1" applyFont="1" applyBorder="1" applyAlignment="1">
      <alignment horizontal="right" vertical="center" wrapText="1"/>
    </xf>
    <xf numFmtId="341" fontId="374" fillId="123" borderId="99" xfId="0" applyNumberFormat="1" applyFont="1" applyFill="1" applyBorder="1" applyAlignment="1">
      <alignment horizontal="right" vertical="center" wrapText="1"/>
    </xf>
    <xf numFmtId="341" fontId="374" fillId="0" borderId="99" xfId="0" applyNumberFormat="1" applyFont="1" applyBorder="1" applyAlignment="1">
      <alignment horizontal="right" vertical="center" wrapText="1"/>
    </xf>
    <xf numFmtId="337" fontId="371" fillId="123" borderId="70" xfId="0" applyNumberFormat="1" applyFont="1" applyFill="1" applyBorder="1" applyAlignment="1">
      <alignment vertical="center" wrapText="1"/>
    </xf>
    <xf numFmtId="337" fontId="371" fillId="0" borderId="70" xfId="0" applyNumberFormat="1" applyFont="1" applyBorder="1" applyAlignment="1">
      <alignment vertical="center" wrapText="1"/>
    </xf>
    <xf numFmtId="337" fontId="371" fillId="0" borderId="70" xfId="0" applyNumberFormat="1" applyFont="1" applyBorder="1" applyAlignment="1">
      <alignment horizontal="right" vertical="center" wrapText="1"/>
    </xf>
    <xf numFmtId="337" fontId="371" fillId="60" borderId="70" xfId="0" applyNumberFormat="1" applyFont="1" applyFill="1" applyBorder="1" applyAlignment="1">
      <alignment horizontal="right" vertical="center" wrapText="1"/>
    </xf>
    <xf numFmtId="0" fontId="389" fillId="60" borderId="0" xfId="0" applyFont="1" applyFill="1" applyAlignment="1">
      <alignment vertical="center" wrapText="1"/>
    </xf>
    <xf numFmtId="0" fontId="389" fillId="0" borderId="0" xfId="0" applyFont="1" applyAlignment="1">
      <alignment vertical="center" wrapText="1"/>
    </xf>
    <xf numFmtId="0" fontId="387" fillId="60" borderId="0" xfId="0" applyFont="1" applyFill="1" applyAlignment="1">
      <alignment horizontal="right" vertical="center" wrapText="1"/>
    </xf>
    <xf numFmtId="0" fontId="390" fillId="60" borderId="0" xfId="0" applyFont="1" applyFill="1" applyAlignment="1">
      <alignment horizontal="right" vertical="center" wrapText="1"/>
    </xf>
    <xf numFmtId="341" fontId="371" fillId="60" borderId="98" xfId="0" applyNumberFormat="1" applyFont="1" applyFill="1" applyBorder="1" applyAlignment="1">
      <alignment horizontal="right" vertical="center" wrapText="1"/>
    </xf>
    <xf numFmtId="0" fontId="376" fillId="60" borderId="103" xfId="0" applyFont="1" applyFill="1" applyBorder="1" applyAlignment="1">
      <alignment horizontal="right" wrapText="1"/>
    </xf>
    <xf numFmtId="351" fontId="371" fillId="0" borderId="102" xfId="0" applyNumberFormat="1" applyFont="1" applyBorder="1" applyAlignment="1">
      <alignment horizontal="right" vertical="center" wrapText="1"/>
    </xf>
    <xf numFmtId="352" fontId="371" fillId="0" borderId="71" xfId="0" applyNumberFormat="1" applyFont="1" applyBorder="1" applyAlignment="1">
      <alignment horizontal="right" vertical="center" wrapText="1"/>
    </xf>
    <xf numFmtId="341" fontId="374" fillId="0" borderId="70" xfId="0" applyNumberFormat="1" applyFont="1" applyBorder="1" applyAlignment="1">
      <alignment vertical="center" wrapText="1"/>
    </xf>
    <xf numFmtId="0" fontId="40" fillId="0" borderId="0" xfId="0" applyFont="1"/>
    <xf numFmtId="0" fontId="373" fillId="0" borderId="71" xfId="3010" applyFont="1" applyBorder="1" applyAlignment="1">
      <alignment horizontal="right" vertical="center"/>
    </xf>
    <xf numFmtId="0" fontId="373" fillId="60" borderId="71" xfId="24795" applyFont="1" applyFill="1" applyBorder="1" applyAlignment="1">
      <alignment horizontal="right" wrapText="1"/>
    </xf>
    <xf numFmtId="168" fontId="380" fillId="0" borderId="0" xfId="3010" applyNumberFormat="1" applyFont="1" applyAlignment="1">
      <alignment vertical="center"/>
    </xf>
    <xf numFmtId="9" fontId="374" fillId="0" borderId="0" xfId="1" applyFont="1" applyAlignment="1">
      <alignment horizontal="right" vertical="center" wrapText="1"/>
    </xf>
    <xf numFmtId="351" fontId="371" fillId="60" borderId="70" xfId="0" applyNumberFormat="1" applyFont="1" applyFill="1" applyBorder="1" applyAlignment="1">
      <alignment horizontal="right" vertical="center" wrapText="1"/>
    </xf>
    <xf numFmtId="351" fontId="371" fillId="123" borderId="71" xfId="0" applyNumberFormat="1" applyFont="1" applyFill="1" applyBorder="1" applyAlignment="1">
      <alignment horizontal="right" vertical="center" wrapText="1"/>
    </xf>
    <xf numFmtId="351" fontId="371" fillId="60" borderId="71" xfId="0" applyNumberFormat="1" applyFont="1" applyFill="1" applyBorder="1" applyAlignment="1">
      <alignment horizontal="right" vertical="center" wrapText="1"/>
    </xf>
    <xf numFmtId="351" fontId="374" fillId="123" borderId="70" xfId="0" applyNumberFormat="1" applyFont="1" applyFill="1" applyBorder="1" applyAlignment="1">
      <alignment horizontal="right" vertical="center" wrapText="1"/>
    </xf>
    <xf numFmtId="351" fontId="374" fillId="60" borderId="70" xfId="0" applyNumberFormat="1" applyFont="1" applyFill="1" applyBorder="1" applyAlignment="1">
      <alignment horizontal="right" vertical="center" wrapText="1"/>
    </xf>
    <xf numFmtId="362" fontId="371" fillId="0" borderId="0" xfId="0" applyNumberFormat="1" applyFont="1" applyAlignment="1">
      <alignment horizontal="right" vertical="center" wrapText="1"/>
    </xf>
    <xf numFmtId="0" fontId="391" fillId="0" borderId="0" xfId="0" applyFont="1" applyAlignment="1">
      <alignment wrapText="1"/>
    </xf>
    <xf numFmtId="363" fontId="371" fillId="0" borderId="0" xfId="0" applyNumberFormat="1" applyFont="1" applyAlignment="1">
      <alignment horizontal="right" vertical="center" wrapText="1"/>
    </xf>
    <xf numFmtId="0" fontId="362" fillId="0" borderId="71" xfId="0" applyFont="1" applyBorder="1" applyAlignment="1">
      <alignment wrapText="1"/>
    </xf>
    <xf numFmtId="0" fontId="371" fillId="123" borderId="71" xfId="0" applyFont="1" applyFill="1" applyBorder="1" applyAlignment="1">
      <alignment horizontal="right" vertical="center" wrapText="1"/>
    </xf>
    <xf numFmtId="341" fontId="371" fillId="60" borderId="70" xfId="0" applyNumberFormat="1" applyFont="1" applyFill="1" applyBorder="1" applyAlignment="1">
      <alignment vertical="center" wrapText="1"/>
    </xf>
    <xf numFmtId="332" fontId="248" fillId="0" borderId="0" xfId="2980" applyNumberFormat="1" applyFont="1" applyAlignment="1">
      <alignment horizontal="right" vertical="center" wrapText="1"/>
    </xf>
    <xf numFmtId="332" fontId="248" fillId="0" borderId="71" xfId="2980" applyNumberFormat="1" applyFont="1" applyBorder="1" applyAlignment="1">
      <alignment horizontal="right" vertical="center" wrapText="1"/>
    </xf>
    <xf numFmtId="332" fontId="250" fillId="0" borderId="70" xfId="2980" applyNumberFormat="1" applyFont="1" applyBorder="1" applyAlignment="1">
      <alignment horizontal="right" vertical="center" wrapText="1"/>
    </xf>
    <xf numFmtId="332" fontId="250" fillId="0" borderId="0" xfId="2980" applyNumberFormat="1" applyFont="1" applyAlignment="1">
      <alignment horizontal="right" vertical="center" wrapText="1"/>
    </xf>
    <xf numFmtId="0" fontId="384" fillId="0" borderId="0" xfId="0" applyFont="1" applyAlignment="1">
      <alignment wrapText="1"/>
    </xf>
    <xf numFmtId="332" fontId="317" fillId="0" borderId="71" xfId="2980" applyNumberFormat="1" applyFont="1" applyBorder="1" applyAlignment="1">
      <alignment horizontal="right" vertical="center" wrapText="1"/>
    </xf>
    <xf numFmtId="332" fontId="318" fillId="0" borderId="70" xfId="2980" applyNumberFormat="1" applyFont="1" applyBorder="1" applyAlignment="1">
      <alignment horizontal="right" vertical="center" wrapText="1"/>
    </xf>
    <xf numFmtId="340" fontId="373" fillId="60" borderId="0" xfId="0" applyNumberFormat="1" applyFont="1" applyFill="1" applyAlignment="1">
      <alignment horizontal="center" vertical="center" wrapText="1"/>
    </xf>
    <xf numFmtId="0" fontId="322" fillId="0" borderId="0" xfId="0" applyFont="1" applyAlignment="1">
      <alignment horizontal="left"/>
    </xf>
    <xf numFmtId="341" fontId="374" fillId="0" borderId="103" xfId="0" applyNumberFormat="1" applyFont="1" applyBorder="1" applyAlignment="1">
      <alignment horizontal="right" vertical="center" wrapText="1"/>
    </xf>
    <xf numFmtId="341" fontId="371" fillId="60" borderId="103" xfId="0" applyNumberFormat="1" applyFont="1" applyFill="1" applyBorder="1" applyAlignment="1">
      <alignment horizontal="right" vertical="center" wrapText="1"/>
    </xf>
    <xf numFmtId="341" fontId="374" fillId="0" borderId="105" xfId="0" applyNumberFormat="1" applyFont="1" applyBorder="1" applyAlignment="1">
      <alignment horizontal="right" vertical="center" wrapText="1"/>
    </xf>
    <xf numFmtId="341" fontId="374" fillId="60" borderId="102" xfId="0" applyNumberFormat="1" applyFont="1" applyFill="1" applyBorder="1" applyAlignment="1">
      <alignment horizontal="right" vertical="center" wrapText="1"/>
    </xf>
    <xf numFmtId="265" fontId="371" fillId="123" borderId="0" xfId="0" applyNumberFormat="1" applyFont="1" applyFill="1" applyAlignment="1">
      <alignment horizontal="right" vertical="center" wrapText="1"/>
    </xf>
    <xf numFmtId="265" fontId="371" fillId="0" borderId="0" xfId="0" applyNumberFormat="1" applyFont="1" applyAlignment="1">
      <alignment horizontal="right" vertical="center" wrapText="1"/>
    </xf>
    <xf numFmtId="265" fontId="371" fillId="60" borderId="0" xfId="0" applyNumberFormat="1" applyFont="1" applyFill="1" applyAlignment="1">
      <alignment horizontal="right" vertical="center" wrapText="1"/>
    </xf>
    <xf numFmtId="265" fontId="371" fillId="123" borderId="70" xfId="0" applyNumberFormat="1" applyFont="1" applyFill="1" applyBorder="1" applyAlignment="1">
      <alignment horizontal="right" vertical="center" wrapText="1"/>
    </xf>
    <xf numFmtId="265" fontId="371" fillId="0" borderId="70" xfId="0" applyNumberFormat="1" applyFont="1" applyBorder="1" applyAlignment="1">
      <alignment horizontal="right" vertical="center" wrapText="1"/>
    </xf>
    <xf numFmtId="211" fontId="371" fillId="123" borderId="0" xfId="4" applyNumberFormat="1" applyFont="1" applyFill="1" applyAlignment="1">
      <alignment horizontal="right" vertical="center" wrapText="1"/>
    </xf>
    <xf numFmtId="211" fontId="371" fillId="0" borderId="0" xfId="4" applyNumberFormat="1" applyFont="1" applyAlignment="1">
      <alignment horizontal="right" vertical="center" wrapText="1"/>
    </xf>
    <xf numFmtId="9" fontId="374" fillId="60" borderId="0" xfId="34760" applyNumberFormat="1" applyFont="1" applyFill="1" applyAlignment="1">
      <alignment horizontal="right" vertical="center" wrapText="1"/>
    </xf>
    <xf numFmtId="10" fontId="371" fillId="0" borderId="0" xfId="1" applyNumberFormat="1" applyFont="1" applyAlignment="1">
      <alignment horizontal="right" vertical="center" wrapText="1"/>
    </xf>
    <xf numFmtId="10" fontId="371" fillId="60" borderId="0" xfId="1" applyNumberFormat="1" applyFont="1" applyFill="1" applyAlignment="1">
      <alignment horizontal="right" vertical="center" wrapText="1"/>
    </xf>
    <xf numFmtId="335" fontId="371" fillId="60" borderId="0" xfId="0" applyNumberFormat="1" applyFont="1" applyFill="1" applyAlignment="1">
      <alignment horizontal="right" vertical="center" wrapText="1"/>
    </xf>
    <xf numFmtId="265" fontId="371" fillId="123" borderId="0" xfId="0" applyNumberFormat="1" applyFont="1" applyFill="1" applyAlignment="1">
      <alignment wrapText="1"/>
    </xf>
    <xf numFmtId="265" fontId="371" fillId="0" borderId="0" xfId="0" applyNumberFormat="1" applyFont="1" applyAlignment="1">
      <alignment wrapText="1"/>
    </xf>
    <xf numFmtId="265" fontId="317" fillId="55" borderId="0" xfId="1" applyNumberFormat="1" applyFont="1" applyFill="1" applyAlignment="1">
      <alignment horizontal="right" vertical="center" wrapText="1"/>
    </xf>
    <xf numFmtId="341" fontId="374" fillId="0" borderId="102" xfId="0" applyNumberFormat="1" applyFont="1" applyBorder="1" applyAlignment="1">
      <alignment horizontal="right" vertical="center" wrapText="1"/>
    </xf>
    <xf numFmtId="265" fontId="371" fillId="123" borderId="94" xfId="0" applyNumberFormat="1" applyFont="1" applyFill="1" applyBorder="1" applyAlignment="1">
      <alignment horizontal="right" vertical="center" wrapText="1"/>
    </xf>
    <xf numFmtId="265" fontId="371" fillId="0" borderId="94" xfId="0" applyNumberFormat="1" applyFont="1" applyBorder="1" applyAlignment="1">
      <alignment horizontal="right" vertical="center" wrapText="1"/>
    </xf>
    <xf numFmtId="265" fontId="371" fillId="60" borderId="0" xfId="0" applyNumberFormat="1" applyFont="1" applyFill="1" applyAlignment="1">
      <alignment vertical="center" wrapText="1"/>
    </xf>
    <xf numFmtId="211" fontId="371" fillId="123" borderId="70" xfId="4" applyNumberFormat="1" applyFont="1" applyFill="1" applyBorder="1" applyAlignment="1">
      <alignment horizontal="right" vertical="center" wrapText="1"/>
    </xf>
    <xf numFmtId="211" fontId="371" fillId="0" borderId="70" xfId="4" applyNumberFormat="1" applyFont="1" applyBorder="1" applyAlignment="1">
      <alignment horizontal="right" vertical="center" wrapText="1"/>
    </xf>
    <xf numFmtId="211" fontId="384" fillId="0" borderId="0" xfId="4" applyNumberFormat="1" applyFont="1" applyAlignment="1">
      <alignment wrapText="1"/>
    </xf>
    <xf numFmtId="211" fontId="371" fillId="60" borderId="70" xfId="4" applyNumberFormat="1" applyFont="1" applyFill="1" applyBorder="1" applyAlignment="1">
      <alignment horizontal="right" vertical="center" wrapText="1"/>
    </xf>
    <xf numFmtId="211" fontId="371" fillId="60" borderId="0" xfId="4" applyNumberFormat="1" applyFont="1" applyFill="1" applyAlignment="1">
      <alignment horizontal="right" vertical="center" wrapText="1"/>
    </xf>
    <xf numFmtId="341" fontId="384" fillId="0" borderId="0" xfId="34765" applyNumberFormat="1">
      <alignment wrapText="1"/>
    </xf>
    <xf numFmtId="10" fontId="371" fillId="123" borderId="0" xfId="1" applyNumberFormat="1" applyFont="1" applyFill="1" applyAlignment="1">
      <alignment horizontal="right" vertical="center" wrapText="1"/>
    </xf>
    <xf numFmtId="10" fontId="384" fillId="0" borderId="0" xfId="1" applyNumberFormat="1" applyFont="1" applyAlignment="1">
      <alignment wrapText="1"/>
    </xf>
    <xf numFmtId="211" fontId="371" fillId="123" borderId="71" xfId="4" applyNumberFormat="1" applyFont="1" applyFill="1" applyBorder="1" applyAlignment="1">
      <alignment horizontal="right" vertical="center" wrapText="1"/>
    </xf>
    <xf numFmtId="211" fontId="371" fillId="0" borderId="71" xfId="4" applyNumberFormat="1" applyFont="1" applyBorder="1" applyAlignment="1">
      <alignment horizontal="right" vertical="center" wrapText="1"/>
    </xf>
    <xf numFmtId="211" fontId="374" fillId="123" borderId="70" xfId="4" applyNumberFormat="1" applyFont="1" applyFill="1" applyBorder="1" applyAlignment="1">
      <alignment horizontal="right" vertical="center" wrapText="1"/>
    </xf>
    <xf numFmtId="211" fontId="374" fillId="0" borderId="70" xfId="4" applyNumberFormat="1" applyFont="1" applyBorder="1" applyAlignment="1">
      <alignment horizontal="right" vertical="center" wrapText="1"/>
    </xf>
    <xf numFmtId="0" fontId="362" fillId="0" borderId="0" xfId="0" applyFont="1" applyAlignment="1">
      <alignment wrapText="1"/>
    </xf>
    <xf numFmtId="0" fontId="362" fillId="0" borderId="0" xfId="0" applyFont="1" applyAlignment="1">
      <alignment horizontal="right" wrapText="1"/>
    </xf>
    <xf numFmtId="0" fontId="373" fillId="60" borderId="0" xfId="2980" applyFont="1" applyFill="1" applyAlignment="1">
      <alignment horizontal="right" wrapText="1"/>
    </xf>
    <xf numFmtId="350" fontId="371" fillId="123" borderId="102" xfId="0" applyNumberFormat="1" applyFont="1" applyFill="1" applyBorder="1" applyAlignment="1">
      <alignment horizontal="right" vertical="center" wrapText="1"/>
    </xf>
    <xf numFmtId="234" fontId="371" fillId="123" borderId="71" xfId="4" applyNumberFormat="1" applyFont="1" applyFill="1" applyBorder="1" applyAlignment="1">
      <alignment horizontal="right" vertical="center" wrapText="1"/>
    </xf>
    <xf numFmtId="234" fontId="371" fillId="60" borderId="71" xfId="4" applyNumberFormat="1" applyFont="1" applyFill="1" applyBorder="1" applyAlignment="1">
      <alignment horizontal="right" vertical="center" wrapText="1"/>
    </xf>
    <xf numFmtId="350" fontId="371" fillId="0" borderId="102" xfId="0" applyNumberFormat="1" applyFont="1" applyBorder="1" applyAlignment="1">
      <alignment horizontal="right" vertical="center" wrapText="1"/>
    </xf>
    <xf numFmtId="361" fontId="371" fillId="0" borderId="0" xfId="0" applyNumberFormat="1" applyFont="1" applyAlignment="1">
      <alignment horizontal="right" vertical="center" wrapText="1"/>
    </xf>
    <xf numFmtId="361" fontId="371" fillId="123" borderId="0" xfId="0" applyNumberFormat="1" applyFont="1" applyFill="1" applyAlignment="1">
      <alignment horizontal="right" vertical="center" wrapText="1"/>
    </xf>
    <xf numFmtId="341" fontId="371" fillId="124" borderId="0" xfId="0" applyNumberFormat="1" applyFont="1" applyFill="1" applyAlignment="1">
      <alignment horizontal="right" vertical="center" wrapText="1"/>
    </xf>
    <xf numFmtId="168" fontId="248" fillId="122" borderId="70" xfId="3010" applyNumberFormat="1" applyFont="1" applyFill="1" applyBorder="1" applyAlignment="1">
      <alignment horizontal="right" vertical="center"/>
    </xf>
    <xf numFmtId="168" fontId="248" fillId="122" borderId="0" xfId="3010" applyNumberFormat="1" applyFont="1" applyFill="1" applyAlignment="1">
      <alignment horizontal="right" vertical="center"/>
    </xf>
    <xf numFmtId="168" fontId="248" fillId="122" borderId="71" xfId="3010" applyNumberFormat="1" applyFont="1" applyFill="1" applyBorder="1" applyAlignment="1">
      <alignment horizontal="right" vertical="center"/>
    </xf>
    <xf numFmtId="168" fontId="250" fillId="122" borderId="70" xfId="3010" applyNumberFormat="1" applyFont="1" applyFill="1" applyBorder="1" applyAlignment="1">
      <alignment horizontal="right" vertical="center"/>
    </xf>
    <xf numFmtId="168" fontId="250" fillId="122" borderId="0" xfId="3010" applyNumberFormat="1" applyFont="1" applyFill="1" applyAlignment="1">
      <alignment horizontal="right" vertical="center"/>
    </xf>
    <xf numFmtId="341" fontId="371" fillId="122" borderId="0" xfId="0" applyNumberFormat="1" applyFont="1" applyFill="1" applyAlignment="1">
      <alignment horizontal="right" vertical="center" wrapText="1"/>
    </xf>
    <xf numFmtId="350" fontId="371" fillId="122" borderId="70" xfId="0" applyNumberFormat="1" applyFont="1" applyFill="1" applyBorder="1" applyAlignment="1">
      <alignment horizontal="right" vertical="center" wrapText="1"/>
    </xf>
    <xf numFmtId="361" fontId="371" fillId="122" borderId="0" xfId="0" applyNumberFormat="1" applyFont="1" applyFill="1" applyAlignment="1">
      <alignment horizontal="right" vertical="center" wrapText="1"/>
    </xf>
    <xf numFmtId="358" fontId="371" fillId="122" borderId="0" xfId="0" applyNumberFormat="1" applyFont="1" applyFill="1" applyAlignment="1">
      <alignment horizontal="right" vertical="center" wrapText="1"/>
    </xf>
    <xf numFmtId="327" fontId="317" fillId="122" borderId="70" xfId="0" applyNumberFormat="1" applyFont="1" applyFill="1" applyBorder="1" applyAlignment="1">
      <alignment horizontal="right" vertical="center" wrapText="1"/>
    </xf>
    <xf numFmtId="327" fontId="317" fillId="122" borderId="0" xfId="0" applyNumberFormat="1" applyFont="1" applyFill="1" applyAlignment="1">
      <alignment horizontal="right" vertical="center" wrapText="1"/>
    </xf>
    <xf numFmtId="327" fontId="318" fillId="122" borderId="70" xfId="0" applyNumberFormat="1" applyFont="1" applyFill="1" applyBorder="1" applyAlignment="1">
      <alignment horizontal="right" vertical="center" wrapText="1"/>
    </xf>
    <xf numFmtId="0" fontId="248" fillId="122" borderId="0" xfId="3010" applyFont="1" applyFill="1" applyAlignment="1">
      <alignment vertical="center"/>
    </xf>
    <xf numFmtId="346" fontId="371" fillId="122" borderId="70" xfId="0" applyNumberFormat="1" applyFont="1" applyFill="1" applyBorder="1" applyAlignment="1">
      <alignment horizontal="right" vertical="center" wrapText="1"/>
    </xf>
    <xf numFmtId="341" fontId="371" fillId="122" borderId="103" xfId="0" applyNumberFormat="1" applyFont="1" applyFill="1" applyBorder="1" applyAlignment="1">
      <alignment horizontal="right" vertical="center" wrapText="1"/>
    </xf>
    <xf numFmtId="341" fontId="374" fillId="122" borderId="102" xfId="0" applyNumberFormat="1" applyFont="1" applyFill="1" applyBorder="1" applyAlignment="1">
      <alignment horizontal="right" vertical="center" wrapText="1"/>
    </xf>
    <xf numFmtId="341" fontId="371" fillId="122" borderId="102" xfId="0" applyNumberFormat="1" applyFont="1" applyFill="1" applyBorder="1" applyAlignment="1">
      <alignment horizontal="right" vertical="center" wrapText="1"/>
    </xf>
    <xf numFmtId="169" fontId="317" fillId="122" borderId="70" xfId="1" applyNumberFormat="1" applyFont="1" applyFill="1" applyBorder="1" applyAlignment="1">
      <alignment horizontal="right" vertical="center" wrapText="1"/>
    </xf>
    <xf numFmtId="265" fontId="317" fillId="122" borderId="0" xfId="0" applyNumberFormat="1" applyFont="1" applyFill="1" applyAlignment="1">
      <alignment horizontal="right" vertical="center" wrapText="1"/>
    </xf>
    <xf numFmtId="9" fontId="317" fillId="122" borderId="0" xfId="1" applyFont="1" applyFill="1" applyBorder="1" applyAlignment="1">
      <alignment horizontal="right" vertical="center" wrapText="1"/>
    </xf>
    <xf numFmtId="332" fontId="317" fillId="122" borderId="0" xfId="0" applyNumberFormat="1" applyFont="1" applyFill="1" applyAlignment="1">
      <alignment horizontal="right" vertical="center" wrapText="1"/>
    </xf>
    <xf numFmtId="359" fontId="371" fillId="122" borderId="0" xfId="0" applyNumberFormat="1" applyFont="1" applyFill="1" applyAlignment="1">
      <alignment wrapText="1"/>
    </xf>
    <xf numFmtId="355" fontId="371" fillId="122" borderId="70" xfId="0" applyNumberFormat="1" applyFont="1" applyFill="1" applyBorder="1" applyAlignment="1">
      <alignment horizontal="right" vertical="center" wrapText="1"/>
    </xf>
    <xf numFmtId="355" fontId="371" fillId="122" borderId="0" xfId="0" applyNumberFormat="1" applyFont="1" applyFill="1" applyAlignment="1">
      <alignment horizontal="right" vertical="center" wrapText="1"/>
    </xf>
    <xf numFmtId="332" fontId="248" fillId="122" borderId="70" xfId="2980" applyNumberFormat="1" applyFont="1" applyFill="1" applyBorder="1" applyAlignment="1">
      <alignment horizontal="right" vertical="center" wrapText="1"/>
    </xf>
    <xf numFmtId="332" fontId="248" fillId="122" borderId="71" xfId="2980" applyNumberFormat="1" applyFont="1" applyFill="1" applyBorder="1" applyAlignment="1">
      <alignment horizontal="right" vertical="center" wrapText="1"/>
    </xf>
    <xf numFmtId="332" fontId="250" fillId="122" borderId="70" xfId="2980" applyNumberFormat="1" applyFont="1" applyFill="1" applyBorder="1" applyAlignment="1">
      <alignment horizontal="right" vertical="center" wrapText="1"/>
    </xf>
    <xf numFmtId="332" fontId="248" fillId="122" borderId="0" xfId="2980" applyNumberFormat="1" applyFont="1" applyFill="1" applyAlignment="1">
      <alignment horizontal="right" vertical="center" wrapText="1"/>
    </xf>
    <xf numFmtId="332" fontId="250" fillId="122" borderId="0" xfId="2980" applyNumberFormat="1" applyFont="1" applyFill="1" applyAlignment="1">
      <alignment horizontal="right" vertical="center" wrapText="1"/>
    </xf>
    <xf numFmtId="334" fontId="317" fillId="122" borderId="0" xfId="2980" applyNumberFormat="1" applyFont="1" applyFill="1" applyAlignment="1">
      <alignment horizontal="right" vertical="center" wrapText="1"/>
    </xf>
    <xf numFmtId="211" fontId="371" fillId="0" borderId="0" xfId="4" applyNumberFormat="1" applyFont="1" applyBorder="1" applyAlignment="1">
      <alignment horizontal="right" vertical="center" wrapText="1"/>
    </xf>
    <xf numFmtId="0" fontId="376" fillId="60" borderId="0" xfId="0" applyFont="1" applyFill="1" applyAlignment="1">
      <alignment horizontal="right" wrapText="1"/>
    </xf>
    <xf numFmtId="341" fontId="371" fillId="124" borderId="70" xfId="0" applyNumberFormat="1" applyFont="1" applyFill="1" applyBorder="1" applyAlignment="1">
      <alignment horizontal="right" vertical="center" wrapText="1"/>
    </xf>
    <xf numFmtId="341" fontId="371" fillId="124" borderId="71" xfId="0" applyNumberFormat="1" applyFont="1" applyFill="1" applyBorder="1" applyAlignment="1">
      <alignment horizontal="right" vertical="center" wrapText="1"/>
    </xf>
    <xf numFmtId="341" fontId="374" fillId="124" borderId="70" xfId="0" applyNumberFormat="1" applyFont="1" applyFill="1" applyBorder="1" applyAlignment="1">
      <alignment horizontal="right" vertical="center" wrapText="1"/>
    </xf>
    <xf numFmtId="350" fontId="371" fillId="124" borderId="70" xfId="0" applyNumberFormat="1" applyFont="1" applyFill="1" applyBorder="1" applyAlignment="1">
      <alignment horizontal="right" vertical="center" wrapText="1"/>
    </xf>
    <xf numFmtId="265" fontId="371" fillId="124" borderId="0" xfId="0" applyNumberFormat="1" applyFont="1" applyFill="1" applyAlignment="1">
      <alignment horizontal="right" vertical="center" wrapText="1"/>
    </xf>
    <xf numFmtId="352" fontId="371" fillId="124" borderId="0" xfId="0" applyNumberFormat="1" applyFont="1" applyFill="1" applyAlignment="1">
      <alignment horizontal="right" vertical="center" wrapText="1"/>
    </xf>
    <xf numFmtId="353" fontId="371" fillId="124" borderId="0" xfId="0" applyNumberFormat="1" applyFont="1" applyFill="1" applyAlignment="1">
      <alignment horizontal="right" vertical="center" wrapText="1"/>
    </xf>
    <xf numFmtId="0" fontId="371" fillId="124" borderId="70" xfId="0" applyFont="1" applyFill="1" applyBorder="1" applyAlignment="1">
      <alignment horizontal="right" vertical="center" wrapText="1"/>
    </xf>
    <xf numFmtId="0" fontId="371" fillId="124" borderId="0" xfId="0" applyFont="1" applyFill="1" applyAlignment="1">
      <alignment horizontal="right" vertical="center" wrapText="1"/>
    </xf>
    <xf numFmtId="0" fontId="371" fillId="124" borderId="71" xfId="0" applyFont="1" applyFill="1" applyBorder="1" applyAlignment="1">
      <alignment horizontal="right" vertical="center" wrapText="1"/>
    </xf>
    <xf numFmtId="337" fontId="371" fillId="124" borderId="0" xfId="0" applyNumberFormat="1" applyFont="1" applyFill="1" applyAlignment="1">
      <alignment horizontal="right" vertical="center" wrapText="1"/>
    </xf>
    <xf numFmtId="211" fontId="371" fillId="124" borderId="0" xfId="4" applyNumberFormat="1" applyFont="1" applyFill="1" applyAlignment="1">
      <alignment horizontal="right" vertical="center" wrapText="1"/>
    </xf>
    <xf numFmtId="350" fontId="371" fillId="124" borderId="0" xfId="0" applyNumberFormat="1" applyFont="1" applyFill="1" applyAlignment="1">
      <alignment horizontal="right" vertical="center" wrapText="1"/>
    </xf>
    <xf numFmtId="265" fontId="371" fillId="124" borderId="70" xfId="0" applyNumberFormat="1" applyFont="1" applyFill="1" applyBorder="1" applyAlignment="1">
      <alignment horizontal="right" vertical="center" wrapText="1"/>
    </xf>
    <xf numFmtId="335" fontId="371" fillId="124" borderId="0" xfId="0" applyNumberFormat="1" applyFont="1" applyFill="1" applyAlignment="1">
      <alignment horizontal="right" vertical="center" wrapText="1"/>
    </xf>
    <xf numFmtId="211" fontId="371" fillId="0" borderId="0" xfId="4" applyNumberFormat="1" applyFont="1" applyFill="1" applyAlignment="1">
      <alignment horizontal="right" vertical="center" wrapText="1"/>
    </xf>
    <xf numFmtId="341" fontId="371" fillId="124" borderId="98" xfId="0" applyNumberFormat="1" applyFont="1" applyFill="1" applyBorder="1" applyAlignment="1">
      <alignment horizontal="right" vertical="center" wrapText="1"/>
    </xf>
    <xf numFmtId="341" fontId="374" fillId="124" borderId="99" xfId="0" applyNumberFormat="1" applyFont="1" applyFill="1" applyBorder="1" applyAlignment="1">
      <alignment horizontal="right" vertical="center" wrapText="1"/>
    </xf>
    <xf numFmtId="341" fontId="374" fillId="124" borderId="0" xfId="0" applyNumberFormat="1" applyFont="1" applyFill="1" applyAlignment="1">
      <alignment horizontal="right" vertical="center" wrapText="1"/>
    </xf>
    <xf numFmtId="351" fontId="371" fillId="124" borderId="102" xfId="0" applyNumberFormat="1" applyFont="1" applyFill="1" applyBorder="1" applyAlignment="1">
      <alignment horizontal="right" vertical="center" wrapText="1"/>
    </xf>
    <xf numFmtId="363" fontId="371" fillId="124" borderId="0" xfId="0" applyNumberFormat="1" applyFont="1" applyFill="1" applyAlignment="1">
      <alignment horizontal="right" vertical="center" wrapText="1"/>
    </xf>
    <xf numFmtId="351" fontId="371" fillId="124" borderId="0" xfId="0" applyNumberFormat="1" applyFont="1" applyFill="1" applyAlignment="1">
      <alignment horizontal="right" vertical="center" wrapText="1"/>
    </xf>
    <xf numFmtId="337" fontId="371" fillId="124" borderId="70" xfId="0" applyNumberFormat="1" applyFont="1" applyFill="1" applyBorder="1" applyAlignment="1">
      <alignment vertical="center" wrapText="1"/>
    </xf>
    <xf numFmtId="341" fontId="371" fillId="122" borderId="70" xfId="0" applyNumberFormat="1" applyFont="1" applyFill="1" applyBorder="1" applyAlignment="1">
      <alignment horizontal="right" vertical="center" wrapText="1"/>
    </xf>
    <xf numFmtId="341" fontId="371" fillId="122" borderId="98" xfId="0" applyNumberFormat="1" applyFont="1" applyFill="1" applyBorder="1" applyAlignment="1">
      <alignment horizontal="right" vertical="center" wrapText="1"/>
    </xf>
    <xf numFmtId="341" fontId="374" fillId="122" borderId="99" xfId="0" applyNumberFormat="1" applyFont="1" applyFill="1" applyBorder="1" applyAlignment="1">
      <alignment horizontal="right" vertical="center" wrapText="1"/>
    </xf>
    <xf numFmtId="341" fontId="371" fillId="122" borderId="71" xfId="0" applyNumberFormat="1" applyFont="1" applyFill="1" applyBorder="1" applyAlignment="1">
      <alignment horizontal="right" vertical="center" wrapText="1"/>
    </xf>
    <xf numFmtId="341" fontId="374" fillId="122" borderId="70" xfId="0" applyNumberFormat="1" applyFont="1" applyFill="1" applyBorder="1" applyAlignment="1">
      <alignment horizontal="right" vertical="center" wrapText="1"/>
    </xf>
    <xf numFmtId="341" fontId="374" fillId="122" borderId="0" xfId="0" applyNumberFormat="1" applyFont="1" applyFill="1" applyAlignment="1">
      <alignment horizontal="right" vertical="center" wrapText="1"/>
    </xf>
    <xf numFmtId="351" fontId="371" fillId="122" borderId="102" xfId="0" applyNumberFormat="1" applyFont="1" applyFill="1" applyBorder="1" applyAlignment="1">
      <alignment horizontal="right" vertical="center" wrapText="1"/>
    </xf>
    <xf numFmtId="363" fontId="371" fillId="122" borderId="0" xfId="0" applyNumberFormat="1" applyFont="1" applyFill="1" applyAlignment="1">
      <alignment horizontal="right" vertical="center" wrapText="1"/>
    </xf>
    <xf numFmtId="351" fontId="371" fillId="122" borderId="0" xfId="0" applyNumberFormat="1" applyFont="1" applyFill="1" applyAlignment="1">
      <alignment horizontal="right" vertical="center" wrapText="1"/>
    </xf>
    <xf numFmtId="337" fontId="371" fillId="122" borderId="70" xfId="0" applyNumberFormat="1" applyFont="1" applyFill="1" applyBorder="1" applyAlignment="1">
      <alignment vertical="center" wrapText="1"/>
    </xf>
    <xf numFmtId="0" fontId="317" fillId="60" borderId="0" xfId="2980" applyFont="1" applyFill="1" applyAlignment="1">
      <alignment horizontal="left" vertical="center" wrapText="1" indent="1"/>
    </xf>
    <xf numFmtId="0" fontId="317" fillId="60" borderId="71" xfId="2980" applyFont="1" applyFill="1" applyBorder="1" applyAlignment="1">
      <alignment horizontal="left" vertical="center" wrapText="1" indent="1"/>
    </xf>
    <xf numFmtId="0" fontId="317" fillId="60" borderId="70" xfId="0" applyFont="1" applyFill="1" applyBorder="1" applyAlignment="1">
      <alignment horizontal="left" vertical="center" wrapText="1" indent="1"/>
    </xf>
    <xf numFmtId="0" fontId="317" fillId="60" borderId="71" xfId="0" applyFont="1" applyFill="1" applyBorder="1" applyAlignment="1">
      <alignment horizontal="left" vertical="center" wrapText="1" indent="1"/>
    </xf>
    <xf numFmtId="327" fontId="317" fillId="0" borderId="70" xfId="2980" applyNumberFormat="1" applyFont="1" applyBorder="1" applyAlignment="1">
      <alignment horizontal="right" vertical="center" wrapText="1"/>
    </xf>
    <xf numFmtId="325" fontId="248" fillId="0" borderId="0" xfId="3075" applyNumberFormat="1" applyFont="1" applyFill="1" applyAlignment="1">
      <alignment vertical="center"/>
    </xf>
    <xf numFmtId="334" fontId="317" fillId="0" borderId="0" xfId="2980" applyNumberFormat="1" applyFont="1" applyAlignment="1">
      <alignment horizontal="right" vertical="center" wrapText="1"/>
    </xf>
    <xf numFmtId="10" fontId="248" fillId="0" borderId="0" xfId="3075" applyNumberFormat="1" applyFont="1" applyFill="1" applyAlignment="1">
      <alignment vertical="center"/>
    </xf>
    <xf numFmtId="168" fontId="317" fillId="122" borderId="70" xfId="2980" applyNumberFormat="1" applyFont="1" applyFill="1" applyBorder="1" applyAlignment="1">
      <alignment horizontal="right" vertical="center" wrapText="1"/>
    </xf>
    <xf numFmtId="168" fontId="317" fillId="122" borderId="98" xfId="2980" applyNumberFormat="1" applyFont="1" applyFill="1" applyBorder="1" applyAlignment="1">
      <alignment horizontal="right" vertical="center" wrapText="1"/>
    </xf>
    <xf numFmtId="168" fontId="318" fillId="122" borderId="99" xfId="2980" applyNumberFormat="1" applyFont="1" applyFill="1" applyBorder="1" applyAlignment="1">
      <alignment horizontal="right" vertical="center" wrapText="1"/>
    </xf>
    <xf numFmtId="168" fontId="317" fillId="122" borderId="0" xfId="2980" applyNumberFormat="1" applyFont="1" applyFill="1" applyAlignment="1">
      <alignment horizontal="right" vertical="center" wrapText="1"/>
    </xf>
    <xf numFmtId="168" fontId="317" fillId="122" borderId="71" xfId="2980" applyNumberFormat="1" applyFont="1" applyFill="1" applyBorder="1" applyAlignment="1">
      <alignment horizontal="right" vertical="center" wrapText="1"/>
    </xf>
    <xf numFmtId="168" fontId="318" fillId="122" borderId="0" xfId="2980" applyNumberFormat="1" applyFont="1" applyFill="1" applyAlignment="1">
      <alignment horizontal="right" vertical="center" wrapText="1"/>
    </xf>
    <xf numFmtId="168" fontId="318" fillId="122" borderId="70" xfId="2980" applyNumberFormat="1" applyFont="1" applyFill="1" applyBorder="1" applyAlignment="1">
      <alignment horizontal="right" vertical="center" wrapText="1"/>
    </xf>
    <xf numFmtId="327" fontId="317" fillId="122" borderId="70" xfId="2980" applyNumberFormat="1" applyFont="1" applyFill="1" applyBorder="1" applyAlignment="1">
      <alignment horizontal="right" vertical="center" wrapText="1"/>
    </xf>
    <xf numFmtId="211" fontId="371" fillId="122" borderId="0" xfId="4" applyNumberFormat="1" applyFont="1" applyFill="1" applyAlignment="1">
      <alignment horizontal="right" vertical="center" wrapText="1"/>
    </xf>
    <xf numFmtId="325" fontId="248" fillId="122" borderId="0" xfId="3075" applyNumberFormat="1" applyFont="1" applyFill="1" applyAlignment="1">
      <alignment vertical="center"/>
    </xf>
    <xf numFmtId="9" fontId="248" fillId="122" borderId="0" xfId="3075" applyFont="1" applyFill="1" applyAlignment="1">
      <alignment vertical="center"/>
    </xf>
    <xf numFmtId="332" fontId="317" fillId="122" borderId="0" xfId="2980" applyNumberFormat="1" applyFont="1" applyFill="1" applyAlignment="1">
      <alignment horizontal="right" vertical="center" wrapText="1"/>
    </xf>
    <xf numFmtId="10" fontId="248" fillId="122" borderId="0" xfId="3075" applyNumberFormat="1" applyFont="1" applyFill="1" applyAlignment="1">
      <alignment vertical="center"/>
    </xf>
    <xf numFmtId="332" fontId="317" fillId="122" borderId="70" xfId="2980" applyNumberFormat="1" applyFont="1" applyFill="1" applyBorder="1" applyAlignment="1">
      <alignment horizontal="right" vertical="center" wrapText="1"/>
    </xf>
    <xf numFmtId="332" fontId="317" fillId="122" borderId="71" xfId="2980" applyNumberFormat="1" applyFont="1" applyFill="1" applyBorder="1" applyAlignment="1">
      <alignment horizontal="right" vertical="center" wrapText="1"/>
    </xf>
    <xf numFmtId="332" fontId="318" fillId="122" borderId="70" xfId="2980" applyNumberFormat="1" applyFont="1" applyFill="1" applyBorder="1" applyAlignment="1">
      <alignment horizontal="right" vertical="center" wrapText="1"/>
    </xf>
    <xf numFmtId="332" fontId="318" fillId="122" borderId="0" xfId="2980" applyNumberFormat="1" applyFont="1" applyFill="1" applyAlignment="1">
      <alignment horizontal="right" vertical="center" wrapText="1"/>
    </xf>
    <xf numFmtId="334" fontId="317" fillId="122" borderId="70" xfId="2980" applyNumberFormat="1" applyFont="1" applyFill="1" applyBorder="1" applyAlignment="1">
      <alignment horizontal="right" vertical="center" wrapText="1"/>
    </xf>
    <xf numFmtId="331" fontId="374" fillId="122" borderId="70" xfId="0" applyNumberFormat="1" applyFont="1" applyFill="1" applyBorder="1" applyAlignment="1">
      <alignment horizontal="right" vertical="center" wrapText="1"/>
    </xf>
    <xf numFmtId="9" fontId="374" fillId="60" borderId="0" xfId="0" applyNumberFormat="1" applyFont="1" applyFill="1" applyAlignment="1">
      <alignment horizontal="right" vertical="center" wrapText="1"/>
    </xf>
    <xf numFmtId="0" fontId="392" fillId="0" borderId="0" xfId="34765" applyFont="1">
      <alignment wrapText="1"/>
    </xf>
    <xf numFmtId="338" fontId="371" fillId="122" borderId="0" xfId="0" applyNumberFormat="1" applyFont="1" applyFill="1" applyAlignment="1">
      <alignment horizontal="right" vertical="center" wrapText="1"/>
    </xf>
    <xf numFmtId="0" fontId="384" fillId="0" borderId="0" xfId="34765" applyBorder="1">
      <alignment wrapText="1"/>
    </xf>
    <xf numFmtId="0" fontId="362" fillId="0" borderId="0" xfId="34765" applyFont="1">
      <alignment wrapText="1"/>
    </xf>
    <xf numFmtId="0" fontId="307" fillId="0" borderId="0" xfId="34760" applyFont="1"/>
    <xf numFmtId="0" fontId="319" fillId="60" borderId="71" xfId="2980" applyFont="1" applyFill="1" applyBorder="1" applyAlignment="1">
      <alignment wrapText="1"/>
    </xf>
    <xf numFmtId="332" fontId="317" fillId="0" borderId="70" xfId="2980" applyNumberFormat="1" applyFont="1" applyBorder="1" applyAlignment="1">
      <alignment horizontal="right" vertical="center" wrapText="1"/>
    </xf>
    <xf numFmtId="332" fontId="318" fillId="0" borderId="0" xfId="2980" applyNumberFormat="1" applyFont="1" applyAlignment="1">
      <alignment horizontal="right" vertical="center" wrapText="1"/>
    </xf>
    <xf numFmtId="0" fontId="317" fillId="0" borderId="0" xfId="2980" applyFont="1" applyAlignment="1">
      <alignment horizontal="right" vertical="center" wrapText="1"/>
    </xf>
    <xf numFmtId="0" fontId="316" fillId="0" borderId="93" xfId="2980" applyFont="1" applyBorder="1" applyAlignment="1">
      <alignment horizontal="right" wrapText="1"/>
    </xf>
    <xf numFmtId="10" fontId="371" fillId="0" borderId="0" xfId="1" applyNumberFormat="1" applyFont="1" applyAlignment="1">
      <alignment wrapText="1"/>
    </xf>
    <xf numFmtId="360" fontId="371" fillId="124" borderId="0" xfId="0" applyNumberFormat="1" applyFont="1" applyFill="1" applyAlignment="1">
      <alignment horizontal="right" vertical="center" wrapText="1"/>
    </xf>
    <xf numFmtId="338" fontId="371" fillId="124" borderId="0" xfId="0" applyNumberFormat="1" applyFont="1" applyFill="1" applyAlignment="1">
      <alignment horizontal="right" vertical="center" wrapText="1"/>
    </xf>
    <xf numFmtId="0" fontId="316" fillId="55" borderId="0" xfId="2980" applyFont="1" applyFill="1" applyAlignment="1">
      <alignment horizontal="right" wrapText="1"/>
    </xf>
    <xf numFmtId="0" fontId="362" fillId="0" borderId="0" xfId="34759" applyBorder="1">
      <alignment wrapText="1"/>
    </xf>
    <xf numFmtId="323" fontId="322" fillId="0" borderId="0" xfId="2979" applyNumberFormat="1" applyFont="1" applyAlignment="1">
      <alignment horizontal="left" vertical="center"/>
    </xf>
    <xf numFmtId="169" fontId="371" fillId="0" borderId="0" xfId="0" applyNumberFormat="1" applyFont="1" applyAlignment="1">
      <alignment horizontal="right" vertical="center" wrapText="1"/>
    </xf>
    <xf numFmtId="169" fontId="371" fillId="60" borderId="0" xfId="0" applyNumberFormat="1" applyFont="1" applyFill="1" applyAlignment="1">
      <alignment horizontal="right" vertical="center" wrapText="1"/>
    </xf>
    <xf numFmtId="265" fontId="371" fillId="0" borderId="101" xfId="0" applyNumberFormat="1" applyFont="1" applyBorder="1" applyAlignment="1">
      <alignment horizontal="right" vertical="center" wrapText="1"/>
    </xf>
    <xf numFmtId="265" fontId="248" fillId="0" borderId="0" xfId="3010" applyNumberFormat="1" applyFont="1" applyAlignment="1">
      <alignment vertical="center"/>
    </xf>
    <xf numFmtId="265" fontId="248" fillId="0" borderId="0" xfId="2988" applyNumberFormat="1" applyFont="1" applyAlignment="1">
      <alignment horizontal="right" vertical="center"/>
    </xf>
    <xf numFmtId="265" fontId="384" fillId="0" borderId="0" xfId="34765" applyNumberFormat="1">
      <alignment wrapText="1"/>
    </xf>
    <xf numFmtId="211" fontId="371" fillId="124" borderId="70" xfId="4" applyNumberFormat="1" applyFont="1" applyFill="1" applyBorder="1" applyAlignment="1">
      <alignment horizontal="right" vertical="center" wrapText="1"/>
    </xf>
    <xf numFmtId="337" fontId="371" fillId="124" borderId="70" xfId="0" applyNumberFormat="1" applyFont="1" applyFill="1" applyBorder="1" applyAlignment="1">
      <alignment horizontal="right" vertical="center" wrapText="1"/>
    </xf>
    <xf numFmtId="10" fontId="371" fillId="124" borderId="0" xfId="1" applyNumberFormat="1" applyFont="1" applyFill="1" applyAlignment="1">
      <alignment horizontal="right" vertical="center" wrapText="1"/>
    </xf>
    <xf numFmtId="211" fontId="371" fillId="0" borderId="70" xfId="4" applyNumberFormat="1" applyFont="1" applyFill="1" applyBorder="1" applyAlignment="1">
      <alignment horizontal="right" vertical="center" wrapText="1"/>
    </xf>
    <xf numFmtId="10" fontId="371" fillId="0" borderId="0" xfId="1" applyNumberFormat="1" applyFont="1" applyFill="1" applyAlignment="1">
      <alignment horizontal="right" vertical="center" wrapText="1"/>
    </xf>
    <xf numFmtId="211" fontId="371" fillId="0" borderId="71" xfId="4" applyNumberFormat="1" applyFont="1" applyFill="1" applyBorder="1" applyAlignment="1">
      <alignment horizontal="right" vertical="center" wrapText="1"/>
    </xf>
    <xf numFmtId="211" fontId="374" fillId="0" borderId="70" xfId="4" applyNumberFormat="1" applyFont="1" applyFill="1" applyBorder="1" applyAlignment="1">
      <alignment horizontal="right" vertical="center" wrapText="1"/>
    </xf>
    <xf numFmtId="211" fontId="371" fillId="124" borderId="71" xfId="4" applyNumberFormat="1" applyFont="1" applyFill="1" applyBorder="1" applyAlignment="1">
      <alignment horizontal="right" vertical="center" wrapText="1"/>
    </xf>
    <xf numFmtId="211" fontId="374" fillId="124" borderId="70" xfId="4" applyNumberFormat="1" applyFont="1" applyFill="1" applyBorder="1" applyAlignment="1">
      <alignment horizontal="right" vertical="center" wrapText="1"/>
    </xf>
    <xf numFmtId="333" fontId="248" fillId="0" borderId="0" xfId="3075" applyNumberFormat="1" applyFont="1" applyFill="1" applyAlignment="1">
      <alignment vertical="center"/>
    </xf>
    <xf numFmtId="350" fontId="248" fillId="0" borderId="0" xfId="3075" applyNumberFormat="1" applyFont="1" applyFill="1" applyAlignment="1">
      <alignment vertical="center"/>
    </xf>
    <xf numFmtId="350" fontId="250" fillId="0" borderId="70" xfId="2980" applyNumberFormat="1" applyFont="1" applyBorder="1" applyAlignment="1">
      <alignment horizontal="right" vertical="center" wrapText="1"/>
    </xf>
    <xf numFmtId="341" fontId="374" fillId="124" borderId="71" xfId="0" applyNumberFormat="1" applyFont="1" applyFill="1" applyBorder="1" applyAlignment="1">
      <alignment horizontal="right" vertical="center" wrapText="1"/>
    </xf>
    <xf numFmtId="0" fontId="371" fillId="124" borderId="101" xfId="0" applyFont="1" applyFill="1" applyBorder="1" applyAlignment="1">
      <alignment horizontal="right" vertical="center" wrapText="1"/>
    </xf>
    <xf numFmtId="357" fontId="374" fillId="124" borderId="70" xfId="0" applyNumberFormat="1" applyFont="1" applyFill="1" applyBorder="1" applyAlignment="1">
      <alignment horizontal="right" vertical="center" wrapText="1"/>
    </xf>
    <xf numFmtId="9" fontId="374" fillId="124" borderId="0" xfId="0" applyNumberFormat="1" applyFont="1" applyFill="1" applyAlignment="1">
      <alignment horizontal="right" vertical="center" wrapText="1"/>
    </xf>
    <xf numFmtId="356" fontId="371" fillId="124" borderId="101" xfId="34760" applyNumberFormat="1" applyFont="1" applyFill="1" applyBorder="1" applyAlignment="1">
      <alignment horizontal="right" vertical="center" wrapText="1"/>
    </xf>
    <xf numFmtId="169" fontId="374" fillId="124" borderId="70" xfId="34760" applyNumberFormat="1" applyFont="1" applyFill="1" applyBorder="1" applyAlignment="1">
      <alignment horizontal="right" vertical="center" wrapText="1"/>
    </xf>
    <xf numFmtId="9" fontId="374" fillId="124" borderId="0" xfId="34760" applyNumberFormat="1" applyFont="1" applyFill="1" applyAlignment="1">
      <alignment horizontal="right" vertical="center" wrapText="1"/>
    </xf>
    <xf numFmtId="10" fontId="386" fillId="123" borderId="0" xfId="1" applyNumberFormat="1" applyFont="1" applyFill="1" applyAlignment="1">
      <alignment wrapText="1"/>
    </xf>
    <xf numFmtId="10" fontId="386" fillId="123" borderId="0" xfId="1" applyNumberFormat="1" applyFont="1" applyFill="1" applyBorder="1" applyAlignment="1">
      <alignment wrapText="1"/>
    </xf>
    <xf numFmtId="332" fontId="248" fillId="0" borderId="70" xfId="2980" applyNumberFormat="1" applyFont="1" applyBorder="1" applyAlignment="1">
      <alignment horizontal="right" vertical="center" wrapText="1"/>
    </xf>
    <xf numFmtId="347" fontId="371" fillId="0" borderId="106" xfId="34764" applyNumberFormat="1" applyFont="1" applyBorder="1" applyAlignment="1">
      <alignment horizontal="right" wrapText="1"/>
    </xf>
    <xf numFmtId="365" fontId="371" fillId="125" borderId="106" xfId="34764" applyNumberFormat="1" applyFont="1" applyFill="1" applyBorder="1" applyAlignment="1">
      <alignment horizontal="right" wrapText="1"/>
    </xf>
    <xf numFmtId="0" fontId="371" fillId="0" borderId="106" xfId="34764" applyFont="1" applyBorder="1" applyAlignment="1">
      <alignment horizontal="justify" wrapText="1"/>
    </xf>
    <xf numFmtId="347" fontId="371" fillId="0" borderId="107" xfId="34764" applyNumberFormat="1" applyFont="1" applyBorder="1" applyAlignment="1">
      <alignment horizontal="right" wrapText="1"/>
    </xf>
    <xf numFmtId="365" fontId="371" fillId="125" borderId="107" xfId="34764" applyNumberFormat="1" applyFont="1" applyFill="1" applyBorder="1" applyAlignment="1">
      <alignment horizontal="right" wrapText="1"/>
    </xf>
    <xf numFmtId="0" fontId="371" fillId="0" borderId="107" xfId="34764" applyFont="1" applyBorder="1" applyAlignment="1">
      <alignment horizontal="justify" wrapText="1"/>
    </xf>
    <xf numFmtId="347" fontId="371" fillId="0" borderId="0" xfId="34764" applyNumberFormat="1" applyFont="1" applyAlignment="1">
      <alignment horizontal="right" wrapText="1"/>
    </xf>
    <xf numFmtId="365" fontId="371" fillId="125" borderId="0" xfId="34764" applyNumberFormat="1" applyFont="1" applyFill="1" applyAlignment="1">
      <alignment horizontal="right" wrapText="1"/>
    </xf>
    <xf numFmtId="0" fontId="371" fillId="0" borderId="0" xfId="34764" applyFont="1" applyAlignment="1">
      <alignment horizontal="justify" wrapText="1"/>
    </xf>
    <xf numFmtId="347" fontId="371" fillId="125" borderId="106" xfId="34764" applyNumberFormat="1" applyFont="1" applyFill="1" applyBorder="1" applyAlignment="1">
      <alignment horizontal="right" wrapText="1"/>
    </xf>
    <xf numFmtId="0" fontId="376" fillId="60" borderId="107" xfId="34764" applyFont="1" applyFill="1" applyBorder="1" applyAlignment="1">
      <alignment horizontal="right" vertical="center" wrapText="1"/>
    </xf>
    <xf numFmtId="0" fontId="374" fillId="0" borderId="107" xfId="34764" applyFont="1" applyBorder="1" applyAlignment="1">
      <alignment horizontal="justify" wrapText="1"/>
    </xf>
    <xf numFmtId="0" fontId="371" fillId="0" borderId="0" xfId="34764" applyFont="1" applyAlignment="1">
      <alignment horizontal="right" wrapText="1"/>
    </xf>
    <xf numFmtId="0" fontId="371" fillId="0" borderId="0" xfId="34766">
      <alignment horizontal="right" wrapText="1"/>
    </xf>
    <xf numFmtId="0" fontId="371" fillId="60" borderId="0" xfId="34764" applyFont="1" applyFill="1" applyAlignment="1">
      <alignment horizontal="justify" wrapText="1"/>
    </xf>
    <xf numFmtId="331" fontId="371" fillId="0" borderId="106" xfId="34764" applyNumberFormat="1" applyFont="1" applyBorder="1" applyAlignment="1">
      <alignment horizontal="right" wrapText="1"/>
    </xf>
    <xf numFmtId="341" fontId="371" fillId="125" borderId="106" xfId="34764" applyNumberFormat="1" applyFont="1" applyFill="1" applyBorder="1" applyAlignment="1">
      <alignment horizontal="right" vertical="center" wrapText="1"/>
    </xf>
    <xf numFmtId="331" fontId="371" fillId="0" borderId="107" xfId="34764" applyNumberFormat="1" applyFont="1" applyBorder="1" applyAlignment="1">
      <alignment horizontal="right" wrapText="1"/>
    </xf>
    <xf numFmtId="341" fontId="371" fillId="125" borderId="107" xfId="34764" applyNumberFormat="1" applyFont="1" applyFill="1" applyBorder="1" applyAlignment="1">
      <alignment horizontal="right" vertical="center" wrapText="1"/>
    </xf>
    <xf numFmtId="331" fontId="371" fillId="0" borderId="0" xfId="34764" applyNumberFormat="1" applyFont="1" applyAlignment="1">
      <alignment horizontal="right" wrapText="1"/>
    </xf>
    <xf numFmtId="341" fontId="371" fillId="125" borderId="0" xfId="34764" applyNumberFormat="1" applyFont="1" applyFill="1" applyAlignment="1">
      <alignment horizontal="right" vertical="center" wrapText="1"/>
    </xf>
    <xf numFmtId="0" fontId="373" fillId="60" borderId="0" xfId="34764" applyFont="1" applyFill="1" applyAlignment="1">
      <alignment horizontal="right" wrapText="1"/>
    </xf>
    <xf numFmtId="0" fontId="383" fillId="0" borderId="0" xfId="34764" applyAlignment="1">
      <alignment horizontal="left" wrapText="1"/>
    </xf>
    <xf numFmtId="0" fontId="393" fillId="60" borderId="0" xfId="34764" applyFont="1" applyFill="1" applyAlignment="1">
      <alignment wrapText="1"/>
    </xf>
    <xf numFmtId="0" fontId="384" fillId="60" borderId="0" xfId="34764" applyFont="1" applyFill="1" applyAlignment="1">
      <alignment wrapText="1"/>
    </xf>
    <xf numFmtId="0" fontId="371" fillId="0" borderId="106" xfId="34764" applyFont="1" applyBorder="1" applyAlignment="1">
      <alignment horizontal="right" wrapText="1"/>
    </xf>
    <xf numFmtId="0" fontId="371" fillId="125" borderId="106" xfId="34764" applyFont="1" applyFill="1" applyBorder="1" applyAlignment="1">
      <alignment horizontal="right" wrapText="1"/>
    </xf>
    <xf numFmtId="331" fontId="371" fillId="125" borderId="106" xfId="34764" applyNumberFormat="1" applyFont="1" applyFill="1" applyBorder="1" applyAlignment="1">
      <alignment horizontal="right" wrapText="1"/>
    </xf>
    <xf numFmtId="0" fontId="374" fillId="60" borderId="106" xfId="34764" applyFont="1" applyFill="1" applyBorder="1" applyAlignment="1">
      <alignment horizontal="left" wrapText="1"/>
    </xf>
    <xf numFmtId="0" fontId="371" fillId="0" borderId="107" xfId="34764" applyFont="1" applyBorder="1" applyAlignment="1">
      <alignment horizontal="right" wrapText="1"/>
    </xf>
    <xf numFmtId="0" fontId="371" fillId="125" borderId="107" xfId="34764" applyFont="1" applyFill="1" applyBorder="1" applyAlignment="1">
      <alignment horizontal="right" wrapText="1"/>
    </xf>
    <xf numFmtId="331" fontId="371" fillId="125" borderId="107" xfId="34764" applyNumberFormat="1" applyFont="1" applyFill="1" applyBorder="1" applyAlignment="1">
      <alignment horizontal="right" wrapText="1"/>
    </xf>
    <xf numFmtId="0" fontId="371" fillId="125" borderId="0" xfId="34764" applyFont="1" applyFill="1" applyAlignment="1">
      <alignment horizontal="right" wrapText="1"/>
    </xf>
    <xf numFmtId="331" fontId="371" fillId="125" borderId="0" xfId="34764" applyNumberFormat="1" applyFont="1" applyFill="1" applyAlignment="1">
      <alignment horizontal="right" wrapText="1"/>
    </xf>
    <xf numFmtId="366" fontId="371" fillId="0" borderId="106" xfId="34764" applyNumberFormat="1" applyFont="1" applyBorder="1" applyAlignment="1">
      <alignment horizontal="right" wrapText="1"/>
    </xf>
    <xf numFmtId="366" fontId="371" fillId="125" borderId="106" xfId="34764" applyNumberFormat="1" applyFont="1" applyFill="1" applyBorder="1" applyAlignment="1">
      <alignment horizontal="right" wrapText="1"/>
    </xf>
    <xf numFmtId="347" fontId="371" fillId="125" borderId="107" xfId="34764" applyNumberFormat="1" applyFont="1" applyFill="1" applyBorder="1" applyAlignment="1">
      <alignment horizontal="right" wrapText="1"/>
    </xf>
    <xf numFmtId="347" fontId="371" fillId="125" borderId="0" xfId="34764" applyNumberFormat="1" applyFont="1" applyFill="1" applyAlignment="1">
      <alignment horizontal="right" wrapText="1"/>
    </xf>
    <xf numFmtId="366" fontId="371" fillId="0" borderId="0" xfId="34764" applyNumberFormat="1" applyFont="1" applyAlignment="1">
      <alignment horizontal="right" wrapText="1"/>
    </xf>
    <xf numFmtId="366" fontId="371" fillId="125" borderId="0" xfId="34764" applyNumberFormat="1" applyFont="1" applyFill="1" applyAlignment="1">
      <alignment horizontal="right" wrapText="1"/>
    </xf>
    <xf numFmtId="0" fontId="376" fillId="60" borderId="0" xfId="34764" applyFont="1" applyFill="1" applyAlignment="1">
      <alignment horizontal="right" vertical="center" wrapText="1"/>
    </xf>
    <xf numFmtId="0" fontId="395" fillId="60" borderId="0" xfId="34764" applyFont="1" applyFill="1" applyAlignment="1">
      <alignment vertical="center" wrapText="1"/>
    </xf>
    <xf numFmtId="0" fontId="394" fillId="60" borderId="0" xfId="34764" applyFont="1" applyFill="1" applyAlignment="1">
      <alignment wrapText="1"/>
    </xf>
    <xf numFmtId="355" fontId="374" fillId="0" borderId="108" xfId="34764" applyNumberFormat="1" applyFont="1" applyBorder="1" applyAlignment="1">
      <alignment vertical="center" wrapText="1"/>
    </xf>
    <xf numFmtId="341" fontId="374" fillId="0" borderId="108" xfId="34764" applyNumberFormat="1" applyFont="1" applyBorder="1" applyAlignment="1">
      <alignment vertical="center" wrapText="1"/>
    </xf>
    <xf numFmtId="0" fontId="374" fillId="0" borderId="108" xfId="34764" applyFont="1" applyBorder="1" applyAlignment="1">
      <alignment vertical="center" wrapText="1"/>
    </xf>
    <xf numFmtId="355" fontId="371" fillId="0" borderId="109" xfId="34764" applyNumberFormat="1" applyFont="1" applyBorder="1" applyAlignment="1">
      <alignment horizontal="right" vertical="center" wrapText="1"/>
    </xf>
    <xf numFmtId="341" fontId="371" fillId="0" borderId="109" xfId="34764" applyNumberFormat="1" applyFont="1" applyBorder="1" applyAlignment="1">
      <alignment horizontal="right" vertical="center" wrapText="1"/>
    </xf>
    <xf numFmtId="0" fontId="371" fillId="0" borderId="109" xfId="34764" applyFont="1" applyBorder="1" applyAlignment="1">
      <alignment vertical="center" wrapText="1"/>
    </xf>
    <xf numFmtId="355" fontId="371" fillId="0" borderId="70" xfId="34764" applyNumberFormat="1" applyFont="1" applyBorder="1" applyAlignment="1">
      <alignment horizontal="right" vertical="center" wrapText="1"/>
    </xf>
    <xf numFmtId="355" fontId="374" fillId="0" borderId="110" xfId="34764" applyNumberFormat="1" applyFont="1" applyBorder="1" applyAlignment="1">
      <alignment vertical="center" wrapText="1"/>
    </xf>
    <xf numFmtId="355" fontId="374" fillId="0" borderId="111" xfId="34764" applyNumberFormat="1" applyFont="1" applyBorder="1" applyAlignment="1">
      <alignment vertical="center" wrapText="1"/>
    </xf>
    <xf numFmtId="341" fontId="374" fillId="0" borderId="110" xfId="34764" applyNumberFormat="1" applyFont="1" applyBorder="1" applyAlignment="1">
      <alignment vertical="center" wrapText="1"/>
    </xf>
    <xf numFmtId="0" fontId="374" fillId="0" borderId="110" xfId="34764" applyFont="1" applyBorder="1" applyAlignment="1">
      <alignment vertical="center" wrapText="1"/>
    </xf>
    <xf numFmtId="355" fontId="371" fillId="0" borderId="0" xfId="34764" applyNumberFormat="1" applyFont="1" applyAlignment="1">
      <alignment horizontal="right" vertical="center" wrapText="1"/>
    </xf>
    <xf numFmtId="341" fontId="371" fillId="0" borderId="0" xfId="34764" applyNumberFormat="1" applyFont="1" applyAlignment="1">
      <alignment horizontal="right" vertical="center" wrapText="1"/>
    </xf>
    <xf numFmtId="0" fontId="371" fillId="0" borderId="0" xfId="34764" applyFont="1" applyAlignment="1">
      <alignment vertical="center" wrapText="1"/>
    </xf>
    <xf numFmtId="341" fontId="371" fillId="0" borderId="70" xfId="34764" applyNumberFormat="1" applyFont="1" applyBorder="1" applyAlignment="1">
      <alignment horizontal="right" vertical="center" wrapText="1"/>
    </xf>
    <xf numFmtId="0" fontId="371" fillId="0" borderId="70" xfId="34764" applyFont="1" applyBorder="1" applyAlignment="1">
      <alignment vertical="center" wrapText="1"/>
    </xf>
    <xf numFmtId="341" fontId="374" fillId="0" borderId="111" xfId="34764" applyNumberFormat="1" applyFont="1" applyBorder="1" applyAlignment="1">
      <alignment vertical="center" wrapText="1"/>
    </xf>
    <xf numFmtId="0" fontId="374" fillId="0" borderId="111" xfId="34764" applyFont="1" applyBorder="1" applyAlignment="1">
      <alignment vertical="center" wrapText="1"/>
    </xf>
    <xf numFmtId="0" fontId="396" fillId="60" borderId="0" xfId="34764" applyFont="1" applyFill="1" applyAlignment="1">
      <alignment vertical="center" wrapText="1"/>
    </xf>
    <xf numFmtId="361" fontId="371" fillId="0" borderId="108" xfId="34764" applyNumberFormat="1" applyFont="1" applyBorder="1" applyAlignment="1">
      <alignment horizontal="right" vertical="center" wrapText="1"/>
    </xf>
    <xf numFmtId="354" fontId="371" fillId="0" borderId="108" xfId="34764" applyNumberFormat="1" applyFont="1" applyBorder="1" applyAlignment="1">
      <alignment horizontal="right" vertical="center" wrapText="1"/>
    </xf>
    <xf numFmtId="341" fontId="371" fillId="0" borderId="108" xfId="34764" applyNumberFormat="1" applyFont="1" applyBorder="1" applyAlignment="1">
      <alignment horizontal="right" vertical="center" wrapText="1"/>
    </xf>
    <xf numFmtId="0" fontId="371" fillId="0" borderId="108" xfId="34764" applyFont="1" applyBorder="1" applyAlignment="1">
      <alignment vertical="center" wrapText="1"/>
    </xf>
    <xf numFmtId="0" fontId="397" fillId="0" borderId="109" xfId="34764" applyFont="1" applyBorder="1" applyAlignment="1">
      <alignment horizontal="right" wrapText="1"/>
    </xf>
    <xf numFmtId="367" fontId="398" fillId="0" borderId="109" xfId="34764" applyNumberFormat="1" applyFont="1" applyBorder="1" applyAlignment="1">
      <alignment horizontal="left" wrapText="1"/>
    </xf>
    <xf numFmtId="0" fontId="374" fillId="60" borderId="0" xfId="34764" applyFont="1" applyFill="1" applyAlignment="1">
      <alignment horizontal="right" vertical="center" wrapText="1"/>
    </xf>
    <xf numFmtId="0" fontId="398" fillId="0" borderId="108" xfId="34764" applyFont="1" applyBorder="1" applyAlignment="1">
      <alignment horizontal="right" wrapText="1"/>
    </xf>
    <xf numFmtId="0" fontId="374" fillId="60" borderId="0" xfId="34764" applyFont="1" applyFill="1" applyAlignment="1">
      <alignment vertical="center" wrapText="1"/>
    </xf>
    <xf numFmtId="0" fontId="373" fillId="60" borderId="0" xfId="34764" applyFont="1" applyFill="1" applyAlignment="1">
      <alignment vertical="center" wrapText="1"/>
    </xf>
    <xf numFmtId="0" fontId="399" fillId="60" borderId="0" xfId="34764" applyFont="1" applyFill="1" applyAlignment="1">
      <alignment vertical="center" wrapText="1"/>
    </xf>
    <xf numFmtId="361" fontId="374" fillId="125" borderId="108" xfId="34764" applyNumberFormat="1" applyFont="1" applyFill="1" applyBorder="1" applyAlignment="1">
      <alignment vertical="center" wrapText="1"/>
    </xf>
    <xf numFmtId="354" fontId="374" fillId="125" borderId="108" xfId="34764" applyNumberFormat="1" applyFont="1" applyFill="1" applyBorder="1" applyAlignment="1">
      <alignment vertical="center" wrapText="1"/>
    </xf>
    <xf numFmtId="361" fontId="371" fillId="125" borderId="109" xfId="34764" applyNumberFormat="1" applyFont="1" applyFill="1" applyBorder="1" applyAlignment="1">
      <alignment horizontal="right" vertical="center" wrapText="1"/>
    </xf>
    <xf numFmtId="354" fontId="371" fillId="125" borderId="109" xfId="34764" applyNumberFormat="1" applyFont="1" applyFill="1" applyBorder="1" applyAlignment="1">
      <alignment horizontal="right" vertical="center" wrapText="1"/>
    </xf>
    <xf numFmtId="341" fontId="374" fillId="125" borderId="108" xfId="34764" applyNumberFormat="1" applyFont="1" applyFill="1" applyBorder="1" applyAlignment="1">
      <alignment vertical="center" wrapText="1"/>
    </xf>
    <xf numFmtId="361" fontId="371" fillId="125" borderId="70" xfId="34764" applyNumberFormat="1" applyFont="1" applyFill="1" applyBorder="1" applyAlignment="1">
      <alignment horizontal="right" vertical="center" wrapText="1"/>
    </xf>
    <xf numFmtId="361" fontId="374" fillId="125" borderId="111" xfId="34764" applyNumberFormat="1" applyFont="1" applyFill="1" applyBorder="1" applyAlignment="1">
      <alignment vertical="center" wrapText="1"/>
    </xf>
    <xf numFmtId="354" fontId="374" fillId="125" borderId="110" xfId="34764" applyNumberFormat="1" applyFont="1" applyFill="1" applyBorder="1" applyAlignment="1">
      <alignment vertical="center" wrapText="1"/>
    </xf>
    <xf numFmtId="0" fontId="400" fillId="60" borderId="0" xfId="34764" applyFont="1" applyFill="1" applyAlignment="1">
      <alignment vertical="center" wrapText="1"/>
    </xf>
    <xf numFmtId="361" fontId="371" fillId="125" borderId="0" xfId="34764" applyNumberFormat="1" applyFont="1" applyFill="1" applyAlignment="1">
      <alignment horizontal="right" vertical="center" wrapText="1"/>
    </xf>
    <xf numFmtId="354" fontId="371" fillId="125" borderId="0" xfId="34764" applyNumberFormat="1" applyFont="1" applyFill="1" applyAlignment="1">
      <alignment horizontal="right" vertical="center" wrapText="1"/>
    </xf>
    <xf numFmtId="354" fontId="371" fillId="125" borderId="70" xfId="34764" applyNumberFormat="1" applyFont="1" applyFill="1" applyBorder="1" applyAlignment="1">
      <alignment horizontal="right" vertical="center" wrapText="1"/>
    </xf>
    <xf numFmtId="354" fontId="374" fillId="125" borderId="111" xfId="34764" applyNumberFormat="1" applyFont="1" applyFill="1" applyBorder="1" applyAlignment="1">
      <alignment vertical="center" wrapText="1"/>
    </xf>
    <xf numFmtId="0" fontId="371" fillId="60" borderId="0" xfId="34764" applyFont="1" applyFill="1" applyAlignment="1">
      <alignment horizontal="right" vertical="center" wrapText="1"/>
    </xf>
    <xf numFmtId="361" fontId="371" fillId="125" borderId="108" xfId="34764" applyNumberFormat="1" applyFont="1" applyFill="1" applyBorder="1" applyAlignment="1">
      <alignment horizontal="right" vertical="center" wrapText="1"/>
    </xf>
    <xf numFmtId="354" fontId="371" fillId="125" borderId="108" xfId="34764" applyNumberFormat="1" applyFont="1" applyFill="1" applyBorder="1" applyAlignment="1">
      <alignment horizontal="right" vertical="center" wrapText="1"/>
    </xf>
    <xf numFmtId="0" fontId="401" fillId="60" borderId="0" xfId="34764" applyFont="1" applyFill="1" applyAlignment="1">
      <alignment horizontal="right" vertical="center" wrapText="1"/>
    </xf>
    <xf numFmtId="0" fontId="401" fillId="60" borderId="0" xfId="34764" applyFont="1" applyFill="1" applyAlignment="1">
      <alignment horizontal="center" vertical="center" wrapText="1"/>
    </xf>
    <xf numFmtId="341" fontId="371" fillId="125" borderId="109" xfId="34764" applyNumberFormat="1" applyFont="1" applyFill="1" applyBorder="1" applyAlignment="1">
      <alignment horizontal="right" vertical="center" wrapText="1"/>
    </xf>
    <xf numFmtId="341" fontId="374" fillId="125" borderId="110" xfId="34764" applyNumberFormat="1" applyFont="1" applyFill="1" applyBorder="1" applyAlignment="1">
      <alignment vertical="center" wrapText="1"/>
    </xf>
    <xf numFmtId="341" fontId="371" fillId="125" borderId="70" xfId="34764" applyNumberFormat="1" applyFont="1" applyFill="1" applyBorder="1" applyAlignment="1">
      <alignment horizontal="right" vertical="center" wrapText="1"/>
    </xf>
    <xf numFmtId="341" fontId="374" fillId="125" borderId="111" xfId="34764" applyNumberFormat="1" applyFont="1" applyFill="1" applyBorder="1" applyAlignment="1">
      <alignment vertical="center" wrapText="1"/>
    </xf>
    <xf numFmtId="341" fontId="371" fillId="125" borderId="108" xfId="34764" applyNumberFormat="1" applyFont="1" applyFill="1" applyBorder="1" applyAlignment="1">
      <alignment horizontal="right" vertical="center" wrapText="1"/>
    </xf>
    <xf numFmtId="0" fontId="401" fillId="60" borderId="0" xfId="34764" applyFont="1" applyFill="1" applyAlignment="1">
      <alignment wrapText="1"/>
    </xf>
    <xf numFmtId="355" fontId="374" fillId="125" borderId="108" xfId="34764" applyNumberFormat="1" applyFont="1" applyFill="1" applyBorder="1" applyAlignment="1">
      <alignment wrapText="1"/>
    </xf>
    <xf numFmtId="368" fontId="374" fillId="125" borderId="108" xfId="34764" applyNumberFormat="1" applyFont="1" applyFill="1" applyBorder="1" applyAlignment="1">
      <alignment wrapText="1"/>
    </xf>
    <xf numFmtId="0" fontId="374" fillId="0" borderId="0" xfId="34764" applyFont="1" applyAlignment="1">
      <alignment wrapText="1"/>
    </xf>
    <xf numFmtId="355" fontId="371" fillId="125" borderId="109" xfId="34764" applyNumberFormat="1" applyFont="1" applyFill="1" applyBorder="1" applyAlignment="1">
      <alignment wrapText="1"/>
    </xf>
    <xf numFmtId="368" fontId="371" fillId="125" borderId="109" xfId="34764" applyNumberFormat="1" applyFont="1" applyFill="1" applyBorder="1" applyAlignment="1">
      <alignment wrapText="1"/>
    </xf>
    <xf numFmtId="0" fontId="371" fillId="0" borderId="0" xfId="34764" applyFont="1" applyAlignment="1">
      <alignment wrapText="1"/>
    </xf>
    <xf numFmtId="355" fontId="371" fillId="125" borderId="108" xfId="34764" applyNumberFormat="1" applyFont="1" applyFill="1" applyBorder="1" applyAlignment="1">
      <alignment wrapText="1"/>
    </xf>
    <xf numFmtId="368" fontId="371" fillId="125" borderId="108" xfId="34764" applyNumberFormat="1" applyFont="1" applyFill="1" applyBorder="1" applyAlignment="1">
      <alignment wrapText="1"/>
    </xf>
    <xf numFmtId="0" fontId="398" fillId="0" borderId="109" xfId="34764" applyFont="1" applyBorder="1" applyAlignment="1">
      <alignment horizontal="right" wrapText="1"/>
    </xf>
    <xf numFmtId="0" fontId="398" fillId="0" borderId="0" xfId="34764" applyFont="1" applyAlignment="1">
      <alignment horizontal="right" wrapText="1"/>
    </xf>
    <xf numFmtId="0" fontId="393" fillId="0" borderId="0" xfId="34764" applyFont="1" applyAlignment="1">
      <alignment horizontal="left" wrapText="1"/>
    </xf>
    <xf numFmtId="0" fontId="398" fillId="0" borderId="109" xfId="34764" applyFont="1" applyBorder="1" applyAlignment="1">
      <alignment horizontal="center" wrapText="1"/>
    </xf>
    <xf numFmtId="0" fontId="393" fillId="0" borderId="0" xfId="34767">
      <alignment wrapText="1"/>
    </xf>
    <xf numFmtId="351" fontId="374" fillId="60" borderId="102" xfId="34764" applyNumberFormat="1" applyFont="1" applyFill="1" applyBorder="1" applyAlignment="1">
      <alignment horizontal="right" vertical="center" wrapText="1"/>
    </xf>
    <xf numFmtId="0" fontId="374" fillId="60" borderId="102" xfId="34764" applyFont="1" applyFill="1" applyBorder="1" applyAlignment="1">
      <alignment vertical="center" wrapText="1"/>
    </xf>
    <xf numFmtId="351" fontId="371" fillId="60" borderId="103" xfId="34764" applyNumberFormat="1" applyFont="1" applyFill="1" applyBorder="1" applyAlignment="1">
      <alignment horizontal="right" vertical="center" wrapText="1"/>
    </xf>
    <xf numFmtId="0" fontId="371" fillId="60" borderId="103" xfId="34764" applyFont="1" applyFill="1" applyBorder="1" applyAlignment="1">
      <alignment vertical="center" wrapText="1"/>
    </xf>
    <xf numFmtId="351" fontId="371" fillId="60" borderId="0" xfId="34764" applyNumberFormat="1" applyFont="1" applyFill="1" applyAlignment="1">
      <alignment horizontal="right" vertical="center" wrapText="1"/>
    </xf>
    <xf numFmtId="0" fontId="371" fillId="60" borderId="0" xfId="34764" applyFont="1" applyFill="1" applyAlignment="1">
      <alignment vertical="center" wrapText="1"/>
    </xf>
    <xf numFmtId="351" fontId="371" fillId="60" borderId="102" xfId="34764" applyNumberFormat="1" applyFont="1" applyFill="1" applyBorder="1" applyAlignment="1">
      <alignment horizontal="right" vertical="center" wrapText="1"/>
    </xf>
    <xf numFmtId="0" fontId="371" fillId="60" borderId="102" xfId="34764" applyFont="1" applyFill="1" applyBorder="1" applyAlignment="1">
      <alignment vertical="center" wrapText="1"/>
    </xf>
    <xf numFmtId="0" fontId="376" fillId="60" borderId="103" xfId="34764" applyFont="1" applyFill="1" applyBorder="1" applyAlignment="1">
      <alignment horizontal="right" vertical="center" wrapText="1"/>
    </xf>
    <xf numFmtId="0" fontId="374" fillId="60" borderId="103" xfId="34764" applyFont="1" applyFill="1" applyBorder="1" applyAlignment="1">
      <alignment vertical="center" wrapText="1"/>
    </xf>
    <xf numFmtId="341" fontId="374" fillId="60" borderId="102" xfId="34764" applyNumberFormat="1" applyFont="1" applyFill="1" applyBorder="1" applyAlignment="1">
      <alignment horizontal="right" vertical="center" wrapText="1"/>
    </xf>
    <xf numFmtId="341" fontId="371" fillId="60" borderId="103" xfId="34764" applyNumberFormat="1" applyFont="1" applyFill="1" applyBorder="1" applyAlignment="1">
      <alignment horizontal="right" vertical="center" wrapText="1"/>
    </xf>
    <xf numFmtId="341" fontId="371" fillId="60" borderId="0" xfId="34764" applyNumberFormat="1" applyFont="1" applyFill="1" applyAlignment="1">
      <alignment horizontal="right" vertical="center" wrapText="1"/>
    </xf>
    <xf numFmtId="341" fontId="371" fillId="60" borderId="102" xfId="34764" applyNumberFormat="1" applyFont="1" applyFill="1" applyBorder="1" applyAlignment="1">
      <alignment horizontal="right" vertical="center" wrapText="1"/>
    </xf>
    <xf numFmtId="0" fontId="373" fillId="60" borderId="103" xfId="34764" applyFont="1" applyFill="1" applyBorder="1" applyAlignment="1">
      <alignment horizontal="right" vertical="center" wrapText="1"/>
    </xf>
    <xf numFmtId="0" fontId="373" fillId="60" borderId="0" xfId="34764" applyFont="1" applyFill="1" applyAlignment="1">
      <alignment horizontal="right" vertical="center" wrapText="1"/>
    </xf>
    <xf numFmtId="351" fontId="374" fillId="125" borderId="102" xfId="34764" applyNumberFormat="1" applyFont="1" applyFill="1" applyBorder="1" applyAlignment="1">
      <alignment horizontal="right" vertical="center" wrapText="1"/>
    </xf>
    <xf numFmtId="351" fontId="371" fillId="125" borderId="103" xfId="34764" applyNumberFormat="1" applyFont="1" applyFill="1" applyBorder="1" applyAlignment="1">
      <alignment horizontal="right" vertical="center" wrapText="1"/>
    </xf>
    <xf numFmtId="351" fontId="371" fillId="125" borderId="0" xfId="34764" applyNumberFormat="1" applyFont="1" applyFill="1" applyAlignment="1">
      <alignment horizontal="right" vertical="center" wrapText="1"/>
    </xf>
    <xf numFmtId="351" fontId="371" fillId="125" borderId="102" xfId="34764" applyNumberFormat="1" applyFont="1" applyFill="1" applyBorder="1" applyAlignment="1">
      <alignment horizontal="right" vertical="center" wrapText="1"/>
    </xf>
    <xf numFmtId="341" fontId="374" fillId="125" borderId="102" xfId="34764" applyNumberFormat="1" applyFont="1" applyFill="1" applyBorder="1" applyAlignment="1">
      <alignment horizontal="right" vertical="center" wrapText="1"/>
    </xf>
    <xf numFmtId="341" fontId="371" fillId="125" borderId="103" xfId="34764" applyNumberFormat="1" applyFont="1" applyFill="1" applyBorder="1" applyAlignment="1">
      <alignment horizontal="right" vertical="center" wrapText="1"/>
    </xf>
    <xf numFmtId="341" fontId="371" fillId="125" borderId="102" xfId="34764" applyNumberFormat="1" applyFont="1" applyFill="1" applyBorder="1" applyAlignment="1">
      <alignment horizontal="right" vertical="center" wrapText="1"/>
    </xf>
    <xf numFmtId="346" fontId="371" fillId="125" borderId="103" xfId="34764" applyNumberFormat="1" applyFont="1" applyFill="1" applyBorder="1" applyAlignment="1">
      <alignment horizontal="right" vertical="center" wrapText="1"/>
    </xf>
    <xf numFmtId="0" fontId="376" fillId="60" borderId="103" xfId="34764" applyFont="1" applyFill="1" applyBorder="1" applyAlignment="1">
      <alignment horizontal="right" wrapText="1"/>
    </xf>
    <xf numFmtId="0" fontId="373" fillId="60" borderId="102" xfId="34764" applyFont="1" applyFill="1" applyBorder="1" applyAlignment="1">
      <alignment horizontal="right" wrapText="1"/>
    </xf>
    <xf numFmtId="0" fontId="373" fillId="60" borderId="0" xfId="34764" applyFont="1" applyFill="1" applyAlignment="1">
      <alignment wrapText="1"/>
    </xf>
    <xf numFmtId="0" fontId="396" fillId="60" borderId="0" xfId="34764" applyFont="1" applyFill="1" applyAlignment="1">
      <alignment wrapText="1"/>
    </xf>
    <xf numFmtId="0" fontId="373" fillId="60" borderId="0" xfId="34764" applyFont="1" applyFill="1" applyAlignment="1">
      <alignment horizontal="center" wrapText="1"/>
    </xf>
    <xf numFmtId="0" fontId="376" fillId="60" borderId="112" xfId="34764" applyFont="1" applyFill="1" applyBorder="1" applyAlignment="1">
      <alignment horizontal="right" wrapText="1"/>
    </xf>
    <xf numFmtId="0" fontId="371" fillId="60" borderId="113" xfId="34764" applyFont="1" applyFill="1" applyBorder="1" applyAlignment="1">
      <alignment vertical="center" wrapText="1"/>
    </xf>
    <xf numFmtId="0" fontId="376" fillId="60" borderId="113" xfId="34764" applyFont="1" applyFill="1" applyBorder="1" applyAlignment="1">
      <alignment horizontal="right" wrapText="1"/>
    </xf>
    <xf numFmtId="0" fontId="403" fillId="60" borderId="0" xfId="34764" applyFont="1" applyFill="1" applyAlignment="1">
      <alignment vertical="center" wrapText="1"/>
    </xf>
    <xf numFmtId="0" fontId="394" fillId="60" borderId="0" xfId="34764" applyFont="1" applyFill="1" applyAlignment="1">
      <alignment vertical="center" wrapText="1"/>
    </xf>
    <xf numFmtId="351" fontId="371" fillId="60" borderId="112" xfId="34764" applyNumberFormat="1" applyFont="1" applyFill="1" applyBorder="1" applyAlignment="1">
      <alignment horizontal="right" vertical="center" wrapText="1"/>
    </xf>
    <xf numFmtId="0" fontId="371" fillId="60" borderId="112" xfId="34764" applyFont="1" applyFill="1" applyBorder="1" applyAlignment="1">
      <alignment vertical="center" wrapText="1"/>
    </xf>
    <xf numFmtId="0" fontId="374" fillId="60" borderId="113" xfId="34764" applyFont="1" applyFill="1" applyBorder="1" applyAlignment="1">
      <alignment horizontal="left" wrapText="1"/>
    </xf>
    <xf numFmtId="352" fontId="373" fillId="60" borderId="0" xfId="34764" applyNumberFormat="1" applyFont="1" applyFill="1" applyAlignment="1">
      <alignment horizontal="right" wrapText="1"/>
    </xf>
    <xf numFmtId="351" fontId="371" fillId="0" borderId="0" xfId="34764" applyNumberFormat="1" applyFont="1" applyAlignment="1">
      <alignment horizontal="right" vertical="center" wrapText="1"/>
    </xf>
    <xf numFmtId="351" fontId="371" fillId="0" borderId="112" xfId="34764" applyNumberFormat="1" applyFont="1" applyBorder="1" applyAlignment="1">
      <alignment horizontal="right" vertical="center" wrapText="1"/>
    </xf>
    <xf numFmtId="0" fontId="393" fillId="60" borderId="0" xfId="34764" applyFont="1" applyFill="1" applyAlignment="1">
      <alignment vertical="center" wrapText="1"/>
    </xf>
    <xf numFmtId="351" fontId="371" fillId="54" borderId="0" xfId="34764" applyNumberFormat="1" applyFont="1" applyFill="1" applyAlignment="1">
      <alignment horizontal="right" vertical="center" wrapText="1"/>
    </xf>
    <xf numFmtId="351" fontId="371" fillId="54" borderId="112" xfId="34764" applyNumberFormat="1" applyFont="1" applyFill="1" applyBorder="1" applyAlignment="1">
      <alignment horizontal="right" vertical="center" wrapText="1"/>
    </xf>
    <xf numFmtId="341" fontId="374" fillId="60" borderId="108" xfId="34764" applyNumberFormat="1" applyFont="1" applyFill="1" applyBorder="1" applyAlignment="1">
      <alignment vertical="center" wrapText="1"/>
    </xf>
    <xf numFmtId="0" fontId="374" fillId="60" borderId="108" xfId="34764" applyFont="1" applyFill="1" applyBorder="1" applyAlignment="1">
      <alignment wrapText="1"/>
    </xf>
    <xf numFmtId="0" fontId="374" fillId="60" borderId="109" xfId="34764" applyFont="1" applyFill="1" applyBorder="1" applyAlignment="1">
      <alignment vertical="center" wrapText="1"/>
    </xf>
    <xf numFmtId="0" fontId="393" fillId="60" borderId="109" xfId="34764" applyFont="1" applyFill="1" applyBorder="1" applyAlignment="1">
      <alignment wrapText="1"/>
    </xf>
    <xf numFmtId="0" fontId="374" fillId="60" borderId="109" xfId="34764" applyFont="1" applyFill="1" applyBorder="1" applyAlignment="1">
      <alignment wrapText="1"/>
    </xf>
    <xf numFmtId="0" fontId="371" fillId="60" borderId="0" xfId="34764" applyFont="1" applyFill="1" applyAlignment="1">
      <alignment wrapText="1"/>
    </xf>
    <xf numFmtId="341" fontId="371" fillId="60" borderId="109" xfId="34764" applyNumberFormat="1" applyFont="1" applyFill="1" applyBorder="1" applyAlignment="1">
      <alignment horizontal="right" vertical="center" wrapText="1"/>
    </xf>
    <xf numFmtId="0" fontId="371" fillId="60" borderId="109" xfId="34764" applyFont="1" applyFill="1" applyBorder="1" applyAlignment="1">
      <alignment vertical="center" wrapText="1"/>
    </xf>
    <xf numFmtId="341" fontId="374" fillId="60" borderId="0" xfId="34764" applyNumberFormat="1" applyFont="1" applyFill="1" applyAlignment="1">
      <alignment vertical="center" wrapText="1"/>
    </xf>
    <xf numFmtId="341" fontId="374" fillId="125" borderId="0" xfId="34764" applyNumberFormat="1" applyFont="1" applyFill="1" applyAlignment="1">
      <alignment vertical="center" wrapText="1"/>
    </xf>
    <xf numFmtId="0" fontId="374" fillId="60" borderId="108" xfId="34764" applyFont="1" applyFill="1" applyBorder="1" applyAlignment="1">
      <alignment vertical="center" wrapText="1"/>
    </xf>
    <xf numFmtId="0" fontId="404" fillId="60" borderId="109" xfId="34764" applyFont="1" applyFill="1" applyBorder="1" applyAlignment="1">
      <alignment vertical="center" wrapText="1"/>
    </xf>
    <xf numFmtId="0" fontId="372" fillId="60" borderId="0" xfId="34764" applyFont="1" applyFill="1" applyAlignment="1">
      <alignment wrapText="1"/>
    </xf>
    <xf numFmtId="357" fontId="371" fillId="60" borderId="0" xfId="34764" applyNumberFormat="1" applyFont="1" applyFill="1" applyAlignment="1">
      <alignment horizontal="right" wrapText="1"/>
    </xf>
    <xf numFmtId="357" fontId="371" fillId="125" borderId="0" xfId="34764" applyNumberFormat="1" applyFont="1" applyFill="1" applyAlignment="1">
      <alignment horizontal="right" wrapText="1"/>
    </xf>
    <xf numFmtId="357" fontId="371" fillId="60" borderId="108" xfId="34764" applyNumberFormat="1" applyFont="1" applyFill="1" applyBorder="1" applyAlignment="1">
      <alignment horizontal="right" wrapText="1"/>
    </xf>
    <xf numFmtId="357" fontId="371" fillId="125" borderId="108" xfId="34764" applyNumberFormat="1" applyFont="1" applyFill="1" applyBorder="1" applyAlignment="1">
      <alignment horizontal="right" wrapText="1"/>
    </xf>
    <xf numFmtId="0" fontId="371" fillId="60" borderId="108" xfId="34764" applyFont="1" applyFill="1" applyBorder="1" applyAlignment="1">
      <alignment vertical="center" wrapText="1"/>
    </xf>
    <xf numFmtId="341" fontId="374" fillId="54" borderId="114" xfId="34764" applyNumberFormat="1" applyFont="1" applyFill="1" applyBorder="1" applyAlignment="1">
      <alignment horizontal="right" vertical="center" wrapText="1"/>
    </xf>
    <xf numFmtId="0" fontId="374" fillId="60" borderId="114" xfId="34764" applyFont="1" applyFill="1" applyBorder="1" applyAlignment="1">
      <alignment vertical="center" wrapText="1"/>
    </xf>
    <xf numFmtId="0" fontId="393" fillId="0" borderId="115" xfId="34764" applyFont="1" applyBorder="1" applyAlignment="1">
      <alignment wrapText="1"/>
    </xf>
    <xf numFmtId="0" fontId="371" fillId="60" borderId="115" xfId="34764" applyFont="1" applyFill="1" applyBorder="1" applyAlignment="1">
      <alignment vertical="center" wrapText="1"/>
    </xf>
    <xf numFmtId="341" fontId="371" fillId="54" borderId="115" xfId="34764" applyNumberFormat="1" applyFont="1" applyFill="1" applyBorder="1" applyAlignment="1">
      <alignment horizontal="right" vertical="center" wrapText="1"/>
    </xf>
    <xf numFmtId="341" fontId="371" fillId="54" borderId="0" xfId="34764" applyNumberFormat="1" applyFont="1" applyFill="1" applyAlignment="1">
      <alignment horizontal="right" vertical="center" wrapText="1"/>
    </xf>
    <xf numFmtId="341" fontId="371" fillId="54" borderId="115" xfId="34764" applyNumberFormat="1" applyFont="1" applyFill="1" applyBorder="1" applyAlignment="1">
      <alignment vertical="center" wrapText="1"/>
    </xf>
    <xf numFmtId="341" fontId="371" fillId="54" borderId="0" xfId="34764" applyNumberFormat="1" applyFont="1" applyFill="1" applyAlignment="1">
      <alignment vertical="center" wrapText="1"/>
    </xf>
    <xf numFmtId="341" fontId="374" fillId="54" borderId="114" xfId="34764" applyNumberFormat="1" applyFont="1" applyFill="1" applyBorder="1" applyAlignment="1">
      <alignment vertical="center" wrapText="1"/>
    </xf>
    <xf numFmtId="0" fontId="376" fillId="60" borderId="115" xfId="34764" applyFont="1" applyFill="1" applyBorder="1" applyAlignment="1">
      <alignment horizontal="right" vertical="center" wrapText="1"/>
    </xf>
    <xf numFmtId="0" fontId="372" fillId="60" borderId="115" xfId="34764" applyFont="1" applyFill="1" applyBorder="1" applyAlignment="1">
      <alignment vertical="center" wrapText="1"/>
    </xf>
    <xf numFmtId="0" fontId="372" fillId="60" borderId="0" xfId="34764" applyFont="1" applyFill="1" applyAlignment="1">
      <alignment vertical="top" wrapText="1"/>
    </xf>
    <xf numFmtId="368" fontId="374" fillId="0" borderId="114" xfId="34764" applyNumberFormat="1" applyFont="1" applyBorder="1" applyAlignment="1">
      <alignment vertical="center" wrapText="1"/>
    </xf>
    <xf numFmtId="0" fontId="374" fillId="0" borderId="114" xfId="34764" applyFont="1" applyBorder="1" applyAlignment="1">
      <alignment horizontal="left" vertical="center" wrapText="1"/>
    </xf>
    <xf numFmtId="368" fontId="371" fillId="0" borderId="115" xfId="34764" applyNumberFormat="1" applyFont="1" applyBorder="1" applyAlignment="1">
      <alignment vertical="center" wrapText="1"/>
    </xf>
    <xf numFmtId="0" fontId="371" fillId="0" borderId="115" xfId="34764" applyFont="1" applyBorder="1" applyAlignment="1">
      <alignment horizontal="left" wrapText="1"/>
    </xf>
    <xf numFmtId="368" fontId="371" fillId="0" borderId="0" xfId="34764" applyNumberFormat="1" applyFont="1" applyAlignment="1">
      <alignment vertical="center" wrapText="1"/>
    </xf>
    <xf numFmtId="0" fontId="371" fillId="0" borderId="0" xfId="34764" applyFont="1" applyAlignment="1">
      <alignment horizontal="left" wrapText="1"/>
    </xf>
    <xf numFmtId="368" fontId="371" fillId="60" borderId="0" xfId="34764" applyNumberFormat="1" applyFont="1" applyFill="1" applyAlignment="1">
      <alignment vertical="center" wrapText="1"/>
    </xf>
    <xf numFmtId="368" fontId="371" fillId="60" borderId="114" xfId="34764" applyNumberFormat="1" applyFont="1" applyFill="1" applyBorder="1" applyAlignment="1">
      <alignment vertical="center" wrapText="1"/>
    </xf>
    <xf numFmtId="0" fontId="371" fillId="0" borderId="114" xfId="34764" applyFont="1" applyBorder="1" applyAlignment="1">
      <alignment horizontal="left" vertical="center" wrapText="1"/>
    </xf>
    <xf numFmtId="0" fontId="374" fillId="60" borderId="115" xfId="34764" applyFont="1" applyFill="1" applyBorder="1" applyAlignment="1">
      <alignment vertical="center" wrapText="1"/>
    </xf>
    <xf numFmtId="0" fontId="390" fillId="60" borderId="115" xfId="34764" applyFont="1" applyFill="1" applyBorder="1" applyAlignment="1">
      <alignment vertical="center" wrapText="1"/>
    </xf>
    <xf numFmtId="0" fontId="373" fillId="60" borderId="115" xfId="34764" applyFont="1" applyFill="1" applyBorder="1" applyAlignment="1">
      <alignment vertical="center" wrapText="1"/>
    </xf>
    <xf numFmtId="0" fontId="390" fillId="60" borderId="0" xfId="34764" applyFont="1" applyFill="1" applyAlignment="1">
      <alignment vertical="center" wrapText="1"/>
    </xf>
    <xf numFmtId="341" fontId="374" fillId="54" borderId="115" xfId="34764" applyNumberFormat="1" applyFont="1" applyFill="1" applyBorder="1" applyAlignment="1">
      <alignment horizontal="right" vertical="center" wrapText="1"/>
    </xf>
    <xf numFmtId="341" fontId="374" fillId="54" borderId="0" xfId="34764" applyNumberFormat="1" applyFont="1" applyFill="1" applyAlignment="1">
      <alignment horizontal="right" vertical="center" wrapText="1"/>
    </xf>
    <xf numFmtId="0" fontId="376" fillId="60" borderId="115" xfId="34764" applyFont="1" applyFill="1" applyBorder="1" applyAlignment="1">
      <alignment horizontal="right" wrapText="1"/>
    </xf>
    <xf numFmtId="0" fontId="376" fillId="60" borderId="0" xfId="34764" applyFont="1" applyFill="1" applyAlignment="1">
      <alignment horizontal="right" wrapText="1"/>
    </xf>
    <xf numFmtId="0" fontId="376" fillId="60" borderId="114" xfId="34764" applyFont="1" applyFill="1" applyBorder="1" applyAlignment="1">
      <alignment horizontal="right" wrapText="1"/>
    </xf>
    <xf numFmtId="0" fontId="395" fillId="60" borderId="0" xfId="34764" applyFont="1" applyFill="1" applyAlignment="1">
      <alignment wrapText="1"/>
    </xf>
    <xf numFmtId="0" fontId="373" fillId="60" borderId="115" xfId="34764" applyFont="1" applyFill="1" applyBorder="1" applyAlignment="1">
      <alignment horizontal="right" wrapText="1"/>
    </xf>
    <xf numFmtId="0" fontId="372" fillId="60" borderId="0" xfId="34764" applyFont="1" applyFill="1" applyAlignment="1">
      <alignment vertical="center" wrapText="1"/>
    </xf>
    <xf numFmtId="368" fontId="374" fillId="125" borderId="112" xfId="34764" applyNumberFormat="1" applyFont="1" applyFill="1" applyBorder="1" applyAlignment="1">
      <alignment wrapText="1"/>
    </xf>
    <xf numFmtId="368" fontId="374" fillId="125" borderId="116" xfId="34764" applyNumberFormat="1" applyFont="1" applyFill="1" applyBorder="1" applyAlignment="1">
      <alignment wrapText="1"/>
    </xf>
    <xf numFmtId="0" fontId="374" fillId="60" borderId="117" xfId="34764" applyFont="1" applyFill="1" applyBorder="1" applyAlignment="1">
      <alignment vertical="center" wrapText="1"/>
    </xf>
    <xf numFmtId="368" fontId="371" fillId="125" borderId="113" xfId="34764" applyNumberFormat="1" applyFont="1" applyFill="1" applyBorder="1" applyAlignment="1">
      <alignment wrapText="1"/>
    </xf>
    <xf numFmtId="0" fontId="405" fillId="60" borderId="115" xfId="34764" applyFont="1" applyFill="1" applyBorder="1" applyAlignment="1">
      <alignment wrapText="1"/>
    </xf>
    <xf numFmtId="368" fontId="371" fillId="125" borderId="0" xfId="34764" applyNumberFormat="1" applyFont="1" applyFill="1" applyAlignment="1">
      <alignment wrapText="1"/>
    </xf>
    <xf numFmtId="0" fontId="371" fillId="60" borderId="0" xfId="34764" applyFont="1" applyFill="1" applyAlignment="1">
      <alignment horizontal="left" wrapText="1"/>
    </xf>
    <xf numFmtId="368" fontId="374" fillId="0" borderId="112" xfId="34764" applyNumberFormat="1" applyFont="1" applyBorder="1" applyAlignment="1">
      <alignment wrapText="1"/>
    </xf>
    <xf numFmtId="0" fontId="373" fillId="60" borderId="115" xfId="34764" applyFont="1" applyFill="1" applyBorder="1" applyAlignment="1">
      <alignment horizontal="left" wrapText="1"/>
    </xf>
    <xf numFmtId="0" fontId="373" fillId="60" borderId="0" xfId="34764" applyFont="1" applyFill="1" applyAlignment="1">
      <alignment horizontal="left" wrapText="1"/>
    </xf>
    <xf numFmtId="346" fontId="371" fillId="60" borderId="0" xfId="34764" applyNumberFormat="1" applyFont="1" applyFill="1" applyAlignment="1">
      <alignment horizontal="right" vertical="center" wrapText="1"/>
    </xf>
    <xf numFmtId="346" fontId="371" fillId="125" borderId="0" xfId="34764" applyNumberFormat="1" applyFont="1" applyFill="1" applyAlignment="1">
      <alignment horizontal="right" vertical="center" wrapText="1"/>
    </xf>
    <xf numFmtId="0" fontId="371" fillId="0" borderId="0" xfId="34768">
      <alignment wrapText="1"/>
    </xf>
    <xf numFmtId="357" fontId="374" fillId="60" borderId="0" xfId="34764" applyNumberFormat="1" applyFont="1" applyFill="1" applyAlignment="1">
      <alignment horizontal="right" vertical="center" wrapText="1"/>
    </xf>
    <xf numFmtId="357" fontId="374" fillId="125" borderId="0" xfId="34764" applyNumberFormat="1" applyFont="1" applyFill="1" applyAlignment="1">
      <alignment horizontal="right" vertical="center" wrapText="1"/>
    </xf>
    <xf numFmtId="357" fontId="374" fillId="60" borderId="114" xfId="34764" applyNumberFormat="1" applyFont="1" applyFill="1" applyBorder="1" applyAlignment="1">
      <alignment horizontal="right" vertical="center" wrapText="1"/>
    </xf>
    <xf numFmtId="357" fontId="374" fillId="125" borderId="114" xfId="34764" applyNumberFormat="1" applyFont="1" applyFill="1" applyBorder="1" applyAlignment="1">
      <alignment horizontal="right" vertical="center" wrapText="1"/>
    </xf>
    <xf numFmtId="0" fontId="371" fillId="60" borderId="114" xfId="34764" applyFont="1" applyFill="1" applyBorder="1" applyAlignment="1">
      <alignment vertical="center" wrapText="1"/>
    </xf>
    <xf numFmtId="0" fontId="398" fillId="60" borderId="115" xfId="34764" applyFont="1" applyFill="1" applyBorder="1" applyAlignment="1">
      <alignment wrapText="1"/>
    </xf>
    <xf numFmtId="0" fontId="371" fillId="60" borderId="112" xfId="34764" applyFont="1" applyFill="1" applyBorder="1" applyAlignment="1">
      <alignment horizontal="right" vertical="center" wrapText="1"/>
    </xf>
    <xf numFmtId="0" fontId="371" fillId="54" borderId="112" xfId="34764" applyFont="1" applyFill="1" applyBorder="1" applyAlignment="1">
      <alignment horizontal="right" vertical="center" wrapText="1"/>
    </xf>
    <xf numFmtId="0" fontId="374" fillId="60" borderId="113" xfId="34764" applyFont="1" applyFill="1" applyBorder="1" applyAlignment="1">
      <alignment horizontal="right" vertical="center" wrapText="1"/>
    </xf>
    <xf numFmtId="0" fontId="374" fillId="60" borderId="113" xfId="34764" applyFont="1" applyFill="1" applyBorder="1" applyAlignment="1">
      <alignment vertical="center" wrapText="1"/>
    </xf>
    <xf numFmtId="341" fontId="374" fillId="60" borderId="112" xfId="34764" applyNumberFormat="1" applyFont="1" applyFill="1" applyBorder="1" applyAlignment="1">
      <alignment horizontal="right" vertical="center" wrapText="1"/>
    </xf>
    <xf numFmtId="341" fontId="374" fillId="54" borderId="112" xfId="34764" applyNumberFormat="1" applyFont="1" applyFill="1" applyBorder="1" applyAlignment="1">
      <alignment horizontal="right" vertical="center" wrapText="1"/>
    </xf>
    <xf numFmtId="0" fontId="374" fillId="60" borderId="112" xfId="34764" applyFont="1" applyFill="1" applyBorder="1" applyAlignment="1">
      <alignment vertical="center" wrapText="1"/>
    </xf>
    <xf numFmtId="341" fontId="371" fillId="60" borderId="113" xfId="34764" applyNumberFormat="1" applyFont="1" applyFill="1" applyBorder="1" applyAlignment="1">
      <alignment horizontal="right" vertical="center" wrapText="1"/>
    </xf>
    <xf numFmtId="341" fontId="371" fillId="54" borderId="113" xfId="34764" applyNumberFormat="1" applyFont="1" applyFill="1" applyBorder="1" applyAlignment="1">
      <alignment horizontal="right" vertical="center" wrapText="1"/>
    </xf>
    <xf numFmtId="341" fontId="371" fillId="60" borderId="112" xfId="34764" applyNumberFormat="1" applyFont="1" applyFill="1" applyBorder="1" applyAlignment="1">
      <alignment horizontal="right" vertical="center" wrapText="1"/>
    </xf>
    <xf numFmtId="341" fontId="371" fillId="54" borderId="112" xfId="34764" applyNumberFormat="1" applyFont="1" applyFill="1" applyBorder="1" applyAlignment="1">
      <alignment horizontal="right" vertical="center" wrapText="1"/>
    </xf>
    <xf numFmtId="0" fontId="371" fillId="60" borderId="113" xfId="34764" applyFont="1" applyFill="1" applyBorder="1" applyAlignment="1">
      <alignment horizontal="right" vertical="center" wrapText="1"/>
    </xf>
    <xf numFmtId="341" fontId="374" fillId="60" borderId="112" xfId="34764" applyNumberFormat="1" applyFont="1" applyFill="1" applyBorder="1" applyAlignment="1">
      <alignment vertical="center" wrapText="1"/>
    </xf>
    <xf numFmtId="341" fontId="374" fillId="54" borderId="112" xfId="34764" applyNumberFormat="1" applyFont="1" applyFill="1" applyBorder="1" applyAlignment="1">
      <alignment vertical="center" wrapText="1"/>
    </xf>
    <xf numFmtId="341" fontId="371" fillId="125" borderId="113" xfId="34764" applyNumberFormat="1" applyFont="1" applyFill="1" applyBorder="1" applyAlignment="1">
      <alignment horizontal="right" vertical="center" wrapText="1"/>
    </xf>
    <xf numFmtId="0" fontId="397" fillId="60" borderId="113" xfId="34764" applyFont="1" applyFill="1" applyBorder="1" applyAlignment="1">
      <alignment horizontal="right" vertical="center" wrapText="1"/>
    </xf>
    <xf numFmtId="0" fontId="373" fillId="60" borderId="113" xfId="34764" applyFont="1" applyFill="1" applyBorder="1" applyAlignment="1">
      <alignment vertical="center" wrapText="1"/>
    </xf>
    <xf numFmtId="340" fontId="398" fillId="0" borderId="0" xfId="34764" applyNumberFormat="1" applyFont="1" applyAlignment="1">
      <alignment horizontal="right" vertical="center" wrapText="1"/>
    </xf>
    <xf numFmtId="341" fontId="374" fillId="60" borderId="114" xfId="34764" applyNumberFormat="1" applyFont="1" applyFill="1" applyBorder="1" applyAlignment="1">
      <alignment horizontal="right" vertical="center" wrapText="1"/>
    </xf>
    <xf numFmtId="0" fontId="374" fillId="60" borderId="115" xfId="34764" applyFont="1" applyFill="1" applyBorder="1" applyAlignment="1">
      <alignment wrapText="1"/>
    </xf>
    <xf numFmtId="341" fontId="371" fillId="60" borderId="115" xfId="34764" applyNumberFormat="1" applyFont="1" applyFill="1" applyBorder="1" applyAlignment="1">
      <alignment wrapText="1"/>
    </xf>
    <xf numFmtId="341" fontId="371" fillId="60" borderId="0" xfId="34764" applyNumberFormat="1" applyFont="1" applyFill="1" applyAlignment="1">
      <alignment wrapText="1"/>
    </xf>
    <xf numFmtId="341" fontId="371" fillId="60" borderId="114" xfId="34764" applyNumberFormat="1" applyFont="1" applyFill="1" applyBorder="1" applyAlignment="1">
      <alignment horizontal="right" vertical="center" wrapText="1"/>
    </xf>
    <xf numFmtId="341" fontId="371" fillId="54" borderId="114" xfId="34764" applyNumberFormat="1" applyFont="1" applyFill="1" applyBorder="1" applyAlignment="1">
      <alignment horizontal="right" vertical="center" wrapText="1"/>
    </xf>
    <xf numFmtId="0" fontId="371" fillId="60" borderId="115" xfId="34764" applyFont="1" applyFill="1" applyBorder="1" applyAlignment="1">
      <alignment wrapText="1"/>
    </xf>
    <xf numFmtId="0" fontId="374" fillId="60" borderId="0" xfId="34764" applyFont="1" applyFill="1" applyAlignment="1">
      <alignment wrapText="1"/>
    </xf>
    <xf numFmtId="0" fontId="371" fillId="60" borderId="115" xfId="34764" applyFont="1" applyFill="1" applyBorder="1" applyAlignment="1">
      <alignment horizontal="right" wrapText="1"/>
    </xf>
    <xf numFmtId="0" fontId="377" fillId="60" borderId="0" xfId="34764" applyFont="1" applyFill="1" applyAlignment="1">
      <alignment vertical="center" wrapText="1"/>
    </xf>
    <xf numFmtId="0" fontId="372" fillId="60" borderId="0" xfId="34764" applyFont="1" applyFill="1" applyAlignment="1">
      <alignment horizontal="left" vertical="center" wrapText="1"/>
    </xf>
    <xf numFmtId="341" fontId="374" fillId="0" borderId="112" xfId="34764" applyNumberFormat="1" applyFont="1" applyBorder="1" applyAlignment="1">
      <alignment vertical="center" wrapText="1"/>
    </xf>
    <xf numFmtId="341" fontId="374" fillId="125" borderId="112" xfId="34764" applyNumberFormat="1" applyFont="1" applyFill="1" applyBorder="1" applyAlignment="1">
      <alignment vertical="center" wrapText="1"/>
    </xf>
    <xf numFmtId="0" fontId="374" fillId="0" borderId="112" xfId="34764" applyFont="1" applyBorder="1" applyAlignment="1">
      <alignment wrapText="1"/>
    </xf>
    <xf numFmtId="341" fontId="371" fillId="0" borderId="113" xfId="34764" applyNumberFormat="1" applyFont="1" applyBorder="1" applyAlignment="1">
      <alignment horizontal="right" vertical="center" wrapText="1"/>
    </xf>
    <xf numFmtId="0" fontId="371" fillId="0" borderId="113" xfId="34764" applyFont="1" applyBorder="1" applyAlignment="1">
      <alignment vertical="center" wrapText="1"/>
    </xf>
    <xf numFmtId="341" fontId="371" fillId="0" borderId="112" xfId="34764" applyNumberFormat="1" applyFont="1" applyBorder="1" applyAlignment="1">
      <alignment horizontal="right" vertical="center" wrapText="1"/>
    </xf>
    <xf numFmtId="341" fontId="371" fillId="125" borderId="112" xfId="34764" applyNumberFormat="1" applyFont="1" applyFill="1" applyBorder="1" applyAlignment="1">
      <alignment horizontal="right" vertical="center" wrapText="1"/>
    </xf>
    <xf numFmtId="0" fontId="371" fillId="0" borderId="112" xfId="34764" applyFont="1" applyBorder="1" applyAlignment="1">
      <alignment wrapText="1"/>
    </xf>
    <xf numFmtId="0" fontId="397" fillId="0" borderId="113" xfId="34764" applyFont="1" applyBorder="1" applyAlignment="1">
      <alignment horizontal="right" vertical="center" wrapText="1"/>
    </xf>
    <xf numFmtId="0" fontId="374" fillId="0" borderId="113" xfId="34764" applyFont="1" applyBorder="1" applyAlignment="1">
      <alignment wrapText="1"/>
    </xf>
    <xf numFmtId="0" fontId="371" fillId="60" borderId="113" xfId="34764" applyFont="1" applyFill="1" applyBorder="1" applyAlignment="1">
      <alignment horizontal="left" vertical="center" wrapText="1"/>
    </xf>
    <xf numFmtId="0" fontId="371" fillId="60" borderId="0" xfId="34764" applyFont="1" applyFill="1" applyAlignment="1">
      <alignment horizontal="left" vertical="center" wrapText="1"/>
    </xf>
    <xf numFmtId="341" fontId="374" fillId="125" borderId="114" xfId="34764" applyNumberFormat="1" applyFont="1" applyFill="1" applyBorder="1" applyAlignment="1">
      <alignment horizontal="right" vertical="center" wrapText="1"/>
    </xf>
    <xf numFmtId="0" fontId="374" fillId="60" borderId="112" xfId="34764" applyFont="1" applyFill="1" applyBorder="1" applyAlignment="1">
      <alignment horizontal="left" vertical="center" wrapText="1"/>
    </xf>
    <xf numFmtId="341" fontId="374" fillId="125" borderId="114" xfId="34764" applyNumberFormat="1" applyFont="1" applyFill="1" applyBorder="1" applyAlignment="1">
      <alignment vertical="center" wrapText="1"/>
    </xf>
    <xf numFmtId="341" fontId="374" fillId="60" borderId="114" xfId="34764" applyNumberFormat="1" applyFont="1" applyFill="1" applyBorder="1" applyAlignment="1">
      <alignment vertical="center" wrapText="1"/>
    </xf>
    <xf numFmtId="341" fontId="371" fillId="54" borderId="106" xfId="34764" applyNumberFormat="1" applyFont="1" applyFill="1" applyBorder="1" applyAlignment="1">
      <alignment horizontal="right" vertical="center" wrapText="1"/>
    </xf>
    <xf numFmtId="0" fontId="374" fillId="60" borderId="70" xfId="34764" applyFont="1" applyFill="1" applyBorder="1" applyAlignment="1">
      <alignment vertical="center" wrapText="1"/>
    </xf>
    <xf numFmtId="341" fontId="371" fillId="0" borderId="70" xfId="34764" applyNumberFormat="1" applyFont="1" applyBorder="1" applyAlignment="1">
      <alignment horizontal="right" wrapText="1"/>
    </xf>
    <xf numFmtId="341" fontId="371" fillId="54" borderId="70" xfId="34764" applyNumberFormat="1" applyFont="1" applyFill="1" applyBorder="1" applyAlignment="1">
      <alignment horizontal="right" vertical="center" wrapText="1"/>
    </xf>
    <xf numFmtId="0" fontId="371" fillId="60" borderId="70" xfId="34764" applyFont="1" applyFill="1" applyBorder="1" applyAlignment="1">
      <alignment vertical="center" wrapText="1"/>
    </xf>
    <xf numFmtId="341" fontId="374" fillId="60" borderId="70" xfId="34764" applyNumberFormat="1" applyFont="1" applyFill="1" applyBorder="1" applyAlignment="1">
      <alignment horizontal="right" vertical="center" wrapText="1"/>
    </xf>
    <xf numFmtId="341" fontId="374" fillId="125" borderId="70" xfId="34764" applyNumberFormat="1" applyFont="1" applyFill="1" applyBorder="1" applyAlignment="1">
      <alignment horizontal="right" vertical="center" wrapText="1"/>
    </xf>
    <xf numFmtId="341" fontId="371" fillId="60" borderId="71" xfId="34764" applyNumberFormat="1" applyFont="1" applyFill="1" applyBorder="1" applyAlignment="1">
      <alignment horizontal="right" vertical="center" wrapText="1"/>
    </xf>
    <xf numFmtId="341" fontId="371" fillId="125" borderId="71" xfId="34764" applyNumberFormat="1" applyFont="1" applyFill="1" applyBorder="1" applyAlignment="1">
      <alignment horizontal="right" vertical="center" wrapText="1"/>
    </xf>
    <xf numFmtId="341" fontId="371" fillId="60" borderId="70" xfId="34764" applyNumberFormat="1" applyFont="1" applyFill="1" applyBorder="1" applyAlignment="1">
      <alignment horizontal="right" vertical="center" wrapText="1"/>
    </xf>
    <xf numFmtId="0" fontId="398" fillId="60" borderId="71" xfId="34764" applyFont="1" applyFill="1" applyBorder="1" applyAlignment="1">
      <alignment horizontal="right" vertical="center" wrapText="1"/>
    </xf>
    <xf numFmtId="0" fontId="403" fillId="60" borderId="71" xfId="34764" applyFont="1" applyFill="1" applyBorder="1" applyAlignment="1">
      <alignment vertical="center" wrapText="1"/>
    </xf>
    <xf numFmtId="0" fontId="403" fillId="60" borderId="0" xfId="34764" applyFont="1" applyFill="1" applyAlignment="1">
      <alignment vertical="top" wrapText="1"/>
    </xf>
    <xf numFmtId="0" fontId="398" fillId="60" borderId="71" xfId="34764" applyFont="1" applyFill="1" applyBorder="1" applyAlignment="1">
      <alignment horizontal="right" wrapText="1"/>
    </xf>
    <xf numFmtId="0" fontId="398" fillId="60" borderId="107" xfId="34764" applyFont="1" applyFill="1" applyBorder="1" applyAlignment="1">
      <alignment horizontal="right" vertical="center" wrapText="1"/>
    </xf>
    <xf numFmtId="368" fontId="371" fillId="55" borderId="108" xfId="34764" applyNumberFormat="1" applyFont="1" applyFill="1" applyBorder="1" applyAlignment="1">
      <alignment wrapText="1"/>
    </xf>
    <xf numFmtId="355" fontId="371" fillId="55" borderId="108" xfId="34764" applyNumberFormat="1" applyFont="1" applyFill="1" applyBorder="1" applyAlignment="1">
      <alignment wrapText="1"/>
    </xf>
    <xf numFmtId="0" fontId="371" fillId="55" borderId="0" xfId="34764" applyFont="1" applyFill="1" applyAlignment="1">
      <alignment wrapText="1"/>
    </xf>
    <xf numFmtId="368" fontId="371" fillId="55" borderId="109" xfId="34764" applyNumberFormat="1" applyFont="1" applyFill="1" applyBorder="1" applyAlignment="1">
      <alignment wrapText="1"/>
    </xf>
    <xf numFmtId="355" fontId="371" fillId="55" borderId="109" xfId="34764" applyNumberFormat="1" applyFont="1" applyFill="1" applyBorder="1" applyAlignment="1">
      <alignment wrapText="1"/>
    </xf>
    <xf numFmtId="368" fontId="374" fillId="55" borderId="108" xfId="34764" applyNumberFormat="1" applyFont="1" applyFill="1" applyBorder="1" applyAlignment="1">
      <alignment wrapText="1"/>
    </xf>
    <xf numFmtId="355" fontId="374" fillId="55" borderId="108" xfId="34764" applyNumberFormat="1" applyFont="1" applyFill="1" applyBorder="1" applyAlignment="1">
      <alignment wrapText="1"/>
    </xf>
    <xf numFmtId="0" fontId="374" fillId="55" borderId="0" xfId="34764" applyFont="1" applyFill="1" applyAlignment="1">
      <alignment wrapText="1"/>
    </xf>
    <xf numFmtId="279" fontId="371" fillId="54" borderId="113" xfId="34764" applyNumberFormat="1" applyFont="1" applyFill="1" applyBorder="1" applyAlignment="1">
      <alignment horizontal="right" wrapText="1"/>
    </xf>
    <xf numFmtId="279" fontId="383" fillId="0" borderId="0" xfId="34764" applyNumberFormat="1"/>
    <xf numFmtId="279" fontId="376" fillId="60" borderId="112" xfId="34764" applyNumberFormat="1" applyFont="1" applyFill="1" applyBorder="1" applyAlignment="1">
      <alignment horizontal="right" wrapText="1"/>
    </xf>
    <xf numFmtId="279" fontId="371" fillId="60" borderId="113" xfId="34764" applyNumberFormat="1" applyFont="1" applyFill="1" applyBorder="1" applyAlignment="1">
      <alignment horizontal="right" vertical="center" wrapText="1"/>
    </xf>
    <xf numFmtId="279" fontId="371" fillId="0" borderId="113" xfId="34764" applyNumberFormat="1" applyFont="1" applyBorder="1" applyAlignment="1">
      <alignment horizontal="right" vertical="center" wrapText="1"/>
    </xf>
    <xf numFmtId="279" fontId="317" fillId="60" borderId="113" xfId="34764" applyNumberFormat="1" applyFont="1" applyFill="1" applyBorder="1" applyAlignment="1">
      <alignment horizontal="right" vertical="center" wrapText="1"/>
    </xf>
    <xf numFmtId="0" fontId="406" fillId="60" borderId="0" xfId="34764" applyFont="1" applyFill="1" applyAlignment="1">
      <alignment horizontal="left" wrapText="1"/>
    </xf>
    <xf numFmtId="0" fontId="406" fillId="60" borderId="112" xfId="34764" applyFont="1" applyFill="1" applyBorder="1" applyAlignment="1">
      <alignment horizontal="left" wrapText="1"/>
    </xf>
    <xf numFmtId="0" fontId="315" fillId="60" borderId="112" xfId="34764" applyFont="1" applyFill="1" applyBorder="1" applyAlignment="1">
      <alignment horizontal="left" vertical="center" wrapText="1"/>
    </xf>
    <xf numFmtId="0" fontId="406" fillId="0" borderId="0" xfId="34764" applyFont="1" applyAlignment="1">
      <alignment horizontal="right" wrapText="1"/>
    </xf>
    <xf numFmtId="0" fontId="407" fillId="0" borderId="0" xfId="34764" applyFont="1" applyAlignment="1">
      <alignment horizontal="right" wrapText="1"/>
    </xf>
    <xf numFmtId="341" fontId="371" fillId="54" borderId="70" xfId="0" applyNumberFormat="1" applyFont="1" applyFill="1" applyBorder="1" applyAlignment="1">
      <alignment vertical="center" wrapText="1"/>
    </xf>
    <xf numFmtId="0" fontId="371" fillId="54" borderId="70" xfId="0" applyFont="1" applyFill="1" applyBorder="1" applyAlignment="1">
      <alignment horizontal="right" vertical="center" wrapText="1"/>
    </xf>
    <xf numFmtId="351" fontId="371" fillId="54" borderId="71" xfId="0" applyNumberFormat="1" applyFont="1" applyFill="1" applyBorder="1" applyAlignment="1">
      <alignment horizontal="right" vertical="center" wrapText="1"/>
    </xf>
    <xf numFmtId="356" fontId="374" fillId="54" borderId="70" xfId="0" applyNumberFormat="1" applyFont="1" applyFill="1" applyBorder="1" applyAlignment="1">
      <alignment horizontal="right" vertical="center" wrapText="1"/>
    </xf>
    <xf numFmtId="350" fontId="374" fillId="54" borderId="70" xfId="0" applyNumberFormat="1" applyFont="1" applyFill="1" applyBorder="1" applyAlignment="1">
      <alignment horizontal="right" vertical="center" wrapText="1"/>
    </xf>
    <xf numFmtId="351" fontId="371" fillId="54" borderId="70" xfId="0" applyNumberFormat="1" applyFont="1" applyFill="1" applyBorder="1" applyAlignment="1">
      <alignment horizontal="right" vertical="center" wrapText="1"/>
    </xf>
    <xf numFmtId="0" fontId="406" fillId="0" borderId="0" xfId="34764" applyFont="1" applyAlignment="1">
      <alignment horizontal="right" vertical="center" wrapText="1"/>
    </xf>
    <xf numFmtId="353" fontId="371" fillId="0" borderId="0" xfId="0" quotePrefix="1" applyNumberFormat="1" applyFont="1" applyAlignment="1">
      <alignment horizontal="right" vertical="center" wrapText="1"/>
    </xf>
    <xf numFmtId="0" fontId="317" fillId="60" borderId="70" xfId="0" applyFont="1" applyFill="1" applyBorder="1" applyAlignment="1">
      <alignment vertical="center" wrapText="1"/>
    </xf>
    <xf numFmtId="344" fontId="371" fillId="123" borderId="0" xfId="0" applyNumberFormat="1" applyFont="1" applyFill="1" applyAlignment="1">
      <alignment horizontal="right" vertical="center" wrapText="1"/>
    </xf>
    <xf numFmtId="344" fontId="371" fillId="0" borderId="0" xfId="0" applyNumberFormat="1" applyFont="1" applyAlignment="1">
      <alignment horizontal="right" vertical="center" wrapText="1"/>
    </xf>
    <xf numFmtId="344" fontId="371" fillId="124" borderId="0" xfId="0" applyNumberFormat="1" applyFont="1" applyFill="1" applyAlignment="1">
      <alignment horizontal="right" vertical="center" wrapText="1"/>
    </xf>
    <xf numFmtId="344" fontId="384" fillId="0" borderId="0" xfId="34765" applyNumberFormat="1">
      <alignment wrapText="1"/>
    </xf>
    <xf numFmtId="344" fontId="371" fillId="60" borderId="0" xfId="0" applyNumberFormat="1" applyFont="1" applyFill="1" applyAlignment="1">
      <alignment horizontal="right" vertical="center" wrapText="1"/>
    </xf>
    <xf numFmtId="344" fontId="371" fillId="123" borderId="0" xfId="0" applyNumberFormat="1" applyFont="1" applyFill="1" applyAlignment="1">
      <alignment vertical="center" wrapText="1"/>
    </xf>
    <xf numFmtId="344" fontId="371" fillId="0" borderId="0" xfId="0" applyNumberFormat="1" applyFont="1" applyAlignment="1">
      <alignment vertical="center" wrapText="1"/>
    </xf>
    <xf numFmtId="344" fontId="371" fillId="0" borderId="0" xfId="1" applyNumberFormat="1" applyFont="1" applyAlignment="1">
      <alignment horizontal="right" vertical="center" wrapText="1"/>
    </xf>
    <xf numFmtId="344" fontId="362" fillId="0" borderId="0" xfId="34759" applyNumberFormat="1">
      <alignment wrapText="1"/>
    </xf>
    <xf numFmtId="344" fontId="371" fillId="122" borderId="0" xfId="0" applyNumberFormat="1" applyFont="1" applyFill="1" applyAlignment="1">
      <alignment horizontal="right" vertical="center" wrapText="1"/>
    </xf>
    <xf numFmtId="344" fontId="362" fillId="0" borderId="0" xfId="34759" applyNumberFormat="1" applyBorder="1">
      <alignment wrapText="1"/>
    </xf>
    <xf numFmtId="0" fontId="398" fillId="60" borderId="0" xfId="34764" applyFont="1" applyFill="1" applyAlignment="1">
      <alignment horizontal="right" wrapText="1"/>
    </xf>
    <xf numFmtId="0" fontId="406" fillId="60" borderId="109" xfId="34764" applyFont="1" applyFill="1" applyBorder="1" applyAlignment="1">
      <alignment horizontal="right" wrapText="1"/>
    </xf>
    <xf numFmtId="0" fontId="398" fillId="60" borderId="109" xfId="34764" applyFont="1" applyFill="1" applyBorder="1" applyAlignment="1">
      <alignment horizontal="right" wrapText="1"/>
    </xf>
    <xf numFmtId="0" fontId="398" fillId="60" borderId="109" xfId="34764" applyFont="1" applyFill="1" applyBorder="1" applyAlignment="1">
      <alignment horizontal="right" vertical="center" wrapText="1"/>
    </xf>
    <xf numFmtId="0" fontId="408" fillId="0" borderId="0" xfId="34764" applyFont="1"/>
    <xf numFmtId="0" fontId="408" fillId="60" borderId="0" xfId="34764" applyFont="1" applyFill="1" applyAlignment="1">
      <alignment horizontal="left" wrapText="1"/>
    </xf>
    <xf numFmtId="0" fontId="367" fillId="0" borderId="70" xfId="0" applyFont="1" applyBorder="1" applyAlignment="1">
      <alignment horizontal="right" vertical="center" wrapText="1"/>
    </xf>
    <xf numFmtId="0" fontId="408" fillId="60" borderId="71" xfId="34764" applyFont="1" applyFill="1" applyBorder="1" applyAlignment="1">
      <alignment horizontal="left" vertical="center" wrapText="1"/>
    </xf>
    <xf numFmtId="0" fontId="248" fillId="60" borderId="70" xfId="34764" applyFont="1" applyFill="1" applyBorder="1" applyAlignment="1">
      <alignment horizontal="left" vertical="center" wrapText="1"/>
    </xf>
    <xf numFmtId="346" fontId="393" fillId="0" borderId="0" xfId="34764" applyNumberFormat="1" applyFont="1" applyAlignment="1">
      <alignment wrapText="1"/>
    </xf>
    <xf numFmtId="341" fontId="393" fillId="54" borderId="102" xfId="34764" applyNumberFormat="1" applyFont="1" applyFill="1" applyBorder="1" applyAlignment="1">
      <alignment vertical="center" wrapText="1"/>
    </xf>
    <xf numFmtId="0" fontId="248" fillId="0" borderId="71" xfId="34764" applyFont="1" applyBorder="1" applyAlignment="1">
      <alignment horizontal="left" vertical="center" wrapText="1"/>
    </xf>
    <xf numFmtId="341" fontId="393" fillId="0" borderId="71" xfId="34764" applyNumberFormat="1" applyFont="1" applyBorder="1" applyAlignment="1">
      <alignment vertical="center" wrapText="1"/>
    </xf>
    <xf numFmtId="341" fontId="393" fillId="54" borderId="103" xfId="34764" applyNumberFormat="1" applyFont="1" applyFill="1" applyBorder="1" applyAlignment="1">
      <alignment vertical="center" wrapText="1"/>
    </xf>
    <xf numFmtId="0" fontId="250" fillId="60" borderId="70" xfId="34764" applyFont="1" applyFill="1" applyBorder="1" applyAlignment="1">
      <alignment horizontal="left" vertical="center" wrapText="1"/>
    </xf>
    <xf numFmtId="331" fontId="319" fillId="0" borderId="70" xfId="34764" applyNumberFormat="1" applyFont="1" applyBorder="1" applyAlignment="1">
      <alignment vertical="center" wrapText="1"/>
    </xf>
    <xf numFmtId="331" fontId="319" fillId="60" borderId="70" xfId="34764" applyNumberFormat="1" applyFont="1" applyFill="1" applyBorder="1" applyAlignment="1">
      <alignment vertical="center" wrapText="1"/>
    </xf>
    <xf numFmtId="341" fontId="319" fillId="54" borderId="102" xfId="34764" applyNumberFormat="1" applyFont="1" applyFill="1" applyBorder="1" applyAlignment="1">
      <alignment vertical="center" wrapText="1"/>
    </xf>
    <xf numFmtId="0" fontId="393" fillId="60" borderId="71" xfId="34764" applyFont="1" applyFill="1" applyBorder="1" applyAlignment="1">
      <alignment vertical="center" wrapText="1"/>
    </xf>
    <xf numFmtId="0" fontId="409" fillId="60" borderId="71" xfId="34764" applyFont="1" applyFill="1" applyBorder="1" applyAlignment="1">
      <alignment vertical="center" wrapText="1"/>
    </xf>
    <xf numFmtId="9" fontId="319" fillId="0" borderId="70" xfId="34764" applyNumberFormat="1" applyFont="1" applyBorder="1" applyAlignment="1">
      <alignment vertical="center" wrapText="1"/>
    </xf>
    <xf numFmtId="0" fontId="319" fillId="60" borderId="70" xfId="34764" applyFont="1" applyFill="1" applyBorder="1" applyAlignment="1">
      <alignment horizontal="right" vertical="center" wrapText="1"/>
    </xf>
    <xf numFmtId="9" fontId="319" fillId="54" borderId="102" xfId="34764" applyNumberFormat="1" applyFont="1" applyFill="1" applyBorder="1" applyAlignment="1">
      <alignment vertical="center" wrapText="1"/>
    </xf>
    <xf numFmtId="0" fontId="317" fillId="60" borderId="71" xfId="34764" applyFont="1" applyFill="1" applyBorder="1" applyAlignment="1">
      <alignment vertical="center" wrapText="1"/>
    </xf>
    <xf numFmtId="0" fontId="317" fillId="60" borderId="71" xfId="34764" applyFont="1" applyFill="1" applyBorder="1" applyAlignment="1">
      <alignment horizontal="right" vertical="center" wrapText="1"/>
    </xf>
    <xf numFmtId="0" fontId="317" fillId="60" borderId="103" xfId="34764" applyFont="1" applyFill="1" applyBorder="1" applyAlignment="1">
      <alignment horizontal="right" vertical="center" wrapText="1"/>
    </xf>
    <xf numFmtId="331" fontId="393" fillId="0" borderId="70" xfId="34764" applyNumberFormat="1" applyFont="1" applyBorder="1" applyAlignment="1">
      <alignment vertical="center" wrapText="1"/>
    </xf>
    <xf numFmtId="331" fontId="393" fillId="60" borderId="70" xfId="34764" applyNumberFormat="1" applyFont="1" applyFill="1" applyBorder="1" applyAlignment="1">
      <alignment vertical="center" wrapText="1"/>
    </xf>
    <xf numFmtId="0" fontId="250" fillId="60" borderId="0" xfId="34764" applyFont="1" applyFill="1" applyAlignment="1">
      <alignment horizontal="left" vertical="center" wrapText="1"/>
    </xf>
    <xf numFmtId="331" fontId="319" fillId="0" borderId="0" xfId="34764" applyNumberFormat="1" applyFont="1" applyAlignment="1">
      <alignment vertical="center" wrapText="1"/>
    </xf>
    <xf numFmtId="331" fontId="319" fillId="60" borderId="0" xfId="34764" applyNumberFormat="1" applyFont="1" applyFill="1" applyAlignment="1">
      <alignment vertical="center" wrapText="1"/>
    </xf>
    <xf numFmtId="341" fontId="319" fillId="54" borderId="0" xfId="34764" applyNumberFormat="1" applyFont="1" applyFill="1" applyAlignment="1">
      <alignment vertical="center" wrapText="1"/>
    </xf>
    <xf numFmtId="355" fontId="319" fillId="0" borderId="70" xfId="34764" applyNumberFormat="1" applyFont="1" applyBorder="1" applyAlignment="1">
      <alignment vertical="center" wrapText="1"/>
    </xf>
    <xf numFmtId="355" fontId="319" fillId="60" borderId="70" xfId="34764" applyNumberFormat="1" applyFont="1" applyFill="1" applyBorder="1" applyAlignment="1">
      <alignment vertical="center" wrapText="1"/>
    </xf>
    <xf numFmtId="351" fontId="319" fillId="54" borderId="102" xfId="34764" applyNumberFormat="1" applyFont="1" applyFill="1" applyBorder="1" applyAlignment="1">
      <alignment vertical="center" wrapText="1"/>
    </xf>
    <xf numFmtId="0" fontId="393" fillId="0" borderId="0" xfId="34765" applyFont="1">
      <alignment wrapText="1"/>
    </xf>
    <xf numFmtId="364" fontId="319" fillId="0" borderId="70" xfId="34764" applyNumberFormat="1" applyFont="1" applyBorder="1" applyAlignment="1">
      <alignment vertical="center" wrapText="1"/>
    </xf>
    <xf numFmtId="169" fontId="319" fillId="60" borderId="70" xfId="1" applyNumberFormat="1" applyFont="1" applyFill="1" applyBorder="1" applyAlignment="1">
      <alignment vertical="center" wrapText="1"/>
    </xf>
    <xf numFmtId="169" fontId="319" fillId="54" borderId="102" xfId="1" applyNumberFormat="1" applyFont="1" applyFill="1" applyBorder="1" applyAlignment="1">
      <alignment vertical="center" wrapText="1"/>
    </xf>
    <xf numFmtId="0" fontId="393" fillId="0" borderId="71" xfId="34764" applyFont="1" applyBorder="1" applyAlignment="1">
      <alignment vertical="center" wrapText="1"/>
    </xf>
    <xf numFmtId="0" fontId="393" fillId="0" borderId="103" xfId="34764" applyFont="1" applyBorder="1" applyAlignment="1">
      <alignment vertical="center" wrapText="1"/>
    </xf>
    <xf numFmtId="0" fontId="409" fillId="0" borderId="71" xfId="34764" applyFont="1" applyBorder="1" applyAlignment="1">
      <alignment vertical="center" wrapText="1"/>
    </xf>
    <xf numFmtId="0" fontId="319" fillId="0" borderId="70" xfId="34764" applyFont="1" applyBorder="1" applyAlignment="1">
      <alignment horizontal="right" vertical="center" wrapText="1"/>
    </xf>
    <xf numFmtId="0" fontId="317" fillId="0" borderId="71" xfId="34764" applyFont="1" applyBorder="1" applyAlignment="1">
      <alignment wrapText="1"/>
    </xf>
    <xf numFmtId="350" fontId="319" fillId="0" borderId="70" xfId="34764" applyNumberFormat="1" applyFont="1" applyBorder="1" applyAlignment="1">
      <alignment vertical="center" wrapText="1"/>
    </xf>
    <xf numFmtId="0" fontId="373" fillId="60" borderId="0" xfId="0" applyFont="1" applyFill="1" applyAlignment="1">
      <alignment horizontal="center" vertical="center" wrapText="1"/>
    </xf>
    <xf numFmtId="0" fontId="372" fillId="60" borderId="0" xfId="0" applyFont="1" applyFill="1" applyAlignment="1">
      <alignment horizontal="left" vertical="center" wrapText="1"/>
    </xf>
    <xf numFmtId="0" fontId="373" fillId="60" borderId="0" xfId="34760" applyFont="1" applyFill="1" applyAlignment="1">
      <alignment horizontal="center" vertical="center" wrapText="1"/>
    </xf>
    <xf numFmtId="340" fontId="373" fillId="60" borderId="0" xfId="0" applyNumberFormat="1" applyFont="1" applyFill="1" applyAlignment="1">
      <alignment horizontal="center" vertical="center" wrapText="1"/>
    </xf>
    <xf numFmtId="0" fontId="372" fillId="60" borderId="0" xfId="34760" applyFont="1" applyFill="1" applyAlignment="1">
      <alignment horizontal="left" vertical="center" wrapText="1"/>
    </xf>
    <xf numFmtId="0" fontId="315" fillId="60" borderId="0" xfId="0" applyFont="1" applyFill="1" applyAlignment="1">
      <alignment horizontal="center" vertical="center" wrapText="1"/>
    </xf>
    <xf numFmtId="0" fontId="373" fillId="0" borderId="0" xfId="0" applyFont="1" applyAlignment="1">
      <alignment horizontal="center" wrapText="1"/>
    </xf>
    <xf numFmtId="0" fontId="373" fillId="60" borderId="0" xfId="0" applyFont="1" applyFill="1" applyAlignment="1">
      <alignment horizontal="center" wrapText="1"/>
    </xf>
    <xf numFmtId="0" fontId="373" fillId="60" borderId="0" xfId="34764" applyFont="1" applyFill="1" applyAlignment="1">
      <alignment horizontal="center" wrapText="1"/>
    </xf>
    <xf numFmtId="0" fontId="394" fillId="60" borderId="0" xfId="34764" applyFont="1" applyFill="1" applyAlignment="1">
      <alignment wrapText="1"/>
    </xf>
    <xf numFmtId="0" fontId="398" fillId="0" borderId="109" xfId="34764" applyFont="1" applyBorder="1" applyAlignment="1">
      <alignment horizontal="center" wrapText="1"/>
    </xf>
    <xf numFmtId="0" fontId="383" fillId="0" borderId="0" xfId="34764"/>
    <xf numFmtId="0" fontId="372" fillId="60" borderId="0" xfId="34764" applyFont="1" applyFill="1" applyAlignment="1">
      <alignment wrapText="1"/>
    </xf>
    <xf numFmtId="0" fontId="402" fillId="60" borderId="0" xfId="34764" applyFont="1" applyFill="1" applyAlignment="1">
      <alignment wrapText="1"/>
    </xf>
    <xf numFmtId="0" fontId="403" fillId="0" borderId="0" xfId="34764" applyFont="1" applyAlignment="1">
      <alignment vertical="top" wrapText="1"/>
    </xf>
    <xf numFmtId="0" fontId="373" fillId="60" borderId="103" xfId="34764" applyFont="1" applyFill="1" applyBorder="1" applyAlignment="1">
      <alignment horizontal="center" wrapText="1"/>
    </xf>
    <xf numFmtId="0" fontId="403" fillId="60" borderId="0" xfId="34764" applyFont="1" applyFill="1" applyAlignment="1">
      <alignment vertical="center" wrapText="1"/>
    </xf>
    <xf numFmtId="0" fontId="373" fillId="60" borderId="115" xfId="34764" applyFont="1" applyFill="1" applyBorder="1" applyAlignment="1">
      <alignment horizontal="center" wrapText="1"/>
    </xf>
    <xf numFmtId="0" fontId="372" fillId="60" borderId="0" xfId="34764" applyFont="1" applyFill="1" applyAlignment="1">
      <alignment vertical="center" wrapText="1"/>
    </xf>
    <xf numFmtId="0" fontId="322" fillId="0" borderId="0" xfId="0" applyFont="1" applyAlignment="1">
      <alignment horizontal="left"/>
    </xf>
    <xf numFmtId="0" fontId="373" fillId="60" borderId="71" xfId="0" applyFont="1" applyFill="1" applyBorder="1" applyAlignment="1">
      <alignment horizontal="center" vertical="center" wrapText="1"/>
    </xf>
    <xf numFmtId="0" fontId="315" fillId="60" borderId="71" xfId="0" applyFont="1" applyFill="1" applyBorder="1" applyAlignment="1">
      <alignment horizontal="center" vertical="center" wrapText="1"/>
    </xf>
    <xf numFmtId="0" fontId="315" fillId="0" borderId="0" xfId="2980" applyFont="1" applyAlignment="1">
      <alignment horizontal="center" vertical="center" wrapText="1"/>
    </xf>
  </cellXfs>
  <cellStyles count="34769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CY figures" xfId="34766" xr:uid="{F9839414-9219-409B-83CA-FFD88695C5CE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F8756966-9DAB-4226-8D5F-A35077D48EFA}"/>
    <cellStyle name="Normal 785" xfId="34762" xr:uid="{DD2E6B24-5C1B-4BA5-9A5A-CF822446FD6E}"/>
    <cellStyle name="Normal 786" xfId="34764" xr:uid="{761EEC83-6892-40A9-9339-4262C15B46DB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1" xr:uid="{0EB013BE-6711-4579-BAC3-9CC0D18448CD}"/>
    <cellStyle name="Table (Normal) 3" xfId="34763" xr:uid="{33394564-5F79-4E6D-AAB5-3CD2AF0DE8F8}"/>
    <cellStyle name="Table (Normal) 4" xfId="34765" xr:uid="{E71F41DB-9DD1-4BAE-85B4-68E1D2E0378B}"/>
    <cellStyle name="Table (Normal) 5" xfId="34767" xr:uid="{8C9924D3-4496-4E3B-B885-E5D75AB6833D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8" xr:uid="{AA52652A-D070-4CBB-880C-EE53B7BEDD27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EAEAEA"/>
      <color rgb="FFDDDDDD"/>
      <color rgb="FF99CCFF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N64"/>
  <sheetViews>
    <sheetView showGridLines="0" tabSelected="1" zoomScale="70" zoomScaleNormal="70" workbookViewId="0">
      <selection activeCell="D10" sqref="D10"/>
    </sheetView>
  </sheetViews>
  <sheetFormatPr defaultColWidth="9" defaultRowHeight="12" customHeight="1"/>
  <cols>
    <col min="1" max="1" width="2.453125" style="1" customWidth="1"/>
    <col min="2" max="2" width="51.1796875" style="1" customWidth="1"/>
    <col min="3" max="5" width="14.1796875" style="1" customWidth="1"/>
    <col min="6" max="6" width="3.81640625" style="1" customWidth="1"/>
    <col min="7" max="9" width="14.453125" style="1" customWidth="1"/>
    <col min="10" max="10" width="8.81640625" style="1" customWidth="1"/>
    <col min="11" max="172" width="8" style="1" customWidth="1"/>
    <col min="173" max="16384" width="9" style="1"/>
  </cols>
  <sheetData>
    <row r="2" spans="2:12" ht="16" customHeight="1">
      <c r="B2" s="1133" t="s">
        <v>145</v>
      </c>
      <c r="C2" s="1132" t="s">
        <v>168</v>
      </c>
      <c r="D2" s="1132"/>
      <c r="E2" s="1132"/>
      <c r="F2" s="337"/>
      <c r="G2" s="1132" t="s">
        <v>100</v>
      </c>
      <c r="H2" s="1132"/>
      <c r="I2" s="1132"/>
      <c r="J2" s="109"/>
    </row>
    <row r="3" spans="2:12" ht="16" customHeight="1">
      <c r="B3" s="1133"/>
      <c r="C3" s="338">
        <v>45565</v>
      </c>
      <c r="D3" s="338">
        <v>45199</v>
      </c>
      <c r="E3" s="339"/>
      <c r="F3" s="340"/>
      <c r="G3" s="338">
        <v>45565</v>
      </c>
      <c r="H3" s="338">
        <v>45199</v>
      </c>
      <c r="I3" s="341"/>
      <c r="J3" s="45"/>
    </row>
    <row r="4" spans="2:12" ht="12" customHeight="1">
      <c r="B4" s="503"/>
      <c r="C4" s="342" t="s">
        <v>146</v>
      </c>
      <c r="D4" s="342" t="s">
        <v>146</v>
      </c>
      <c r="E4" s="342" t="s">
        <v>2</v>
      </c>
      <c r="F4" s="329"/>
      <c r="G4" s="342" t="s">
        <v>1</v>
      </c>
      <c r="H4" s="342" t="s">
        <v>1</v>
      </c>
      <c r="I4" s="342" t="s">
        <v>2</v>
      </c>
      <c r="J4" s="100"/>
    </row>
    <row r="5" spans="2:12" ht="12" customHeight="1">
      <c r="B5" s="1075" t="s">
        <v>15</v>
      </c>
      <c r="C5" s="511">
        <v>5659</v>
      </c>
      <c r="D5" s="512">
        <v>5795</v>
      </c>
      <c r="E5" s="486">
        <v>-2</v>
      </c>
      <c r="F5" s="329"/>
      <c r="G5" s="511">
        <v>1946</v>
      </c>
      <c r="H5" s="512">
        <v>1873</v>
      </c>
      <c r="I5" s="486">
        <v>4</v>
      </c>
      <c r="J5" s="104"/>
      <c r="L5" s="71"/>
    </row>
    <row r="6" spans="2:12" ht="12" customHeight="1">
      <c r="B6" s="343" t="s">
        <v>122</v>
      </c>
      <c r="C6" s="344">
        <v>1322</v>
      </c>
      <c r="D6" s="346">
        <v>1375</v>
      </c>
      <c r="E6" s="347">
        <v>-4</v>
      </c>
      <c r="F6" s="329"/>
      <c r="G6" s="344">
        <v>445</v>
      </c>
      <c r="H6" s="346">
        <v>440</v>
      </c>
      <c r="I6" s="347">
        <v>1</v>
      </c>
      <c r="J6" s="103"/>
      <c r="L6" s="71"/>
    </row>
    <row r="7" spans="2:12" ht="12" customHeight="1">
      <c r="B7" s="343" t="s">
        <v>126</v>
      </c>
      <c r="C7" s="344">
        <v>958</v>
      </c>
      <c r="D7" s="346">
        <v>895</v>
      </c>
      <c r="E7" s="347">
        <v>7</v>
      </c>
      <c r="F7" s="329"/>
      <c r="G7" s="344">
        <v>326</v>
      </c>
      <c r="H7" s="346">
        <v>337</v>
      </c>
      <c r="I7" s="347">
        <v>-3</v>
      </c>
      <c r="J7" s="103"/>
      <c r="L7" s="71"/>
    </row>
    <row r="8" spans="2:12" ht="12" customHeight="1">
      <c r="B8" s="343" t="s">
        <v>124</v>
      </c>
      <c r="C8" s="344">
        <v>9198</v>
      </c>
      <c r="D8" s="346">
        <v>8998</v>
      </c>
      <c r="E8" s="347">
        <v>2</v>
      </c>
      <c r="F8" s="329"/>
      <c r="G8" s="344">
        <v>2851</v>
      </c>
      <c r="H8" s="346">
        <v>2686</v>
      </c>
      <c r="I8" s="347">
        <v>6</v>
      </c>
      <c r="J8" s="104"/>
      <c r="L8" s="71"/>
    </row>
    <row r="9" spans="2:12" ht="12" customHeight="1">
      <c r="B9" s="343" t="s">
        <v>125</v>
      </c>
      <c r="C9" s="344">
        <v>2469</v>
      </c>
      <c r="D9" s="346">
        <v>2402</v>
      </c>
      <c r="E9" s="347">
        <v>3</v>
      </c>
      <c r="F9" s="329"/>
      <c r="G9" s="344">
        <v>791</v>
      </c>
      <c r="H9" s="346">
        <v>809</v>
      </c>
      <c r="I9" s="347">
        <v>-2</v>
      </c>
      <c r="J9" s="104"/>
      <c r="L9" s="71"/>
    </row>
    <row r="10" spans="2:12" ht="12" customHeight="1">
      <c r="B10" s="348" t="s">
        <v>11</v>
      </c>
      <c r="C10" s="349">
        <v>218</v>
      </c>
      <c r="D10" s="358">
        <v>315</v>
      </c>
      <c r="E10" s="359">
        <v>-31</v>
      </c>
      <c r="F10" s="329"/>
      <c r="G10" s="349">
        <v>188</v>
      </c>
      <c r="H10" s="358">
        <v>113</v>
      </c>
      <c r="I10" s="359">
        <v>66</v>
      </c>
      <c r="J10" s="104"/>
      <c r="L10" s="71"/>
    </row>
    <row r="11" spans="2:12" ht="12" customHeight="1">
      <c r="B11" s="353" t="s">
        <v>18</v>
      </c>
      <c r="C11" s="354">
        <v>19824</v>
      </c>
      <c r="D11" s="355">
        <v>19780</v>
      </c>
      <c r="E11" s="356">
        <v>0</v>
      </c>
      <c r="F11" s="329"/>
      <c r="G11" s="354">
        <v>6547</v>
      </c>
      <c r="H11" s="355">
        <v>6258</v>
      </c>
      <c r="I11" s="356">
        <v>5</v>
      </c>
      <c r="J11" s="104"/>
    </row>
    <row r="12" spans="2:12" ht="12" customHeight="1">
      <c r="B12" s="330" t="s">
        <v>17</v>
      </c>
      <c r="C12" s="344">
        <v>-11951</v>
      </c>
      <c r="D12" s="346">
        <v>-11979</v>
      </c>
      <c r="E12" s="347">
        <v>0</v>
      </c>
      <c r="F12" s="329"/>
      <c r="G12" s="344">
        <v>-3954</v>
      </c>
      <c r="H12" s="346">
        <v>-3949</v>
      </c>
      <c r="I12" s="347">
        <v>0</v>
      </c>
      <c r="J12" s="103"/>
    </row>
    <row r="13" spans="2:12" ht="12" customHeight="1">
      <c r="B13" s="330" t="s">
        <v>136</v>
      </c>
      <c r="C13" s="344">
        <v>-93</v>
      </c>
      <c r="D13" s="346">
        <v>0</v>
      </c>
      <c r="E13" s="347"/>
      <c r="F13" s="329"/>
      <c r="G13" s="344">
        <v>27</v>
      </c>
      <c r="H13" s="346">
        <v>0</v>
      </c>
      <c r="I13" s="347"/>
      <c r="J13" s="103"/>
    </row>
    <row r="14" spans="2:12" ht="12" customHeight="1">
      <c r="B14" s="357" t="s">
        <v>3</v>
      </c>
      <c r="C14" s="349">
        <v>-99</v>
      </c>
      <c r="D14" s="358">
        <v>-32</v>
      </c>
      <c r="E14" s="359" t="s">
        <v>0</v>
      </c>
      <c r="F14" s="329"/>
      <c r="G14" s="349">
        <v>-35</v>
      </c>
      <c r="H14" s="358">
        <v>0</v>
      </c>
      <c r="I14" s="359"/>
      <c r="J14" s="103"/>
    </row>
    <row r="15" spans="2:12" ht="12" customHeight="1">
      <c r="B15" s="353" t="s">
        <v>4</v>
      </c>
      <c r="C15" s="354">
        <v>-12143</v>
      </c>
      <c r="D15" s="355">
        <v>-12011</v>
      </c>
      <c r="E15" s="356">
        <v>-1</v>
      </c>
      <c r="F15" s="329"/>
      <c r="G15" s="354">
        <v>-3962</v>
      </c>
      <c r="H15" s="355">
        <v>-3949</v>
      </c>
      <c r="I15" s="356">
        <v>0</v>
      </c>
      <c r="J15" s="104"/>
      <c r="K15" s="89"/>
      <c r="L15" s="3"/>
    </row>
    <row r="16" spans="2:12" s="3" customFormat="1" ht="12" customHeight="1">
      <c r="B16" s="357" t="s">
        <v>49</v>
      </c>
      <c r="C16" s="349">
        <v>37</v>
      </c>
      <c r="D16" s="358">
        <v>7</v>
      </c>
      <c r="E16" s="358" t="s">
        <v>0</v>
      </c>
      <c r="F16" s="329"/>
      <c r="G16" s="349">
        <v>21</v>
      </c>
      <c r="H16" s="358">
        <v>9</v>
      </c>
      <c r="I16" s="359" t="s">
        <v>0</v>
      </c>
      <c r="J16" s="103"/>
      <c r="K16" s="1"/>
      <c r="L16" s="1"/>
    </row>
    <row r="17" spans="2:12" s="3" customFormat="1" ht="12" customHeight="1">
      <c r="B17" s="353" t="s">
        <v>108</v>
      </c>
      <c r="C17" s="354">
        <v>7718</v>
      </c>
      <c r="D17" s="355">
        <v>7776</v>
      </c>
      <c r="E17" s="355">
        <v>-1</v>
      </c>
      <c r="F17" s="329"/>
      <c r="G17" s="354">
        <v>2606</v>
      </c>
      <c r="H17" s="355">
        <v>2318</v>
      </c>
      <c r="I17" s="356">
        <v>12</v>
      </c>
      <c r="J17" s="103"/>
      <c r="K17" s="1"/>
      <c r="L17" s="1"/>
    </row>
    <row r="18" spans="2:12" s="3" customFormat="1" ht="12" customHeight="1">
      <c r="B18" s="357" t="s">
        <v>48</v>
      </c>
      <c r="C18" s="349">
        <v>-1271</v>
      </c>
      <c r="D18" s="358">
        <v>-1329</v>
      </c>
      <c r="E18" s="358">
        <v>4</v>
      </c>
      <c r="F18" s="329"/>
      <c r="G18" s="349">
        <v>-374</v>
      </c>
      <c r="H18" s="358">
        <v>-433</v>
      </c>
      <c r="I18" s="359">
        <v>14</v>
      </c>
      <c r="J18" s="103"/>
      <c r="K18" s="1"/>
      <c r="L18" s="1"/>
    </row>
    <row r="19" spans="2:12" ht="12" customHeight="1">
      <c r="B19" s="353" t="s">
        <v>88</v>
      </c>
      <c r="C19" s="354">
        <v>6447</v>
      </c>
      <c r="D19" s="355">
        <v>6447</v>
      </c>
      <c r="E19" s="355">
        <v>0</v>
      </c>
      <c r="F19" s="329"/>
      <c r="G19" s="354">
        <v>2232</v>
      </c>
      <c r="H19" s="355">
        <v>1885</v>
      </c>
      <c r="I19" s="356">
        <v>18</v>
      </c>
      <c r="J19" s="104"/>
    </row>
    <row r="20" spans="2:12" ht="12" customHeight="1">
      <c r="B20" s="357" t="s">
        <v>89</v>
      </c>
      <c r="C20" s="349">
        <v>-1304</v>
      </c>
      <c r="D20" s="358">
        <v>-1257</v>
      </c>
      <c r="E20" s="359">
        <v>-4</v>
      </c>
      <c r="F20" s="329"/>
      <c r="G20" s="349">
        <v>-412</v>
      </c>
      <c r="H20" s="358">
        <v>-343</v>
      </c>
      <c r="I20" s="359">
        <v>-20</v>
      </c>
      <c r="J20" s="103"/>
    </row>
    <row r="21" spans="2:12" ht="12" customHeight="1">
      <c r="B21" s="353" t="s">
        <v>90</v>
      </c>
      <c r="C21" s="354">
        <v>5143</v>
      </c>
      <c r="D21" s="355">
        <v>5190</v>
      </c>
      <c r="E21" s="356">
        <v>-1</v>
      </c>
      <c r="F21" s="329"/>
      <c r="G21" s="354">
        <v>1820</v>
      </c>
      <c r="H21" s="355">
        <v>1542</v>
      </c>
      <c r="I21" s="356">
        <v>18</v>
      </c>
      <c r="J21" s="104"/>
    </row>
    <row r="22" spans="2:12" ht="12" customHeight="1">
      <c r="B22" s="330" t="s">
        <v>80</v>
      </c>
      <c r="C22" s="344">
        <v>-29</v>
      </c>
      <c r="D22" s="346">
        <v>-39</v>
      </c>
      <c r="E22" s="347">
        <v>26</v>
      </c>
      <c r="F22" s="329"/>
      <c r="G22" s="344">
        <v>-3</v>
      </c>
      <c r="H22" s="346">
        <v>-9</v>
      </c>
      <c r="I22" s="347">
        <v>67</v>
      </c>
      <c r="J22" s="103"/>
    </row>
    <row r="23" spans="2:12" ht="12" customHeight="1">
      <c r="B23" s="357" t="s">
        <v>81</v>
      </c>
      <c r="C23" s="686">
        <v>-763</v>
      </c>
      <c r="D23" s="358">
        <v>-766</v>
      </c>
      <c r="E23" s="358">
        <v>0</v>
      </c>
      <c r="F23" s="362"/>
      <c r="G23" s="686">
        <v>-253</v>
      </c>
      <c r="H23" s="358">
        <v>-259</v>
      </c>
      <c r="I23" s="358">
        <v>2</v>
      </c>
      <c r="J23" s="103"/>
    </row>
    <row r="24" spans="2:12" ht="12" customHeight="1">
      <c r="B24" s="353" t="s">
        <v>50</v>
      </c>
      <c r="C24" s="687">
        <v>4351</v>
      </c>
      <c r="D24" s="355">
        <v>4385</v>
      </c>
      <c r="E24" s="356">
        <v>-1</v>
      </c>
      <c r="F24" s="329"/>
      <c r="G24" s="687">
        <v>1564</v>
      </c>
      <c r="H24" s="355">
        <v>1274</v>
      </c>
      <c r="I24" s="356">
        <v>23</v>
      </c>
      <c r="J24" s="104"/>
    </row>
    <row r="25" spans="2:12" ht="12" customHeight="1">
      <c r="B25" s="330"/>
      <c r="C25" s="362"/>
      <c r="D25" s="363"/>
      <c r="E25" s="329"/>
      <c r="F25" s="329"/>
      <c r="G25" s="329"/>
      <c r="H25" s="329"/>
      <c r="I25" s="329"/>
      <c r="J25" s="56"/>
      <c r="K25" s="2"/>
      <c r="L25" s="2"/>
    </row>
    <row r="26" spans="2:12" s="2" customFormat="1" ht="12" customHeight="1">
      <c r="B26" s="364" t="s">
        <v>51</v>
      </c>
      <c r="C26" s="361"/>
      <c r="D26" s="360"/>
      <c r="E26" s="361"/>
      <c r="F26" s="329"/>
      <c r="G26" s="361"/>
      <c r="H26" s="361"/>
      <c r="I26" s="361"/>
      <c r="J26" s="56"/>
    </row>
    <row r="27" spans="2:12" s="2" customFormat="1" ht="12" customHeight="1">
      <c r="B27" s="365" t="s">
        <v>52</v>
      </c>
      <c r="C27" s="366">
        <v>0.115</v>
      </c>
      <c r="D27" s="367">
        <v>0.125</v>
      </c>
      <c r="E27" s="368"/>
      <c r="F27" s="329"/>
      <c r="G27" s="366">
        <v>0.12300000000000001</v>
      </c>
      <c r="H27" s="367">
        <v>0.11</v>
      </c>
      <c r="I27" s="368"/>
      <c r="J27" s="93"/>
    </row>
    <row r="28" spans="2:12" s="2" customFormat="1" ht="12" customHeight="1">
      <c r="B28" s="330" t="s">
        <v>5</v>
      </c>
      <c r="C28" s="588">
        <v>50.4</v>
      </c>
      <c r="D28" s="589">
        <v>47</v>
      </c>
      <c r="E28" s="329"/>
      <c r="F28" s="329"/>
      <c r="G28" s="588">
        <v>51</v>
      </c>
      <c r="H28" s="377">
        <v>46.5</v>
      </c>
      <c r="I28" s="329"/>
      <c r="J28" s="92"/>
    </row>
    <row r="29" spans="2:12" s="2" customFormat="1" ht="12" customHeight="1">
      <c r="B29" s="330" t="s">
        <v>44</v>
      </c>
      <c r="C29" s="371">
        <v>0.61</v>
      </c>
      <c r="D29" s="372">
        <v>0.61</v>
      </c>
      <c r="E29" s="362"/>
      <c r="F29" s="329"/>
      <c r="G29" s="371">
        <v>0.61</v>
      </c>
      <c r="H29" s="372">
        <v>0.63</v>
      </c>
      <c r="I29" s="362"/>
      <c r="J29" s="93"/>
    </row>
    <row r="30" spans="2:12" s="2" customFormat="1" ht="12" customHeight="1">
      <c r="B30" s="330" t="s">
        <v>53</v>
      </c>
      <c r="C30" s="373">
        <v>42</v>
      </c>
      <c r="D30" s="346">
        <v>43</v>
      </c>
      <c r="E30" s="362"/>
      <c r="F30" s="329"/>
      <c r="G30" s="373">
        <v>37</v>
      </c>
      <c r="H30" s="374">
        <v>42</v>
      </c>
      <c r="I30" s="362"/>
      <c r="J30" s="93"/>
    </row>
    <row r="31" spans="2:12" s="2" customFormat="1" ht="12" customHeight="1">
      <c r="B31" s="330" t="s">
        <v>143</v>
      </c>
      <c r="C31" s="375">
        <v>29.3</v>
      </c>
      <c r="D31" s="376">
        <v>28.2</v>
      </c>
      <c r="E31" s="362"/>
      <c r="F31" s="329"/>
      <c r="G31" s="375">
        <v>10.7</v>
      </c>
      <c r="H31" s="376">
        <v>8.3000000000000007</v>
      </c>
      <c r="I31" s="362"/>
      <c r="J31" s="93"/>
    </row>
    <row r="32" spans="2:12" s="2" customFormat="1" ht="12" customHeight="1">
      <c r="B32" s="330" t="s">
        <v>78</v>
      </c>
      <c r="C32" s="379">
        <v>14863</v>
      </c>
      <c r="D32" s="378">
        <v>15564</v>
      </c>
      <c r="E32" s="347">
        <v>-5</v>
      </c>
      <c r="F32" s="329"/>
      <c r="G32" s="379">
        <v>14648</v>
      </c>
      <c r="H32" s="378">
        <v>15405</v>
      </c>
      <c r="I32" s="347">
        <v>-5</v>
      </c>
      <c r="J32" s="92"/>
    </row>
    <row r="33" spans="2:14" s="2" customFormat="1" ht="12" customHeight="1">
      <c r="B33" s="330" t="s">
        <v>93</v>
      </c>
      <c r="C33" s="379">
        <v>14571</v>
      </c>
      <c r="D33" s="378">
        <v>15239</v>
      </c>
      <c r="E33" s="347">
        <v>-4</v>
      </c>
      <c r="F33" s="329"/>
      <c r="G33"/>
      <c r="H33"/>
      <c r="I33" s="329"/>
      <c r="J33" s="92"/>
    </row>
    <row r="34" spans="2:14" s="329" customFormat="1" ht="12" customHeight="1">
      <c r="B34" s="330" t="s">
        <v>142</v>
      </c>
      <c r="C34" s="588">
        <v>51.1</v>
      </c>
      <c r="D34" s="590">
        <v>48.2</v>
      </c>
      <c r="G34"/>
      <c r="H34"/>
    </row>
    <row r="35" spans="2:14" s="2" customFormat="1" ht="12" customHeight="1">
      <c r="B35" s="330"/>
      <c r="C35" s="329"/>
      <c r="D35" s="329"/>
      <c r="E35" s="329"/>
      <c r="F35" s="329"/>
      <c r="G35" s="329"/>
      <c r="H35" s="329"/>
      <c r="I35" s="329"/>
      <c r="J35" s="20"/>
    </row>
    <row r="36" spans="2:14" s="2" customFormat="1" ht="13.5" customHeight="1">
      <c r="B36" s="330"/>
      <c r="C36" s="380" t="s">
        <v>169</v>
      </c>
      <c r="D36" s="380" t="s">
        <v>127</v>
      </c>
      <c r="E36" s="380" t="s">
        <v>170</v>
      </c>
      <c r="F36" s="329"/>
      <c r="G36"/>
      <c r="H36" s="329"/>
      <c r="I36" s="329"/>
      <c r="J36" s="20"/>
    </row>
    <row r="37" spans="2:14" ht="13">
      <c r="B37" s="381" t="s">
        <v>198</v>
      </c>
      <c r="C37" s="382" t="s">
        <v>43</v>
      </c>
      <c r="D37" s="382" t="s">
        <v>43</v>
      </c>
      <c r="E37" s="382" t="s">
        <v>43</v>
      </c>
      <c r="F37" s="329"/>
      <c r="G37"/>
      <c r="H37" s="329"/>
      <c r="I37" s="329"/>
      <c r="J37" s="82"/>
    </row>
    <row r="38" spans="2:14" ht="12" customHeight="1">
      <c r="B38" s="383" t="s">
        <v>30</v>
      </c>
      <c r="C38" s="591">
        <v>399.2</v>
      </c>
      <c r="D38" s="592">
        <v>399.5</v>
      </c>
      <c r="E38" s="592">
        <v>405.4</v>
      </c>
      <c r="F38" s="329"/>
      <c r="G38"/>
      <c r="H38" s="329"/>
      <c r="I38" s="329"/>
      <c r="J38" s="69"/>
      <c r="L38" s="71"/>
      <c r="M38" s="71"/>
      <c r="N38" s="71"/>
    </row>
    <row r="39" spans="2:14" ht="12" customHeight="1">
      <c r="B39" s="343" t="s">
        <v>91</v>
      </c>
      <c r="C39" s="386">
        <v>1.3000000000000001E-2</v>
      </c>
      <c r="D39" s="387">
        <v>1.3999999999999999E-2</v>
      </c>
      <c r="E39" s="387">
        <v>1.3999999999999999E-2</v>
      </c>
      <c r="F39" s="329"/>
      <c r="G39"/>
      <c r="H39" s="329"/>
      <c r="I39" s="329"/>
      <c r="J39" s="68"/>
      <c r="L39" s="71"/>
      <c r="M39" s="71"/>
      <c r="N39" s="71"/>
    </row>
    <row r="40" spans="2:14" ht="12" customHeight="1">
      <c r="B40" s="343" t="s">
        <v>8</v>
      </c>
      <c r="C40" s="593">
        <v>1531.1</v>
      </c>
      <c r="D40" s="594">
        <v>1477.5</v>
      </c>
      <c r="E40" s="594">
        <v>1591.7</v>
      </c>
      <c r="F40" s="329"/>
      <c r="G40"/>
      <c r="H40" s="329"/>
      <c r="I40" s="329"/>
      <c r="J40" s="94"/>
      <c r="L40" s="71"/>
      <c r="M40" s="71"/>
      <c r="N40" s="71"/>
    </row>
    <row r="41" spans="2:14" ht="12" customHeight="1">
      <c r="B41" s="343" t="s">
        <v>36</v>
      </c>
      <c r="C41" s="593">
        <v>542.79999999999995</v>
      </c>
      <c r="D41" s="594">
        <v>538.79999999999995</v>
      </c>
      <c r="E41" s="594">
        <v>561.29999999999995</v>
      </c>
      <c r="F41" s="329"/>
      <c r="G41"/>
      <c r="H41" s="329"/>
      <c r="I41" s="329"/>
      <c r="J41" s="69"/>
      <c r="L41" s="71"/>
      <c r="M41" s="71"/>
      <c r="N41" s="71"/>
    </row>
    <row r="42" spans="2:14" ht="12" customHeight="1">
      <c r="B42" s="330" t="s">
        <v>39</v>
      </c>
      <c r="C42" s="722">
        <v>351</v>
      </c>
      <c r="D42" s="388">
        <v>331</v>
      </c>
      <c r="E42" s="388">
        <v>316</v>
      </c>
      <c r="F42" s="329"/>
      <c r="G42"/>
      <c r="H42" s="329"/>
      <c r="I42" s="329"/>
      <c r="J42" s="70"/>
      <c r="L42" s="71"/>
      <c r="M42" s="71"/>
      <c r="N42" s="71"/>
    </row>
    <row r="43" spans="2:14" ht="12" customHeight="1">
      <c r="B43" s="330" t="s">
        <v>40</v>
      </c>
      <c r="C43" s="389">
        <v>0.13800000000000001</v>
      </c>
      <c r="D43" s="390">
        <v>0.13800000000000001</v>
      </c>
      <c r="E43" s="390">
        <v>0.14000000000000001</v>
      </c>
      <c r="F43" s="329"/>
      <c r="G43"/>
      <c r="H43" s="329"/>
      <c r="I43" s="329"/>
      <c r="J43" s="68"/>
      <c r="L43" s="71"/>
      <c r="M43" s="71"/>
      <c r="N43" s="71"/>
    </row>
    <row r="44" spans="2:14" ht="12" customHeight="1">
      <c r="B44" s="330" t="s">
        <v>41</v>
      </c>
      <c r="C44" s="588">
        <v>47</v>
      </c>
      <c r="D44" s="589">
        <v>47.3</v>
      </c>
      <c r="E44" s="589">
        <v>48</v>
      </c>
      <c r="F44" s="329"/>
      <c r="G44"/>
      <c r="H44" s="329"/>
      <c r="I44" s="329"/>
      <c r="J44" s="69"/>
      <c r="L44" s="71"/>
      <c r="M44" s="71"/>
      <c r="N44" s="71"/>
    </row>
    <row r="45" spans="2:14" ht="12" customHeight="1">
      <c r="B45" s="330" t="s">
        <v>28</v>
      </c>
      <c r="C45" s="588">
        <v>340.4</v>
      </c>
      <c r="D45" s="589">
        <v>342.7</v>
      </c>
      <c r="E45" s="589">
        <v>341.9</v>
      </c>
      <c r="F45" s="329"/>
      <c r="G45"/>
      <c r="H45" s="329"/>
      <c r="I45" s="329"/>
      <c r="J45" s="69"/>
      <c r="L45" s="71"/>
      <c r="M45" s="71"/>
      <c r="N45" s="71"/>
    </row>
    <row r="46" spans="2:14" ht="12" customHeight="1">
      <c r="B46" s="330" t="s">
        <v>21</v>
      </c>
      <c r="C46" s="389">
        <v>4.9000000000000002E-2</v>
      </c>
      <c r="D46" s="390">
        <v>5.2000000000000005E-2</v>
      </c>
      <c r="E46" s="390">
        <v>0.05</v>
      </c>
      <c r="F46" s="329"/>
      <c r="G46"/>
      <c r="H46" s="329"/>
      <c r="I46" s="329"/>
      <c r="J46" s="68"/>
      <c r="L46" s="71"/>
      <c r="M46" s="71"/>
      <c r="N46" s="71"/>
    </row>
    <row r="47" spans="2:14" ht="12" customHeight="1">
      <c r="B47" s="330" t="s">
        <v>22</v>
      </c>
      <c r="C47" s="593">
        <v>1197.4000000000001</v>
      </c>
      <c r="D47" s="594">
        <v>1168.3</v>
      </c>
      <c r="E47" s="392">
        <v>1202.4000000000001</v>
      </c>
      <c r="F47" s="329"/>
      <c r="G47"/>
      <c r="H47" s="329"/>
      <c r="I47" s="329"/>
      <c r="J47" s="69"/>
      <c r="L47" s="71"/>
      <c r="M47" s="71"/>
      <c r="N47" s="71"/>
    </row>
    <row r="48" spans="2:14" ht="12" customHeight="1">
      <c r="B48" s="330"/>
      <c r="C48" s="330"/>
      <c r="D48" s="393"/>
      <c r="E48" s="393"/>
      <c r="F48" s="329"/>
      <c r="G48"/>
      <c r="H48" s="329"/>
      <c r="I48" s="329"/>
      <c r="J48" s="91"/>
    </row>
    <row r="49" spans="2:10" ht="12" customHeight="1">
      <c r="B49" s="364" t="s">
        <v>82</v>
      </c>
      <c r="C49" s="352"/>
      <c r="D49" s="394"/>
      <c r="E49" s="394"/>
      <c r="F49" s="329"/>
      <c r="G49"/>
      <c r="H49" s="329"/>
      <c r="I49" s="329"/>
      <c r="J49" s="101"/>
    </row>
    <row r="50" spans="2:10" ht="12" customHeight="1">
      <c r="B50" s="365" t="s">
        <v>23</v>
      </c>
      <c r="C50" s="395">
        <v>311.7</v>
      </c>
      <c r="D50" s="396">
        <v>298.10000000000002</v>
      </c>
      <c r="E50" s="396">
        <v>335</v>
      </c>
      <c r="F50" s="329"/>
      <c r="G50"/>
      <c r="H50" s="329"/>
      <c r="I50" s="329"/>
      <c r="J50" s="102"/>
    </row>
    <row r="51" spans="2:10" ht="12" customHeight="1">
      <c r="B51" s="330" t="s">
        <v>24</v>
      </c>
      <c r="C51" s="481">
        <v>1.7010000000000001</v>
      </c>
      <c r="D51" s="737">
        <v>1.6140000000000001</v>
      </c>
      <c r="E51" s="482">
        <v>1.587</v>
      </c>
      <c r="F51" s="330"/>
      <c r="G51"/>
      <c r="H51" s="330"/>
      <c r="I51" s="330"/>
      <c r="J51" s="66"/>
    </row>
    <row r="52" spans="2:10" ht="12" customHeight="1">
      <c r="B52" s="330" t="s">
        <v>199</v>
      </c>
      <c r="C52" s="389">
        <v>1.3559999999999999</v>
      </c>
      <c r="D52" s="390">
        <v>1.3800000000000001</v>
      </c>
      <c r="E52" s="738">
        <v>1.3819999999999999</v>
      </c>
      <c r="F52" s="330"/>
      <c r="G52"/>
      <c r="H52" s="330"/>
      <c r="I52" s="330"/>
      <c r="J52" s="66"/>
    </row>
    <row r="53" spans="2:10" ht="12" customHeight="1">
      <c r="B53" s="330" t="s">
        <v>25</v>
      </c>
      <c r="C53" s="371">
        <v>0.74</v>
      </c>
      <c r="D53" s="372">
        <v>0.74</v>
      </c>
      <c r="E53" s="372">
        <v>0.72</v>
      </c>
      <c r="F53" s="330"/>
      <c r="G53"/>
      <c r="H53" s="330"/>
      <c r="I53" s="330"/>
      <c r="J53" s="73"/>
    </row>
    <row r="55" spans="2:10" ht="12" customHeight="1">
      <c r="C55" s="72"/>
    </row>
    <row r="56" spans="2:10" ht="12" customHeight="1">
      <c r="C56" s="63"/>
    </row>
    <row r="57" spans="2:10" ht="12" customHeight="1">
      <c r="C57" s="17"/>
    </row>
    <row r="58" spans="2:10" ht="12" customHeight="1">
      <c r="C58" s="17"/>
    </row>
    <row r="59" spans="2:10" ht="12" customHeight="1">
      <c r="C59" s="18"/>
    </row>
    <row r="60" spans="2:10" ht="10.5"/>
    <row r="63" spans="2:10" ht="12" customHeight="1">
      <c r="C63" s="44"/>
    </row>
    <row r="64" spans="2:10" ht="12" customHeight="1">
      <c r="E64" s="12"/>
      <c r="F64" s="12"/>
      <c r="G64" s="12"/>
      <c r="H64" s="12"/>
      <c r="I64" s="12"/>
      <c r="J64" s="12"/>
    </row>
  </sheetData>
  <mergeCells count="3">
    <mergeCell ref="C2:E2"/>
    <mergeCell ref="B2:B3"/>
    <mergeCell ref="G2:I2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6F7-C512-4283-A95E-5BE454BB8B91}">
  <dimension ref="B2:N73"/>
  <sheetViews>
    <sheetView showGridLines="0" showRuler="0" zoomScaleNormal="100" workbookViewId="0"/>
  </sheetViews>
  <sheetFormatPr defaultColWidth="13.7265625" defaultRowHeight="12.5"/>
  <cols>
    <col min="1" max="1" width="5.1796875" style="398" customWidth="1"/>
    <col min="2" max="2" width="44.54296875" style="398" customWidth="1"/>
    <col min="3" max="3" width="10.453125" style="398" customWidth="1"/>
    <col min="4" max="4" width="11.453125" style="398" customWidth="1"/>
    <col min="5" max="5" width="11.26953125" style="398" customWidth="1"/>
    <col min="6" max="6" width="2.54296875" style="398" customWidth="1"/>
    <col min="7" max="7" width="9.81640625" style="398" customWidth="1"/>
    <col min="8" max="8" width="2.453125" style="398" customWidth="1"/>
    <col min="9" max="9" width="9.26953125" style="398" customWidth="1"/>
    <col min="10" max="16384" width="13.7265625" style="398"/>
  </cols>
  <sheetData>
    <row r="2" spans="2:10" ht="22.5" customHeight="1">
      <c r="B2" s="1136" t="s">
        <v>203</v>
      </c>
      <c r="C2" s="1136"/>
      <c r="D2" s="1136"/>
      <c r="E2" s="1136"/>
      <c r="F2" s="1136"/>
      <c r="G2" s="1136"/>
    </row>
    <row r="3" spans="2:10" ht="22.5" customHeight="1">
      <c r="B3" s="480" t="s">
        <v>168</v>
      </c>
      <c r="C3" s="1135">
        <v>45565</v>
      </c>
      <c r="D3" s="1135"/>
      <c r="E3" s="1135"/>
      <c r="F3"/>
      <c r="G3" s="582">
        <v>45199</v>
      </c>
    </row>
    <row r="4" spans="2:10" ht="40.9" customHeight="1">
      <c r="B4" s="480"/>
      <c r="C4" s="341" t="s">
        <v>101</v>
      </c>
      <c r="D4" s="341" t="s">
        <v>162</v>
      </c>
      <c r="E4" s="341" t="s">
        <v>202</v>
      </c>
      <c r="F4"/>
      <c r="G4" s="341" t="s">
        <v>101</v>
      </c>
    </row>
    <row r="5" spans="2:10" ht="15" customHeight="1">
      <c r="B5" s="507"/>
      <c r="C5" s="442" t="s">
        <v>146</v>
      </c>
      <c r="D5" s="442" t="s">
        <v>146</v>
      </c>
      <c r="E5" s="442" t="s">
        <v>146</v>
      </c>
      <c r="F5"/>
      <c r="G5" s="442" t="s">
        <v>146</v>
      </c>
      <c r="I5" s="442" t="s">
        <v>2</v>
      </c>
    </row>
    <row r="6" spans="2:10" ht="15" customHeight="1">
      <c r="B6" s="508" t="s">
        <v>15</v>
      </c>
      <c r="C6" s="512">
        <v>5659</v>
      </c>
      <c r="D6" s="512">
        <v>0</v>
      </c>
      <c r="E6" s="660">
        <v>5659</v>
      </c>
      <c r="F6" s="724"/>
      <c r="G6" s="486">
        <v>5795</v>
      </c>
      <c r="H6" s="725"/>
      <c r="I6" s="486">
        <v>-2</v>
      </c>
    </row>
    <row r="7" spans="2:10" ht="15" customHeight="1">
      <c r="B7" s="509" t="s">
        <v>122</v>
      </c>
      <c r="C7" s="346">
        <v>1322</v>
      </c>
      <c r="D7" s="346">
        <v>0</v>
      </c>
      <c r="E7" s="627">
        <v>1322</v>
      </c>
      <c r="F7" s="724"/>
      <c r="G7" s="346">
        <v>1375</v>
      </c>
      <c r="H7" s="725"/>
      <c r="I7" s="346">
        <v>-4</v>
      </c>
    </row>
    <row r="8" spans="2:10">
      <c r="B8" s="509" t="s">
        <v>126</v>
      </c>
      <c r="C8" s="346">
        <v>958</v>
      </c>
      <c r="D8" s="346">
        <v>0</v>
      </c>
      <c r="E8" s="627">
        <v>958</v>
      </c>
      <c r="F8" s="724"/>
      <c r="G8" s="346">
        <v>895</v>
      </c>
      <c r="H8" s="725"/>
      <c r="I8" s="346">
        <v>7</v>
      </c>
    </row>
    <row r="9" spans="2:10" ht="15" customHeight="1">
      <c r="B9" s="509" t="s">
        <v>124</v>
      </c>
      <c r="C9" s="346">
        <v>9198</v>
      </c>
      <c r="D9" s="346">
        <v>0</v>
      </c>
      <c r="E9" s="627">
        <v>9198</v>
      </c>
      <c r="F9" s="724"/>
      <c r="G9" s="346">
        <v>8998</v>
      </c>
      <c r="H9" s="725"/>
      <c r="I9" s="346">
        <v>2</v>
      </c>
    </row>
    <row r="10" spans="2:10" ht="15" customHeight="1">
      <c r="B10" s="509" t="s">
        <v>125</v>
      </c>
      <c r="C10" s="346">
        <v>2469</v>
      </c>
      <c r="D10" s="346">
        <v>0</v>
      </c>
      <c r="E10" s="627">
        <v>2469</v>
      </c>
      <c r="F10" s="724"/>
      <c r="G10" s="346">
        <v>2402</v>
      </c>
      <c r="H10" s="725"/>
      <c r="I10" s="346">
        <v>3</v>
      </c>
    </row>
    <row r="11" spans="2:10" ht="15" customHeight="1">
      <c r="B11" s="510" t="s">
        <v>11</v>
      </c>
      <c r="C11" s="358">
        <v>218</v>
      </c>
      <c r="D11" s="358">
        <v>-240</v>
      </c>
      <c r="E11" s="661">
        <v>458</v>
      </c>
      <c r="F11" s="724"/>
      <c r="G11" s="358">
        <v>315</v>
      </c>
      <c r="H11" s="725"/>
      <c r="I11" s="358">
        <v>45</v>
      </c>
    </row>
    <row r="12" spans="2:10" ht="15" customHeight="1">
      <c r="B12" s="353" t="s">
        <v>18</v>
      </c>
      <c r="C12" s="355">
        <v>19824</v>
      </c>
      <c r="D12" s="355">
        <v>-240</v>
      </c>
      <c r="E12" s="662">
        <v>20064</v>
      </c>
      <c r="F12" s="723"/>
      <c r="G12" s="355">
        <v>19780</v>
      </c>
      <c r="I12" s="355">
        <v>1</v>
      </c>
    </row>
    <row r="13" spans="2:10" ht="15" customHeight="1">
      <c r="B13" s="509" t="s">
        <v>17</v>
      </c>
      <c r="C13" s="346">
        <v>-11951</v>
      </c>
      <c r="D13" s="346">
        <v>0</v>
      </c>
      <c r="E13" s="627">
        <v>-11951</v>
      </c>
      <c r="F13" s="501"/>
      <c r="G13" s="346">
        <v>-11979</v>
      </c>
      <c r="I13" s="346">
        <v>0</v>
      </c>
    </row>
    <row r="14" spans="2:10" ht="15" customHeight="1">
      <c r="B14" s="509" t="s">
        <v>136</v>
      </c>
      <c r="C14" s="346">
        <v>-93</v>
      </c>
      <c r="D14" s="346">
        <v>0</v>
      </c>
      <c r="E14" s="627">
        <v>-93</v>
      </c>
      <c r="F14" s="501"/>
      <c r="G14" s="346">
        <v>0</v>
      </c>
      <c r="I14" s="346"/>
    </row>
    <row r="15" spans="2:10" ht="15" customHeight="1">
      <c r="B15" s="510" t="s">
        <v>3</v>
      </c>
      <c r="C15" s="358">
        <v>-99</v>
      </c>
      <c r="D15" s="358">
        <v>0</v>
      </c>
      <c r="E15" s="661">
        <v>-99</v>
      </c>
      <c r="F15" s="501"/>
      <c r="G15" s="358">
        <v>-32</v>
      </c>
      <c r="I15" s="358" t="s">
        <v>0</v>
      </c>
    </row>
    <row r="16" spans="2:10" ht="15" customHeight="1">
      <c r="B16" s="353" t="s">
        <v>4</v>
      </c>
      <c r="C16" s="355">
        <v>-12143</v>
      </c>
      <c r="D16" s="355">
        <v>0</v>
      </c>
      <c r="E16" s="662">
        <v>-12143</v>
      </c>
      <c r="F16" s="501"/>
      <c r="G16" s="355">
        <v>-12011</v>
      </c>
      <c r="H16" s="436"/>
      <c r="I16" s="355">
        <v>-1</v>
      </c>
      <c r="J16" s="436"/>
    </row>
    <row r="17" spans="2:14" ht="15" customHeight="1">
      <c r="B17" s="357" t="s">
        <v>49</v>
      </c>
      <c r="C17" s="358">
        <v>37</v>
      </c>
      <c r="D17" s="358">
        <v>0</v>
      </c>
      <c r="E17" s="661">
        <v>37</v>
      </c>
      <c r="F17" s="501"/>
      <c r="G17" s="358">
        <v>7</v>
      </c>
      <c r="I17" s="358" t="s">
        <v>0</v>
      </c>
    </row>
    <row r="18" spans="2:14" ht="15" customHeight="1">
      <c r="B18" s="353" t="s">
        <v>107</v>
      </c>
      <c r="C18" s="355">
        <v>7718</v>
      </c>
      <c r="D18" s="355">
        <v>-240</v>
      </c>
      <c r="E18" s="662">
        <v>7958</v>
      </c>
      <c r="F18" s="513"/>
      <c r="G18" s="355">
        <v>7776</v>
      </c>
      <c r="I18" s="355">
        <v>2</v>
      </c>
    </row>
    <row r="19" spans="2:14" ht="15" customHeight="1">
      <c r="B19" s="330" t="s">
        <v>48</v>
      </c>
      <c r="C19" s="346">
        <v>-1271</v>
      </c>
      <c r="D19" s="346">
        <v>0</v>
      </c>
      <c r="E19" s="627">
        <v>-1271</v>
      </c>
      <c r="F19" s="501"/>
      <c r="G19" s="346">
        <v>-1329</v>
      </c>
      <c r="I19" s="346">
        <v>4</v>
      </c>
    </row>
    <row r="20" spans="2:14" ht="15" customHeight="1">
      <c r="B20" s="471" t="s">
        <v>19</v>
      </c>
      <c r="C20" s="350">
        <v>6447</v>
      </c>
      <c r="D20" s="350">
        <v>-240</v>
      </c>
      <c r="E20" s="755">
        <v>6687</v>
      </c>
      <c r="F20" s="501"/>
      <c r="G20" s="350">
        <v>6447</v>
      </c>
      <c r="I20" s="350">
        <v>4</v>
      </c>
    </row>
    <row r="21" spans="2:14" ht="15" customHeight="1">
      <c r="B21" s="353" t="s">
        <v>50</v>
      </c>
      <c r="C21" s="355">
        <v>4351</v>
      </c>
      <c r="D21" s="355">
        <v>-233</v>
      </c>
      <c r="E21" s="662">
        <v>4584</v>
      </c>
      <c r="F21" s="501"/>
      <c r="G21" s="355">
        <v>4385</v>
      </c>
      <c r="I21" s="355">
        <v>5</v>
      </c>
    </row>
    <row r="22" spans="2:14" ht="15" customHeight="1">
      <c r="B22" s="357"/>
      <c r="C22" s="442"/>
      <c r="D22"/>
      <c r="E22" s="394"/>
      <c r="F22"/>
      <c r="G22"/>
      <c r="I22"/>
    </row>
    <row r="23" spans="2:14" ht="15" customHeight="1">
      <c r="B23" s="514" t="s">
        <v>5</v>
      </c>
      <c r="C23" s="515">
        <v>50.4</v>
      </c>
      <c r="D23" s="515"/>
      <c r="E23" s="756">
        <v>50.4</v>
      </c>
      <c r="F23" s="501"/>
      <c r="G23" s="739">
        <v>47</v>
      </c>
    </row>
    <row r="24" spans="2:14" ht="30" customHeight="1">
      <c r="B24" s="353" t="s">
        <v>52</v>
      </c>
      <c r="C24" s="516">
        <v>11.5</v>
      </c>
      <c r="D24" s="504"/>
      <c r="E24" s="757">
        <v>12.1</v>
      </c>
      <c r="F24" s="501"/>
      <c r="G24" s="516">
        <v>12.5</v>
      </c>
    </row>
    <row r="25" spans="2:14" ht="15" customHeight="1">
      <c r="B25" s="330" t="s">
        <v>44</v>
      </c>
      <c r="C25" s="720">
        <v>0.61</v>
      </c>
      <c r="D25" s="363"/>
      <c r="E25" s="758">
        <v>0.61</v>
      </c>
      <c r="F25" s="721"/>
      <c r="G25" s="720">
        <v>0.61</v>
      </c>
    </row>
    <row r="26" spans="2:14" ht="15" customHeight="1">
      <c r="B26" s="397"/>
      <c r="C26" s="1134"/>
      <c r="D26" s="1134"/>
      <c r="E26" s="1134"/>
      <c r="F26" s="1134"/>
      <c r="G26" s="1134"/>
    </row>
    <row r="27" spans="2:14" ht="15" customHeight="1">
      <c r="B27" s="480" t="s">
        <v>100</v>
      </c>
      <c r="C27" s="1135">
        <v>45565</v>
      </c>
      <c r="D27" s="1135"/>
      <c r="E27" s="1135"/>
      <c r="F27"/>
      <c r="G27" s="582">
        <v>45199</v>
      </c>
    </row>
    <row r="28" spans="2:14" ht="40" customHeight="1">
      <c r="B28" s="480"/>
      <c r="C28" s="341" t="s">
        <v>101</v>
      </c>
      <c r="D28" s="341" t="s">
        <v>162</v>
      </c>
      <c r="E28" s="341" t="s">
        <v>202</v>
      </c>
      <c r="F28"/>
      <c r="G28" s="341" t="s">
        <v>101</v>
      </c>
    </row>
    <row r="29" spans="2:14" ht="15" customHeight="1">
      <c r="B29" s="507"/>
      <c r="C29" s="442" t="s">
        <v>146</v>
      </c>
      <c r="D29" s="442" t="s">
        <v>146</v>
      </c>
      <c r="E29" s="442" t="s">
        <v>146</v>
      </c>
      <c r="F29"/>
      <c r="G29" s="442" t="s">
        <v>146</v>
      </c>
      <c r="I29" s="442" t="s">
        <v>194</v>
      </c>
    </row>
    <row r="30" spans="2:14" ht="15" customHeight="1">
      <c r="B30" s="508" t="s">
        <v>15</v>
      </c>
      <c r="C30" s="512">
        <v>1946</v>
      </c>
      <c r="D30" s="512">
        <v>0</v>
      </c>
      <c r="E30" s="660">
        <v>1946</v>
      </c>
      <c r="F30" s="724"/>
      <c r="G30" s="512">
        <v>1873</v>
      </c>
      <c r="H30" s="725"/>
      <c r="I30" s="512">
        <v>4</v>
      </c>
    </row>
    <row r="31" spans="2:14" ht="15" customHeight="1">
      <c r="B31" s="509" t="s">
        <v>122</v>
      </c>
      <c r="C31" s="346">
        <v>445</v>
      </c>
      <c r="D31" s="346">
        <v>0</v>
      </c>
      <c r="E31" s="627">
        <v>445</v>
      </c>
      <c r="F31" s="724"/>
      <c r="G31" s="346">
        <v>440</v>
      </c>
      <c r="H31" s="725"/>
      <c r="I31" s="346">
        <v>1</v>
      </c>
      <c r="M31" s="399"/>
      <c r="N31" s="436"/>
    </row>
    <row r="32" spans="2:14">
      <c r="B32" s="509" t="s">
        <v>126</v>
      </c>
      <c r="C32" s="346">
        <v>326</v>
      </c>
      <c r="D32" s="346">
        <v>0</v>
      </c>
      <c r="E32" s="627">
        <v>326</v>
      </c>
      <c r="F32" s="724"/>
      <c r="G32" s="346">
        <v>337</v>
      </c>
      <c r="H32" s="725"/>
      <c r="I32" s="346">
        <v>-3</v>
      </c>
      <c r="M32" s="399"/>
      <c r="N32" s="436"/>
    </row>
    <row r="33" spans="2:14" ht="15" customHeight="1">
      <c r="B33" s="509" t="s">
        <v>124</v>
      </c>
      <c r="C33" s="346">
        <v>2851</v>
      </c>
      <c r="D33" s="346">
        <v>0</v>
      </c>
      <c r="E33" s="627">
        <v>2851</v>
      </c>
      <c r="F33" s="724"/>
      <c r="G33" s="346">
        <v>2686</v>
      </c>
      <c r="H33" s="725"/>
      <c r="I33" s="346">
        <v>6</v>
      </c>
    </row>
    <row r="34" spans="2:14" ht="15" customHeight="1">
      <c r="B34" s="509" t="s">
        <v>125</v>
      </c>
      <c r="C34" s="346">
        <v>791</v>
      </c>
      <c r="D34" s="346">
        <v>0</v>
      </c>
      <c r="E34" s="627">
        <v>791</v>
      </c>
      <c r="F34" s="724"/>
      <c r="G34" s="346">
        <v>809</v>
      </c>
      <c r="H34" s="725"/>
      <c r="I34" s="346">
        <v>-2</v>
      </c>
    </row>
    <row r="35" spans="2:14" ht="15" customHeight="1">
      <c r="B35" s="510" t="s">
        <v>11</v>
      </c>
      <c r="C35" s="358">
        <v>188</v>
      </c>
      <c r="D35" s="358">
        <v>0</v>
      </c>
      <c r="E35" s="661">
        <v>188</v>
      </c>
      <c r="F35" s="724"/>
      <c r="G35" s="358">
        <v>113</v>
      </c>
      <c r="H35" s="725"/>
      <c r="I35" s="358">
        <v>66</v>
      </c>
    </row>
    <row r="36" spans="2:14" ht="15" customHeight="1">
      <c r="B36" s="353" t="s">
        <v>18</v>
      </c>
      <c r="C36" s="355">
        <v>6547</v>
      </c>
      <c r="D36" s="355">
        <v>0</v>
      </c>
      <c r="E36" s="662">
        <v>6547</v>
      </c>
      <c r="F36" s="723"/>
      <c r="G36" s="355">
        <v>6258</v>
      </c>
      <c r="I36" s="355">
        <v>5</v>
      </c>
      <c r="M36" s="399"/>
      <c r="N36" s="436"/>
    </row>
    <row r="37" spans="2:14" ht="15" customHeight="1">
      <c r="B37" s="509" t="s">
        <v>17</v>
      </c>
      <c r="C37" s="346">
        <v>-3954</v>
      </c>
      <c r="D37" s="346">
        <v>0</v>
      </c>
      <c r="E37" s="627">
        <v>-3954</v>
      </c>
      <c r="F37" s="724"/>
      <c r="G37" s="346">
        <v>-3949</v>
      </c>
      <c r="H37" s="725"/>
      <c r="I37" s="346">
        <v>0</v>
      </c>
    </row>
    <row r="38" spans="2:14" ht="15" customHeight="1">
      <c r="B38" s="509" t="s">
        <v>136</v>
      </c>
      <c r="C38" s="346">
        <v>27</v>
      </c>
      <c r="D38" s="346">
        <v>0</v>
      </c>
      <c r="E38" s="627">
        <v>27</v>
      </c>
      <c r="F38" s="724"/>
      <c r="G38" s="346">
        <v>0</v>
      </c>
      <c r="H38" s="725"/>
      <c r="I38" s="346"/>
    </row>
    <row r="39" spans="2:14" ht="15" customHeight="1">
      <c r="B39" s="510" t="s">
        <v>3</v>
      </c>
      <c r="C39" s="358">
        <v>-35</v>
      </c>
      <c r="D39" s="358">
        <v>0</v>
      </c>
      <c r="E39" s="661">
        <v>-35</v>
      </c>
      <c r="F39" s="501"/>
      <c r="G39" s="358">
        <v>0</v>
      </c>
      <c r="I39" s="358"/>
    </row>
    <row r="40" spans="2:14" ht="15" customHeight="1">
      <c r="B40" s="353" t="s">
        <v>4</v>
      </c>
      <c r="C40" s="355">
        <v>-3962</v>
      </c>
      <c r="D40" s="355">
        <v>0</v>
      </c>
      <c r="E40" s="662">
        <v>-3962</v>
      </c>
      <c r="F40" s="501"/>
      <c r="G40" s="355">
        <v>-3949</v>
      </c>
      <c r="I40" s="355">
        <v>0</v>
      </c>
      <c r="M40" s="399"/>
      <c r="N40" s="436"/>
    </row>
    <row r="41" spans="2:14" ht="15" customHeight="1">
      <c r="B41" s="357" t="s">
        <v>49</v>
      </c>
      <c r="C41" s="358">
        <v>21</v>
      </c>
      <c r="D41" s="358">
        <v>0</v>
      </c>
      <c r="E41" s="661">
        <v>21</v>
      </c>
      <c r="F41" s="501"/>
      <c r="G41" s="358">
        <v>9</v>
      </c>
      <c r="I41" s="358" t="s">
        <v>0</v>
      </c>
    </row>
    <row r="42" spans="2:14" ht="15" customHeight="1">
      <c r="B42" s="353" t="s">
        <v>108</v>
      </c>
      <c r="C42" s="355">
        <v>2606</v>
      </c>
      <c r="D42" s="355">
        <v>0</v>
      </c>
      <c r="E42" s="662">
        <v>2606</v>
      </c>
      <c r="F42" s="513"/>
      <c r="G42" s="355">
        <v>2318</v>
      </c>
      <c r="I42" s="355">
        <v>12</v>
      </c>
    </row>
    <row r="43" spans="2:14" ht="15" customHeight="1">
      <c r="B43" s="330" t="s">
        <v>48</v>
      </c>
      <c r="C43" s="346">
        <v>-374</v>
      </c>
      <c r="D43" s="346">
        <v>0</v>
      </c>
      <c r="E43" s="627">
        <v>-374</v>
      </c>
      <c r="F43" s="501"/>
      <c r="G43" s="346">
        <v>-433</v>
      </c>
      <c r="I43" s="346">
        <v>14</v>
      </c>
    </row>
    <row r="44" spans="2:14" ht="15" customHeight="1">
      <c r="B44" s="471" t="s">
        <v>19</v>
      </c>
      <c r="C44" s="350">
        <v>2232</v>
      </c>
      <c r="D44" s="350">
        <v>0</v>
      </c>
      <c r="E44" s="755">
        <v>2232</v>
      </c>
      <c r="F44" s="501"/>
      <c r="G44" s="350">
        <v>1885</v>
      </c>
      <c r="I44" s="350">
        <v>18</v>
      </c>
    </row>
    <row r="45" spans="2:14" ht="15" customHeight="1">
      <c r="B45" s="353" t="s">
        <v>50</v>
      </c>
      <c r="C45" s="355">
        <v>1564</v>
      </c>
      <c r="D45" s="355">
        <v>0</v>
      </c>
      <c r="E45" s="662">
        <v>1564</v>
      </c>
      <c r="F45" s="501"/>
      <c r="G45" s="355">
        <v>1274</v>
      </c>
      <c r="I45" s="355">
        <v>23</v>
      </c>
    </row>
    <row r="46" spans="2:14" ht="15" customHeight="1">
      <c r="B46" s="424"/>
      <c r="C46" s="402"/>
      <c r="D46" s="429"/>
      <c r="E46" s="430"/>
      <c r="F46" s="399"/>
      <c r="G46" s="430"/>
    </row>
    <row r="47" spans="2:14" ht="15" customHeight="1">
      <c r="B47" s="431" t="s">
        <v>5</v>
      </c>
      <c r="C47" s="432">
        <v>51</v>
      </c>
      <c r="D47" s="433"/>
      <c r="E47" s="759">
        <v>51</v>
      </c>
      <c r="F47" s="399"/>
      <c r="G47" s="432">
        <v>46.528100000000002</v>
      </c>
    </row>
    <row r="48" spans="2:14" ht="15" customHeight="1">
      <c r="B48" s="420" t="s">
        <v>52</v>
      </c>
      <c r="C48" s="434">
        <v>12.3</v>
      </c>
      <c r="D48" s="423"/>
      <c r="E48" s="760">
        <v>0.123</v>
      </c>
      <c r="F48" s="399"/>
      <c r="G48" s="434">
        <v>11</v>
      </c>
    </row>
    <row r="49" spans="2:10" ht="15" customHeight="1">
      <c r="B49" s="425" t="s">
        <v>44</v>
      </c>
      <c r="C49" s="595">
        <v>0.61</v>
      </c>
      <c r="D49" s="435"/>
      <c r="E49" s="761">
        <v>0.61</v>
      </c>
      <c r="F49" s="399"/>
      <c r="G49" s="563">
        <v>0.63</v>
      </c>
    </row>
    <row r="50" spans="2:10" ht="15" customHeight="1">
      <c r="B50" s="425"/>
      <c r="C50" s="414"/>
      <c r="E50" s="411"/>
    </row>
    <row r="51" spans="2:10" ht="15" customHeight="1">
      <c r="B51" s="425"/>
      <c r="C51" s="414"/>
      <c r="E51" s="411"/>
      <c r="H51" s="436"/>
      <c r="I51" s="436"/>
      <c r="J51" s="436"/>
    </row>
    <row r="52" spans="2:10" ht="15" customHeight="1">
      <c r="B52" s="425"/>
      <c r="C52" s="414"/>
      <c r="E52" s="411"/>
      <c r="H52" s="436"/>
      <c r="I52" s="436"/>
      <c r="J52" s="436"/>
    </row>
    <row r="53" spans="2:10" ht="22.5" hidden="1" customHeight="1">
      <c r="B53" s="397"/>
      <c r="C53" s="1134"/>
      <c r="D53" s="1134"/>
      <c r="E53" s="1134"/>
      <c r="G53" s="479"/>
    </row>
    <row r="54" spans="2:10" ht="42.65" hidden="1" customHeight="1">
      <c r="B54" s="397"/>
      <c r="C54" s="400"/>
      <c r="D54" s="400"/>
      <c r="E54" s="400"/>
      <c r="G54" s="400"/>
    </row>
    <row r="55" spans="2:10" ht="15" hidden="1" customHeight="1">
      <c r="B55" s="401"/>
      <c r="C55" s="402"/>
      <c r="D55" s="402"/>
      <c r="E55" s="402"/>
      <c r="G55" s="430"/>
    </row>
    <row r="56" spans="2:10" ht="15" hidden="1" customHeight="1">
      <c r="B56" s="420"/>
      <c r="C56" s="403"/>
      <c r="D56" s="404"/>
      <c r="E56" s="405"/>
      <c r="G56" s="404"/>
    </row>
    <row r="57" spans="2:10" ht="15" hidden="1" customHeight="1">
      <c r="B57" s="407"/>
      <c r="C57" s="408"/>
      <c r="D57" s="409"/>
      <c r="E57" s="410"/>
      <c r="G57" s="409"/>
    </row>
    <row r="58" spans="2:10" ht="15" hidden="1" customHeight="1">
      <c r="B58" s="407"/>
      <c r="C58" s="408"/>
      <c r="D58" s="406"/>
      <c r="E58" s="410"/>
      <c r="G58" s="409"/>
    </row>
    <row r="59" spans="2:10" ht="15" hidden="1" customHeight="1">
      <c r="B59" s="438"/>
      <c r="C59" s="412"/>
      <c r="D59" s="406"/>
      <c r="E59" s="413"/>
      <c r="G59" s="406"/>
    </row>
    <row r="60" spans="2:10" ht="15" hidden="1" customHeight="1">
      <c r="B60" s="426"/>
      <c r="C60" s="427"/>
      <c r="D60" s="419"/>
      <c r="E60" s="428"/>
      <c r="G60" s="419"/>
    </row>
    <row r="61" spans="2:10" ht="15" hidden="1" customHeight="1">
      <c r="B61" s="420"/>
      <c r="C61" s="403"/>
      <c r="D61" s="404"/>
      <c r="E61" s="405"/>
      <c r="G61" s="423"/>
    </row>
    <row r="62" spans="2:10" ht="15" hidden="1" customHeight="1">
      <c r="B62" s="407"/>
      <c r="C62" s="408"/>
      <c r="D62" s="409"/>
      <c r="E62" s="410"/>
      <c r="G62" s="421"/>
    </row>
    <row r="63" spans="2:10" ht="15" hidden="1" customHeight="1">
      <c r="B63" s="407"/>
      <c r="C63" s="408"/>
      <c r="D63" s="409"/>
      <c r="E63" s="410"/>
      <c r="G63" s="421"/>
    </row>
    <row r="64" spans="2:10" ht="15" hidden="1" customHeight="1">
      <c r="B64" s="415"/>
      <c r="C64" s="416"/>
      <c r="D64" s="417"/>
      <c r="E64" s="418"/>
      <c r="G64" s="422"/>
    </row>
    <row r="65" spans="2:7" ht="15" hidden="1" customHeight="1">
      <c r="B65" s="420"/>
      <c r="C65" s="403"/>
      <c r="D65" s="404"/>
      <c r="E65" s="405"/>
      <c r="G65" s="423"/>
    </row>
    <row r="66" spans="2:7" ht="15" hidden="1" customHeight="1">
      <c r="B66" s="424"/>
      <c r="C66" s="416"/>
      <c r="D66" s="417"/>
      <c r="E66" s="418"/>
      <c r="G66" s="422"/>
    </row>
    <row r="67" spans="2:7" ht="15" hidden="1" customHeight="1">
      <c r="B67" s="420"/>
      <c r="C67" s="403"/>
      <c r="D67" s="404"/>
      <c r="E67" s="405"/>
      <c r="G67" s="404"/>
    </row>
    <row r="68" spans="2:7" ht="15" hidden="1" customHeight="1">
      <c r="B68" s="424"/>
      <c r="C68" s="416"/>
      <c r="D68" s="417"/>
      <c r="E68" s="418"/>
      <c r="G68" s="409"/>
    </row>
    <row r="69" spans="2:7" ht="15" hidden="1" customHeight="1">
      <c r="B69" s="439"/>
      <c r="C69" s="440"/>
      <c r="D69" s="437"/>
      <c r="E69" s="441"/>
      <c r="G69" s="429"/>
    </row>
    <row r="70" spans="2:7" ht="15" hidden="1" customHeight="1">
      <c r="B70" s="420"/>
      <c r="C70" s="403"/>
      <c r="D70" s="404"/>
      <c r="E70" s="405"/>
      <c r="G70" s="423"/>
    </row>
    <row r="71" spans="2:7" ht="15" hidden="1" customHeight="1">
      <c r="C71" s="402"/>
      <c r="E71" s="402"/>
      <c r="G71" s="402"/>
    </row>
    <row r="72" spans="2:7" ht="15" hidden="1" customHeight="1">
      <c r="B72" s="431"/>
      <c r="C72" s="432"/>
      <c r="D72" s="433"/>
      <c r="E72" s="432"/>
      <c r="G72" s="433"/>
    </row>
    <row r="73" spans="2:7" ht="32.5" hidden="1" customHeight="1">
      <c r="B73" s="420"/>
      <c r="C73" s="434"/>
      <c r="D73" s="423"/>
      <c r="E73" s="434"/>
      <c r="G73" s="423"/>
    </row>
  </sheetData>
  <mergeCells count="5">
    <mergeCell ref="C53:E53"/>
    <mergeCell ref="C3:E3"/>
    <mergeCell ref="C26:G26"/>
    <mergeCell ref="C27:E27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J139"/>
  <sheetViews>
    <sheetView showGridLines="0" zoomScaleNormal="100" workbookViewId="0"/>
  </sheetViews>
  <sheetFormatPr defaultColWidth="9" defaultRowHeight="12" customHeight="1"/>
  <cols>
    <col min="1" max="1" width="2.1796875" style="1" customWidth="1"/>
    <col min="2" max="2" width="50" style="1" customWidth="1"/>
    <col min="3" max="3" width="15.81640625" style="14" customWidth="1"/>
    <col min="4" max="5" width="15.81640625" style="1" customWidth="1"/>
    <col min="6" max="6" width="8" customWidth="1"/>
    <col min="7" max="10" width="14.54296875" customWidth="1"/>
    <col min="11" max="64" width="8" style="1" customWidth="1"/>
    <col min="65" max="16384" width="9" style="1"/>
  </cols>
  <sheetData>
    <row r="2" spans="2:10" ht="12.75" customHeight="1">
      <c r="B2" s="19" t="s">
        <v>45</v>
      </c>
      <c r="C2" s="1137" t="s">
        <v>168</v>
      </c>
      <c r="D2" s="1137"/>
      <c r="E2" s="1137"/>
      <c r="F2" s="4"/>
      <c r="G2" s="1137" t="s">
        <v>100</v>
      </c>
      <c r="H2" s="1137"/>
      <c r="I2" s="1137"/>
      <c r="J2" s="4"/>
    </row>
    <row r="3" spans="2:10" ht="12" customHeight="1">
      <c r="B3" s="19"/>
      <c r="C3" s="86">
        <v>45565</v>
      </c>
      <c r="D3" s="86">
        <v>45199</v>
      </c>
      <c r="E3" s="27"/>
      <c r="F3" s="4"/>
      <c r="G3" s="86">
        <v>45565</v>
      </c>
      <c r="H3" s="86">
        <v>45199</v>
      </c>
      <c r="I3" s="27"/>
      <c r="J3" s="4"/>
    </row>
    <row r="4" spans="2:10" ht="12" customHeight="1">
      <c r="B4" s="364" t="s">
        <v>171</v>
      </c>
      <c r="C4" s="442" t="s">
        <v>1</v>
      </c>
      <c r="D4" s="442" t="s">
        <v>1</v>
      </c>
      <c r="E4" s="382" t="s">
        <v>2</v>
      </c>
      <c r="F4" s="330"/>
      <c r="G4" s="442" t="s">
        <v>1</v>
      </c>
      <c r="H4" s="442" t="s">
        <v>1</v>
      </c>
      <c r="I4" s="382" t="s">
        <v>2</v>
      </c>
      <c r="J4" s="4"/>
    </row>
    <row r="5" spans="2:10" ht="12" customHeight="1">
      <c r="B5" s="365" t="s">
        <v>172</v>
      </c>
      <c r="C5" s="511">
        <v>4812</v>
      </c>
      <c r="D5" s="512">
        <v>4856</v>
      </c>
      <c r="E5" s="486">
        <v>-1</v>
      </c>
      <c r="F5" s="330"/>
      <c r="G5" s="511">
        <v>1666</v>
      </c>
      <c r="H5" s="512">
        <v>1578</v>
      </c>
      <c r="I5" s="486">
        <v>6</v>
      </c>
      <c r="J5" s="4"/>
    </row>
    <row r="6" spans="2:10" ht="12" customHeight="1">
      <c r="B6" s="357" t="s">
        <v>173</v>
      </c>
      <c r="C6" s="349">
        <v>847</v>
      </c>
      <c r="D6" s="358">
        <v>939</v>
      </c>
      <c r="E6" s="359">
        <v>-10</v>
      </c>
      <c r="F6" s="330"/>
      <c r="G6" s="349">
        <v>280</v>
      </c>
      <c r="H6" s="358">
        <v>295</v>
      </c>
      <c r="I6" s="359">
        <v>-5</v>
      </c>
      <c r="J6" s="4"/>
    </row>
    <row r="7" spans="2:10" ht="12" customHeight="1">
      <c r="B7" s="353" t="s">
        <v>174</v>
      </c>
      <c r="C7" s="354">
        <v>5659</v>
      </c>
      <c r="D7" s="355">
        <v>5795</v>
      </c>
      <c r="E7" s="356">
        <v>-2</v>
      </c>
      <c r="F7" s="330"/>
      <c r="G7" s="354">
        <v>1946</v>
      </c>
      <c r="H7" s="355">
        <v>1873</v>
      </c>
      <c r="I7" s="356">
        <v>4</v>
      </c>
      <c r="J7" s="4"/>
    </row>
    <row r="8" spans="2:10" ht="12" customHeight="1">
      <c r="B8" s="330" t="s">
        <v>17</v>
      </c>
      <c r="C8" s="344">
        <v>-3065</v>
      </c>
      <c r="D8" s="346">
        <v>-3240</v>
      </c>
      <c r="E8" s="347">
        <v>5</v>
      </c>
      <c r="F8" s="330"/>
      <c r="G8" s="344">
        <v>-1017</v>
      </c>
      <c r="H8" s="346">
        <v>-1058</v>
      </c>
      <c r="I8" s="347">
        <v>4</v>
      </c>
      <c r="J8" s="4"/>
    </row>
    <row r="9" spans="2:10" ht="12" customHeight="1">
      <c r="B9" s="330" t="s">
        <v>136</v>
      </c>
      <c r="C9" s="344">
        <v>-42</v>
      </c>
      <c r="D9" s="346">
        <v>0</v>
      </c>
      <c r="E9" s="329"/>
      <c r="F9" s="330"/>
      <c r="G9" s="344">
        <v>12</v>
      </c>
      <c r="H9" s="346">
        <v>0</v>
      </c>
      <c r="I9" s="329"/>
      <c r="J9" s="4"/>
    </row>
    <row r="10" spans="2:10" ht="12" customHeight="1">
      <c r="B10" s="357" t="s">
        <v>175</v>
      </c>
      <c r="C10" s="349">
        <v>-7</v>
      </c>
      <c r="D10" s="358">
        <v>12</v>
      </c>
      <c r="E10" s="361" t="s">
        <v>0</v>
      </c>
      <c r="F10" s="330"/>
      <c r="G10" s="349">
        <v>-1</v>
      </c>
      <c r="H10" s="358">
        <v>9</v>
      </c>
      <c r="I10" s="361" t="s">
        <v>0</v>
      </c>
      <c r="J10" s="4"/>
    </row>
    <row r="11" spans="2:10" ht="12" customHeight="1">
      <c r="B11" s="353" t="s">
        <v>176</v>
      </c>
      <c r="C11" s="354">
        <v>-3114</v>
      </c>
      <c r="D11" s="355">
        <v>-3228</v>
      </c>
      <c r="E11" s="356">
        <v>4</v>
      </c>
      <c r="F11" s="330"/>
      <c r="G11" s="354">
        <v>-1006</v>
      </c>
      <c r="H11" s="355">
        <v>-1049</v>
      </c>
      <c r="I11" s="356">
        <v>4</v>
      </c>
      <c r="J11" s="4"/>
    </row>
    <row r="12" spans="2:10" ht="12" customHeight="1">
      <c r="B12" s="519" t="s">
        <v>49</v>
      </c>
      <c r="C12" s="518">
        <v>0</v>
      </c>
      <c r="D12" s="358">
        <v>0</v>
      </c>
      <c r="E12" s="352"/>
      <c r="F12" s="330"/>
      <c r="G12" s="518">
        <v>0</v>
      </c>
      <c r="H12" s="358">
        <v>0</v>
      </c>
      <c r="I12" s="352"/>
      <c r="J12" s="4"/>
    </row>
    <row r="13" spans="2:10" ht="12" customHeight="1">
      <c r="B13" s="520" t="s">
        <v>108</v>
      </c>
      <c r="C13" s="521">
        <v>2545</v>
      </c>
      <c r="D13" s="355">
        <v>2567</v>
      </c>
      <c r="E13" s="356">
        <v>-1</v>
      </c>
      <c r="F13" s="330"/>
      <c r="G13" s="521">
        <v>940</v>
      </c>
      <c r="H13" s="355">
        <v>824</v>
      </c>
      <c r="I13" s="356">
        <v>14</v>
      </c>
      <c r="J13" s="4"/>
    </row>
    <row r="14" spans="2:10" ht="12" customHeight="1">
      <c r="B14" s="357" t="s">
        <v>48</v>
      </c>
      <c r="C14" s="349">
        <v>-82</v>
      </c>
      <c r="D14" s="358">
        <v>-267</v>
      </c>
      <c r="E14" s="361">
        <v>69</v>
      </c>
      <c r="F14" s="330"/>
      <c r="G14" s="349">
        <v>-16</v>
      </c>
      <c r="H14" s="358">
        <v>-59</v>
      </c>
      <c r="I14" s="361">
        <v>73</v>
      </c>
      <c r="J14" s="4"/>
    </row>
    <row r="15" spans="2:10" ht="12" customHeight="1">
      <c r="B15" s="353" t="s">
        <v>177</v>
      </c>
      <c r="C15" s="354">
        <v>2463</v>
      </c>
      <c r="D15" s="355">
        <v>2300</v>
      </c>
      <c r="E15" s="356">
        <v>7</v>
      </c>
      <c r="F15" s="330"/>
      <c r="G15" s="354">
        <v>924</v>
      </c>
      <c r="H15" s="355">
        <v>765</v>
      </c>
      <c r="I15" s="356">
        <v>21</v>
      </c>
      <c r="J15" s="4"/>
    </row>
    <row r="16" spans="2:10" ht="12" customHeight="1">
      <c r="B16" s="330" t="s">
        <v>178</v>
      </c>
      <c r="C16" s="344">
        <v>1684</v>
      </c>
      <c r="D16" s="346">
        <v>1580</v>
      </c>
      <c r="E16" s="347">
        <v>7</v>
      </c>
      <c r="F16" s="330"/>
      <c r="G16" s="344">
        <v>621</v>
      </c>
      <c r="H16" s="346">
        <v>531</v>
      </c>
      <c r="I16" s="347">
        <v>17</v>
      </c>
      <c r="J16" s="4"/>
    </row>
    <row r="17" spans="2:10" ht="12" customHeight="1">
      <c r="B17" s="55"/>
      <c r="C17" s="55"/>
      <c r="D17" s="51"/>
      <c r="E17" s="56"/>
      <c r="F17" s="4"/>
      <c r="G17" s="55"/>
      <c r="H17" s="51"/>
      <c r="I17" s="56"/>
      <c r="J17" s="4"/>
    </row>
    <row r="18" spans="2:10" ht="12" customHeight="1">
      <c r="B18" s="57" t="s">
        <v>51</v>
      </c>
      <c r="C18" s="86"/>
      <c r="D18" s="86"/>
      <c r="E18" s="56"/>
      <c r="F18" s="4"/>
      <c r="G18" s="86"/>
      <c r="H18" s="86"/>
      <c r="I18" s="56"/>
      <c r="J18" s="4"/>
    </row>
    <row r="19" spans="2:10" ht="12" customHeight="1">
      <c r="B19" s="365" t="s">
        <v>185</v>
      </c>
      <c r="C19" s="621">
        <v>0.214</v>
      </c>
      <c r="D19" s="624">
        <v>0.20600000000000002</v>
      </c>
      <c r="E19" s="56"/>
      <c r="F19" s="330"/>
      <c r="G19" s="621">
        <v>0.23399999999999999</v>
      </c>
      <c r="H19" s="485">
        <v>0.21</v>
      </c>
      <c r="I19" s="56"/>
      <c r="J19" s="4"/>
    </row>
    <row r="20" spans="2:10" ht="12" customHeight="1">
      <c r="B20" s="330" t="s">
        <v>186</v>
      </c>
      <c r="C20" s="538">
        <v>10.5</v>
      </c>
      <c r="D20" s="377">
        <v>10.199999999999999</v>
      </c>
      <c r="E20" s="56"/>
      <c r="F20" s="330"/>
      <c r="G20" s="538">
        <v>10.6</v>
      </c>
      <c r="H20" s="329">
        <v>10.1</v>
      </c>
      <c r="I20" s="56"/>
      <c r="J20" s="4"/>
    </row>
    <row r="21" spans="2:10" ht="12" customHeight="1">
      <c r="B21" s="330" t="s">
        <v>187</v>
      </c>
      <c r="C21" s="483">
        <v>0.55000000000000004</v>
      </c>
      <c r="D21" s="537">
        <v>0.56000000000000005</v>
      </c>
      <c r="E21" s="56"/>
      <c r="F21" s="330"/>
      <c r="G21" s="483">
        <v>0.52</v>
      </c>
      <c r="H21" s="484">
        <v>0.56000000000000005</v>
      </c>
      <c r="I21" s="56"/>
      <c r="J21" s="4"/>
    </row>
    <row r="22" spans="2:10" ht="12" customHeight="1">
      <c r="B22" s="330" t="s">
        <v>188</v>
      </c>
      <c r="C22" s="344">
        <v>5</v>
      </c>
      <c r="D22" s="346">
        <v>16</v>
      </c>
      <c r="E22" s="56"/>
      <c r="F22" s="330"/>
      <c r="G22" s="344">
        <v>3</v>
      </c>
      <c r="H22" s="347">
        <v>10</v>
      </c>
      <c r="I22" s="56"/>
      <c r="J22" s="4"/>
    </row>
    <row r="23" spans="2:10" ht="12" customHeight="1">
      <c r="B23" s="330" t="s">
        <v>189</v>
      </c>
      <c r="C23" s="762">
        <v>3.2099999999999997E-2</v>
      </c>
      <c r="D23" s="596">
        <v>3.15E-2</v>
      </c>
      <c r="E23" s="329"/>
      <c r="F23" s="330"/>
      <c r="G23" s="763">
        <v>3.3399999999999999E-2</v>
      </c>
      <c r="H23" s="597">
        <v>3.04E-2</v>
      </c>
      <c r="I23" s="56"/>
      <c r="J23" s="4"/>
    </row>
    <row r="24" spans="2:10" ht="12" customHeight="1">
      <c r="B24" s="60"/>
      <c r="C24" s="86"/>
      <c r="D24" s="85"/>
      <c r="E24" s="56"/>
      <c r="F24" s="4"/>
      <c r="G24" s="86"/>
      <c r="H24" s="85"/>
      <c r="I24" s="56"/>
      <c r="J24" s="4"/>
    </row>
    <row r="25" spans="2:10" ht="22.5" customHeight="1">
      <c r="B25" s="60"/>
      <c r="C25" s="467" t="s">
        <v>169</v>
      </c>
      <c r="D25" s="467" t="s">
        <v>127</v>
      </c>
      <c r="E25" s="467" t="s">
        <v>170</v>
      </c>
      <c r="F25" s="4"/>
      <c r="G25" s="86"/>
      <c r="H25" s="86"/>
      <c r="I25" s="86"/>
      <c r="J25" s="4"/>
    </row>
    <row r="26" spans="2:10" ht="12" customHeight="1">
      <c r="B26" s="57" t="s">
        <v>56</v>
      </c>
      <c r="C26" s="82" t="s">
        <v>43</v>
      </c>
      <c r="D26" s="81" t="s">
        <v>43</v>
      </c>
      <c r="E26" s="81" t="s">
        <v>43</v>
      </c>
      <c r="F26" s="4"/>
      <c r="G26" s="86"/>
      <c r="H26" s="86"/>
      <c r="I26" s="86"/>
      <c r="J26" s="4"/>
    </row>
    <row r="27" spans="2:10" ht="12" customHeight="1">
      <c r="B27" s="365" t="s">
        <v>179</v>
      </c>
      <c r="C27" s="384">
        <v>199.3</v>
      </c>
      <c r="D27" s="564">
        <v>202.8</v>
      </c>
      <c r="E27" s="385">
        <v>204.9</v>
      </c>
      <c r="F27" s="4"/>
      <c r="G27" s="86"/>
      <c r="H27" s="86"/>
      <c r="I27" s="86"/>
      <c r="J27" s="4"/>
    </row>
    <row r="28" spans="2:10" ht="12" customHeight="1">
      <c r="B28" s="330" t="s">
        <v>180</v>
      </c>
      <c r="C28" s="369">
        <v>292.2</v>
      </c>
      <c r="D28" s="476">
        <v>293.10000000000002</v>
      </c>
      <c r="E28" s="370">
        <v>299.89999999999998</v>
      </c>
      <c r="F28" s="4"/>
      <c r="G28" s="86"/>
      <c r="H28" s="86"/>
      <c r="I28" s="86"/>
      <c r="J28" s="4"/>
    </row>
    <row r="29" spans="2:10" ht="12" customHeight="1">
      <c r="B29" s="330" t="s">
        <v>181</v>
      </c>
      <c r="C29" s="369">
        <v>236.3</v>
      </c>
      <c r="D29" s="476">
        <v>241.1</v>
      </c>
      <c r="E29" s="370">
        <v>243.2</v>
      </c>
      <c r="F29" s="4"/>
      <c r="G29" s="86"/>
      <c r="H29" s="86"/>
      <c r="I29" s="86"/>
      <c r="J29" s="4"/>
    </row>
    <row r="30" spans="2:10" ht="12" customHeight="1">
      <c r="B30" s="330" t="s">
        <v>182</v>
      </c>
      <c r="C30" s="371">
        <v>0.92</v>
      </c>
      <c r="D30" s="598">
        <v>0.92</v>
      </c>
      <c r="E30" s="372">
        <v>0.92</v>
      </c>
      <c r="F30" s="4"/>
      <c r="G30" s="86"/>
      <c r="H30" s="86"/>
      <c r="I30" s="86"/>
      <c r="J30" s="4"/>
    </row>
    <row r="31" spans="2:10" ht="12" customHeight="1">
      <c r="B31" s="330" t="s">
        <v>183</v>
      </c>
      <c r="C31" s="369">
        <v>77.5</v>
      </c>
      <c r="D31" s="476">
        <v>73.5</v>
      </c>
      <c r="E31" s="370">
        <v>73.2</v>
      </c>
      <c r="F31" s="4"/>
      <c r="G31" s="86"/>
      <c r="H31" s="86"/>
      <c r="I31" s="86"/>
      <c r="J31" s="4"/>
    </row>
    <row r="32" spans="2:10" ht="12" customHeight="1">
      <c r="B32" s="330" t="s">
        <v>184</v>
      </c>
      <c r="C32" s="369">
        <v>10.7</v>
      </c>
      <c r="D32" s="476">
        <v>10.199999999999999</v>
      </c>
      <c r="E32" s="370">
        <v>10.1</v>
      </c>
      <c r="F32" s="4"/>
      <c r="G32" s="86"/>
      <c r="H32" s="86"/>
      <c r="I32" s="86"/>
      <c r="J32" s="4"/>
    </row>
    <row r="33" spans="2:10" ht="12" customHeight="1">
      <c r="B33" s="55"/>
      <c r="C33" s="55"/>
      <c r="D33" s="55"/>
      <c r="E33" s="55"/>
      <c r="F33" s="4"/>
      <c r="G33" s="86"/>
      <c r="H33" s="86"/>
      <c r="I33" s="86"/>
      <c r="J33" s="4"/>
    </row>
    <row r="34" spans="2:10" ht="12" customHeight="1">
      <c r="B34" s="33"/>
      <c r="C34" s="39"/>
      <c r="D34" s="39"/>
      <c r="E34" s="21"/>
      <c r="F34" s="4"/>
      <c r="G34" s="39"/>
      <c r="H34" s="39"/>
      <c r="I34" s="21"/>
      <c r="J34" s="4"/>
    </row>
    <row r="35" spans="2:10" ht="22.5" customHeight="1">
      <c r="B35" s="336" t="s">
        <v>148</v>
      </c>
      <c r="C35" s="1138" t="s">
        <v>168</v>
      </c>
      <c r="D35" s="1138"/>
      <c r="E35" s="1138"/>
      <c r="F35" s="330"/>
      <c r="G35" s="1139" t="s">
        <v>100</v>
      </c>
      <c r="H35" s="1139"/>
      <c r="I35" s="1139"/>
      <c r="J35" s="1"/>
    </row>
    <row r="36" spans="2:10" ht="12" customHeight="1">
      <c r="B36" s="336"/>
      <c r="C36" s="526">
        <v>45565</v>
      </c>
      <c r="D36" s="526">
        <v>45199</v>
      </c>
      <c r="E36" s="467"/>
      <c r="F36" s="330"/>
      <c r="G36" s="517">
        <v>45565</v>
      </c>
      <c r="H36" s="517">
        <v>45199</v>
      </c>
      <c r="I36" s="380"/>
      <c r="J36" s="1"/>
    </row>
    <row r="37" spans="2:10" ht="12" customHeight="1">
      <c r="B37" s="471" t="s">
        <v>47</v>
      </c>
      <c r="C37" s="442" t="s">
        <v>1</v>
      </c>
      <c r="D37" s="442" t="s">
        <v>1</v>
      </c>
      <c r="E37" s="382" t="s">
        <v>2</v>
      </c>
      <c r="F37" s="330"/>
      <c r="G37" s="442" t="s">
        <v>1</v>
      </c>
      <c r="H37" s="442" t="s">
        <v>1</v>
      </c>
      <c r="I37" s="382" t="s">
        <v>2</v>
      </c>
      <c r="J37" s="1"/>
    </row>
    <row r="38" spans="2:10" ht="12" customHeight="1">
      <c r="B38" s="365" t="s">
        <v>59</v>
      </c>
      <c r="C38" s="511">
        <v>3486</v>
      </c>
      <c r="D38" s="512">
        <v>3662</v>
      </c>
      <c r="E38" s="486">
        <v>-5</v>
      </c>
      <c r="F38" s="330"/>
      <c r="G38" s="511">
        <v>1184</v>
      </c>
      <c r="H38" s="486">
        <v>1165</v>
      </c>
      <c r="I38" s="486">
        <v>2</v>
      </c>
      <c r="J38" s="1"/>
    </row>
    <row r="39" spans="2:10" ht="12" customHeight="1">
      <c r="B39" s="330" t="s">
        <v>60</v>
      </c>
      <c r="C39" s="344">
        <v>706</v>
      </c>
      <c r="D39" s="346">
        <v>722</v>
      </c>
      <c r="E39" s="347">
        <v>-2</v>
      </c>
      <c r="F39" s="330"/>
      <c r="G39" s="344">
        <v>249</v>
      </c>
      <c r="H39" s="347">
        <v>238</v>
      </c>
      <c r="I39" s="347">
        <v>5</v>
      </c>
      <c r="J39" s="1"/>
    </row>
    <row r="40" spans="2:10" ht="12" customHeight="1">
      <c r="B40" s="357" t="s">
        <v>61</v>
      </c>
      <c r="C40" s="349">
        <v>1467</v>
      </c>
      <c r="D40" s="358">
        <v>1411</v>
      </c>
      <c r="E40" s="359">
        <v>4</v>
      </c>
      <c r="F40" s="330"/>
      <c r="G40" s="349">
        <v>513</v>
      </c>
      <c r="H40" s="359">
        <v>470</v>
      </c>
      <c r="I40" s="359">
        <v>9</v>
      </c>
      <c r="J40" s="1"/>
    </row>
    <row r="41" spans="2:10" ht="12" customHeight="1">
      <c r="B41" s="353" t="s">
        <v>18</v>
      </c>
      <c r="C41" s="354">
        <v>5659</v>
      </c>
      <c r="D41" s="355">
        <v>5795</v>
      </c>
      <c r="E41" s="356">
        <v>-2</v>
      </c>
      <c r="F41" s="330"/>
      <c r="G41" s="354">
        <v>1946</v>
      </c>
      <c r="H41" s="356">
        <v>1873</v>
      </c>
      <c r="I41" s="356">
        <v>4</v>
      </c>
      <c r="J41" s="1"/>
    </row>
    <row r="42" spans="2:10" ht="12" customHeight="1">
      <c r="B42" s="340"/>
      <c r="C42" s="363"/>
      <c r="D42" s="363"/>
      <c r="E42" s="363"/>
      <c r="F42" s="330"/>
      <c r="G42" s="363"/>
      <c r="H42" s="363"/>
      <c r="J42" s="1"/>
    </row>
    <row r="43" spans="2:10" ht="12" customHeight="1">
      <c r="B43" s="471" t="s">
        <v>190</v>
      </c>
      <c r="C43" s="360"/>
      <c r="D43" s="361"/>
      <c r="E43" s="361"/>
      <c r="F43" s="330"/>
      <c r="G43" s="360"/>
      <c r="H43" s="361"/>
      <c r="I43" s="361"/>
      <c r="J43" s="1"/>
    </row>
    <row r="44" spans="2:10" ht="12" customHeight="1">
      <c r="B44" s="365" t="s">
        <v>59</v>
      </c>
      <c r="C44" s="511">
        <v>-37</v>
      </c>
      <c r="D44" s="512">
        <v>-205</v>
      </c>
      <c r="E44" s="486">
        <v>82</v>
      </c>
      <c r="F44" s="330"/>
      <c r="G44" s="511">
        <v>3</v>
      </c>
      <c r="H44" s="486">
        <v>-85</v>
      </c>
      <c r="I44" s="452" t="s">
        <v>0</v>
      </c>
      <c r="J44" s="1"/>
    </row>
    <row r="45" spans="2:10" ht="12" customHeight="1">
      <c r="B45" s="330" t="s">
        <v>60</v>
      </c>
      <c r="C45" s="344">
        <v>-78</v>
      </c>
      <c r="D45" s="346">
        <v>-89</v>
      </c>
      <c r="E45" s="347">
        <v>12</v>
      </c>
      <c r="F45" s="330"/>
      <c r="G45" s="344">
        <v>-15</v>
      </c>
      <c r="H45" s="347">
        <v>29</v>
      </c>
      <c r="I45" s="329" t="s">
        <v>0</v>
      </c>
      <c r="J45" s="1"/>
    </row>
    <row r="46" spans="2:10" ht="12" customHeight="1">
      <c r="B46" s="357" t="s">
        <v>61</v>
      </c>
      <c r="C46" s="349">
        <v>33</v>
      </c>
      <c r="D46" s="358">
        <v>27</v>
      </c>
      <c r="E46" s="359">
        <v>22</v>
      </c>
      <c r="F46" s="330"/>
      <c r="G46" s="349">
        <v>-4</v>
      </c>
      <c r="H46" s="359">
        <v>-3</v>
      </c>
      <c r="I46" s="359">
        <v>-33</v>
      </c>
      <c r="J46" s="1"/>
    </row>
    <row r="47" spans="2:10" ht="12" customHeight="1">
      <c r="B47" s="353" t="s">
        <v>121</v>
      </c>
      <c r="C47" s="354">
        <v>-82</v>
      </c>
      <c r="D47" s="355">
        <v>-267</v>
      </c>
      <c r="E47" s="356">
        <v>69</v>
      </c>
      <c r="F47" s="330"/>
      <c r="G47" s="354">
        <v>-16</v>
      </c>
      <c r="H47" s="356">
        <v>-59</v>
      </c>
      <c r="I47" s="356">
        <v>73</v>
      </c>
      <c r="J47" s="1"/>
    </row>
    <row r="48" spans="2:10" ht="12" customHeight="1">
      <c r="B48" s="105"/>
      <c r="C48" s="362"/>
      <c r="D48" s="362"/>
      <c r="E48" s="552"/>
      <c r="F48" s="330"/>
      <c r="G48" s="362"/>
      <c r="H48" s="362"/>
      <c r="I48" s="553"/>
      <c r="J48" s="1"/>
    </row>
    <row r="49" spans="2:10" ht="12" customHeight="1">
      <c r="B49" s="105"/>
      <c r="C49" s="467" t="s">
        <v>169</v>
      </c>
      <c r="D49" s="467" t="s">
        <v>127</v>
      </c>
      <c r="E49" s="467" t="s">
        <v>170</v>
      </c>
      <c r="F49" s="330"/>
      <c r="J49" s="1"/>
    </row>
    <row r="50" spans="2:10" ht="10.5">
      <c r="B50" s="471" t="s">
        <v>62</v>
      </c>
      <c r="C50" s="522" t="s">
        <v>43</v>
      </c>
      <c r="D50" s="522" t="s">
        <v>149</v>
      </c>
      <c r="E50" s="522" t="s">
        <v>43</v>
      </c>
      <c r="F50" s="330"/>
      <c r="G50" s="380"/>
      <c r="H50" s="380"/>
      <c r="I50" s="380"/>
      <c r="J50" s="1"/>
    </row>
    <row r="51" spans="2:10" ht="12" customHeight="1">
      <c r="B51" s="365" t="s">
        <v>59</v>
      </c>
      <c r="C51" s="384">
        <v>168.1</v>
      </c>
      <c r="D51" s="564">
        <v>170.1</v>
      </c>
      <c r="E51" s="564">
        <v>172.3</v>
      </c>
      <c r="F51" s="330"/>
      <c r="G51" s="380"/>
      <c r="H51" s="380"/>
      <c r="I51" s="380"/>
      <c r="J51" s="1"/>
    </row>
    <row r="52" spans="2:10" ht="12" customHeight="1">
      <c r="B52" s="330" t="s">
        <v>60</v>
      </c>
      <c r="C52" s="369">
        <v>10.6</v>
      </c>
      <c r="D52" s="476">
        <v>9.6999999999999993</v>
      </c>
      <c r="E52" s="476">
        <v>9.6</v>
      </c>
      <c r="F52" s="330"/>
      <c r="G52" s="380"/>
      <c r="H52" s="380"/>
      <c r="I52" s="380"/>
      <c r="J52" s="1"/>
    </row>
    <row r="53" spans="2:10" ht="12" customHeight="1">
      <c r="B53" s="357" t="s">
        <v>61</v>
      </c>
      <c r="C53" s="565">
        <v>20.6</v>
      </c>
      <c r="D53" s="566">
        <v>23</v>
      </c>
      <c r="E53" s="566">
        <v>23</v>
      </c>
      <c r="F53" s="330"/>
      <c r="G53" s="380"/>
      <c r="H53" s="380"/>
      <c r="I53" s="380"/>
      <c r="J53" s="1"/>
    </row>
    <row r="54" spans="2:10" ht="12" customHeight="1">
      <c r="B54" s="353" t="s">
        <v>63</v>
      </c>
      <c r="C54" s="567">
        <v>199.3</v>
      </c>
      <c r="D54" s="568">
        <v>202.8</v>
      </c>
      <c r="E54" s="568">
        <v>204.9</v>
      </c>
      <c r="F54" s="330"/>
      <c r="G54" s="380"/>
      <c r="H54" s="380"/>
      <c r="I54" s="380"/>
      <c r="J54" s="1"/>
    </row>
    <row r="55" spans="2:10" ht="12" customHeight="1">
      <c r="B55" s="340"/>
      <c r="C55" s="362"/>
      <c r="D55" s="362"/>
      <c r="E55" s="329"/>
      <c r="F55" s="330"/>
      <c r="G55" s="380"/>
      <c r="H55" s="380"/>
      <c r="I55" s="380"/>
      <c r="J55" s="1"/>
    </row>
    <row r="56" spans="2:10" ht="12" customHeight="1">
      <c r="B56" s="471" t="s">
        <v>64</v>
      </c>
      <c r="C56" s="361"/>
      <c r="D56" s="361"/>
      <c r="E56" s="361"/>
      <c r="F56" s="330"/>
      <c r="G56" s="380"/>
      <c r="H56" s="380"/>
      <c r="I56" s="380"/>
      <c r="J56" s="1"/>
    </row>
    <row r="57" spans="2:10" ht="12" customHeight="1">
      <c r="B57" s="365" t="s">
        <v>59</v>
      </c>
      <c r="C57" s="384">
        <v>182.93049999999999</v>
      </c>
      <c r="D57" s="564">
        <v>185.4</v>
      </c>
      <c r="E57" s="564">
        <v>186.1</v>
      </c>
      <c r="F57" s="330"/>
      <c r="G57" s="380"/>
      <c r="H57" s="380"/>
      <c r="I57" s="380"/>
      <c r="J57" s="1"/>
    </row>
    <row r="58" spans="2:10" ht="12" customHeight="1">
      <c r="B58" s="330" t="s">
        <v>60</v>
      </c>
      <c r="C58" s="369">
        <v>0</v>
      </c>
      <c r="D58" s="476">
        <v>0</v>
      </c>
      <c r="E58" s="476">
        <v>0</v>
      </c>
      <c r="F58" s="330"/>
      <c r="G58" s="380"/>
      <c r="H58" s="380"/>
      <c r="I58" s="380"/>
      <c r="J58" s="1"/>
    </row>
    <row r="59" spans="2:10" ht="12" customHeight="1">
      <c r="B59" s="357" t="s">
        <v>61</v>
      </c>
      <c r="C59" s="565">
        <v>53.398699999999998</v>
      </c>
      <c r="D59" s="566">
        <v>55.7</v>
      </c>
      <c r="E59" s="566">
        <v>57.1</v>
      </c>
      <c r="F59" s="330"/>
      <c r="G59" s="380"/>
      <c r="H59" s="380"/>
      <c r="I59" s="380"/>
      <c r="J59" s="1"/>
    </row>
    <row r="60" spans="2:10" ht="12" customHeight="1">
      <c r="B60" s="353" t="s">
        <v>65</v>
      </c>
      <c r="C60" s="567">
        <v>236.26509999999999</v>
      </c>
      <c r="D60" s="568">
        <v>241.1</v>
      </c>
      <c r="E60" s="568">
        <v>243.2</v>
      </c>
      <c r="F60" s="330"/>
      <c r="G60" s="380"/>
      <c r="H60" s="380"/>
      <c r="I60" s="380"/>
      <c r="J60" s="1"/>
    </row>
    <row r="61" spans="2:10" ht="12" customHeight="1">
      <c r="C61" s="1"/>
      <c r="F61" s="1"/>
      <c r="G61" s="380"/>
      <c r="H61" s="380"/>
      <c r="I61" s="380"/>
      <c r="J61" s="1"/>
    </row>
    <row r="62" spans="2:10" ht="12" customHeight="1">
      <c r="C62" s="1"/>
      <c r="F62" s="1"/>
      <c r="G62" s="1"/>
      <c r="H62" s="1"/>
      <c r="I62" s="1"/>
      <c r="J62" s="1"/>
    </row>
    <row r="63" spans="2:10" ht="12" customHeight="1">
      <c r="C63" s="1"/>
      <c r="F63" s="1"/>
      <c r="G63" s="1"/>
      <c r="H63" s="1"/>
      <c r="I63" s="1"/>
      <c r="J63" s="1"/>
    </row>
    <row r="64" spans="2:10" ht="12" customHeight="1">
      <c r="C64" s="1"/>
      <c r="F64" s="1"/>
      <c r="G64" s="1"/>
      <c r="H64" s="1"/>
      <c r="I64" s="1"/>
      <c r="J64" s="1"/>
    </row>
    <row r="65" spans="3:10" ht="12" customHeight="1">
      <c r="C65" s="1"/>
      <c r="F65" s="1"/>
      <c r="G65" s="1"/>
      <c r="H65" s="1"/>
      <c r="I65" s="1"/>
      <c r="J65" s="1"/>
    </row>
    <row r="66" spans="3:10" ht="12" customHeight="1">
      <c r="C66" s="1"/>
      <c r="F66" s="1"/>
      <c r="G66" s="1"/>
      <c r="H66" s="1"/>
      <c r="I66" s="1"/>
      <c r="J66" s="1"/>
    </row>
    <row r="67" spans="3:10" ht="12" customHeight="1">
      <c r="C67" s="1"/>
      <c r="F67" s="1"/>
      <c r="G67" s="1"/>
      <c r="H67" s="1"/>
      <c r="I67" s="1"/>
      <c r="J67" s="1"/>
    </row>
    <row r="68" spans="3:10" ht="12" customHeight="1">
      <c r="C68" s="1"/>
      <c r="F68" s="1"/>
      <c r="G68" s="1"/>
      <c r="H68" s="1"/>
      <c r="I68" s="1"/>
      <c r="J68" s="1"/>
    </row>
    <row r="69" spans="3:10" ht="12" customHeight="1">
      <c r="C69" s="1"/>
      <c r="F69" s="1"/>
      <c r="G69" s="1"/>
      <c r="H69" s="1"/>
      <c r="I69" s="1"/>
      <c r="J69" s="1"/>
    </row>
    <row r="70" spans="3:10" ht="12" customHeight="1">
      <c r="C70" s="1"/>
      <c r="F70" s="1"/>
      <c r="G70" s="1"/>
      <c r="H70" s="1"/>
      <c r="I70" s="1"/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F76" s="1"/>
      <c r="G76" s="1"/>
      <c r="H76" s="1"/>
      <c r="I76" s="1"/>
      <c r="J76" s="1"/>
    </row>
    <row r="77" spans="3:10" ht="12" customHeight="1">
      <c r="F77" s="1"/>
      <c r="G77" s="1"/>
      <c r="H77" s="1"/>
      <c r="I77" s="1"/>
      <c r="J77" s="1"/>
    </row>
    <row r="78" spans="3:10" ht="12" customHeight="1">
      <c r="C78" s="1"/>
    </row>
    <row r="79" spans="3:10" ht="12" customHeight="1">
      <c r="C79" s="1"/>
    </row>
    <row r="80" spans="3:10" ht="12" customHeight="1">
      <c r="C80" s="1"/>
      <c r="F80" s="1"/>
      <c r="G80" s="1"/>
      <c r="H80" s="1"/>
      <c r="I80" s="1"/>
      <c r="J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F89" s="1"/>
      <c r="G89" s="1"/>
      <c r="H89" s="1"/>
      <c r="I89" s="1"/>
      <c r="J89" s="1"/>
    </row>
    <row r="90" spans="3:10" ht="12" customHeight="1">
      <c r="F90" s="1"/>
      <c r="G90" s="1"/>
      <c r="H90" s="1"/>
      <c r="I90" s="1"/>
      <c r="J90" s="1"/>
    </row>
    <row r="91" spans="3:10" ht="12" customHeight="1">
      <c r="C91" s="1"/>
    </row>
    <row r="92" spans="3:10" ht="12" customHeight="1">
      <c r="C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="1" customFormat="1" ht="12" customHeight="1"/>
    <row r="98" s="1" customFormat="1" ht="12" customHeight="1"/>
    <row r="99" s="1" customFormat="1" ht="12" customHeight="1"/>
    <row r="100" s="1" customFormat="1" ht="12" customHeight="1"/>
    <row r="101" s="1" customFormat="1" ht="12" customHeight="1"/>
    <row r="102" s="1" customFormat="1" ht="12" customHeight="1"/>
    <row r="103" s="1" customFormat="1" ht="12" customHeight="1"/>
    <row r="104" s="1" customFormat="1" ht="12" customHeight="1"/>
    <row r="105" s="1" customFormat="1" ht="12" customHeight="1"/>
    <row r="106" s="1" customFormat="1" ht="12" customHeight="1"/>
    <row r="107" s="1" customFormat="1" ht="12" customHeight="1"/>
    <row r="108" s="1" customFormat="1" ht="12" customHeight="1"/>
    <row r="109" s="1" customFormat="1" ht="12" customHeight="1"/>
    <row r="110" s="1" customFormat="1" ht="12" customHeight="1"/>
    <row r="111" s="1" customFormat="1" ht="12" customHeight="1"/>
    <row r="112" s="1" customFormat="1" ht="12" customHeight="1"/>
    <row r="113" spans="3:10" ht="12" customHeight="1">
      <c r="C113" s="1"/>
      <c r="F113" s="1"/>
      <c r="G113" s="1"/>
      <c r="H113" s="1"/>
      <c r="I113" s="1"/>
      <c r="J113" s="1"/>
    </row>
    <row r="114" spans="3:10" ht="12" customHeight="1">
      <c r="C114" s="1"/>
      <c r="F114" s="1"/>
      <c r="G114" s="1"/>
      <c r="H114" s="1"/>
      <c r="I114" s="1"/>
      <c r="J114" s="1"/>
    </row>
    <row r="115" spans="3:10" ht="12" customHeight="1">
      <c r="C115" s="1"/>
      <c r="F115" s="1"/>
      <c r="G115" s="1"/>
      <c r="H115" s="1"/>
      <c r="I115" s="1"/>
      <c r="J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</row>
    <row r="124" spans="3:10" ht="12" customHeight="1">
      <c r="C124" s="1"/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  <c r="F126" s="1"/>
      <c r="G126" s="1"/>
      <c r="H126" s="1"/>
      <c r="I126" s="1"/>
      <c r="J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pans="3:10" ht="12" customHeight="1">
      <c r="C129" s="1"/>
      <c r="F129" s="1"/>
      <c r="G129" s="1"/>
      <c r="H129" s="1"/>
      <c r="I129" s="1"/>
      <c r="J129" s="1"/>
    </row>
    <row r="130" spans="3:10" ht="12" customHeight="1">
      <c r="C130" s="1"/>
      <c r="F130" s="1"/>
      <c r="G130" s="1"/>
      <c r="H130" s="1"/>
      <c r="I130" s="1"/>
      <c r="J130" s="1"/>
    </row>
    <row r="131" spans="3:10" ht="12" customHeight="1">
      <c r="F131" s="1"/>
      <c r="G131" s="1"/>
      <c r="H131" s="1"/>
      <c r="I131" s="1"/>
      <c r="J131" s="1"/>
    </row>
    <row r="132" spans="3:10" ht="12" customHeight="1">
      <c r="F132" s="1"/>
      <c r="G132" s="1"/>
      <c r="H132" s="1"/>
      <c r="I132" s="1"/>
      <c r="J132" s="1"/>
    </row>
    <row r="133" spans="3:10" ht="12" customHeight="1">
      <c r="C133" s="1"/>
    </row>
    <row r="134" spans="3:10" ht="12" customHeight="1">
      <c r="C134" s="1"/>
    </row>
    <row r="135" spans="3:10" ht="12" customHeight="1">
      <c r="C135" s="1"/>
      <c r="F135" s="1"/>
      <c r="G135" s="1"/>
      <c r="H135" s="1"/>
      <c r="I135" s="1"/>
      <c r="J135" s="1"/>
    </row>
    <row r="136" spans="3:10" ht="12" customHeight="1">
      <c r="F136" s="1"/>
      <c r="G136" s="1"/>
      <c r="H136" s="1"/>
      <c r="I136" s="1"/>
      <c r="J136" s="1"/>
    </row>
    <row r="137" spans="3:10" ht="12" customHeight="1">
      <c r="C137" s="1"/>
      <c r="F137" s="1"/>
      <c r="G137" s="1"/>
      <c r="H137" s="1"/>
      <c r="I137" s="1"/>
      <c r="J137" s="1"/>
    </row>
    <row r="139" spans="3:10" ht="12" customHeight="1">
      <c r="F139" s="1"/>
      <c r="G139" s="1"/>
      <c r="H139" s="1"/>
      <c r="I139" s="1"/>
      <c r="J139" s="1"/>
    </row>
  </sheetData>
  <mergeCells count="4">
    <mergeCell ref="G2:I2"/>
    <mergeCell ref="C2:E2"/>
    <mergeCell ref="C35:E35"/>
    <mergeCell ref="G35:I35"/>
  </mergeCells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J105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8" width="16.1796875" customWidth="1"/>
    <col min="9" max="9" width="10.26953125" bestFit="1" customWidth="1"/>
    <col min="10" max="10" width="8" customWidth="1"/>
    <col min="11" max="54" width="8" style="1" customWidth="1"/>
    <col min="55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122</v>
      </c>
      <c r="C2" s="1132" t="s">
        <v>168</v>
      </c>
      <c r="D2" s="1132"/>
      <c r="E2" s="1132"/>
      <c r="F2" s="200"/>
      <c r="G2" s="1132" t="s">
        <v>100</v>
      </c>
      <c r="H2" s="1132"/>
      <c r="I2" s="1132"/>
      <c r="J2" s="4"/>
    </row>
    <row r="3" spans="1:10" ht="15.5">
      <c r="B3" s="19"/>
      <c r="C3" s="338">
        <v>45565</v>
      </c>
      <c r="D3" s="338">
        <v>45199</v>
      </c>
      <c r="E3" s="27"/>
      <c r="F3" s="200"/>
      <c r="G3" s="338">
        <v>45565</v>
      </c>
      <c r="H3" s="338">
        <v>45199</v>
      </c>
      <c r="I3" s="559"/>
      <c r="J3" s="4"/>
    </row>
    <row r="4" spans="1:10" ht="12" customHeight="1">
      <c r="B4" s="28" t="s">
        <v>46</v>
      </c>
      <c r="C4" s="560" t="s">
        <v>1</v>
      </c>
      <c r="D4" s="560" t="s">
        <v>1</v>
      </c>
      <c r="E4" s="561" t="s">
        <v>2</v>
      </c>
      <c r="F4" s="562"/>
      <c r="G4" s="560" t="s">
        <v>1</v>
      </c>
      <c r="H4" s="560" t="s">
        <v>1</v>
      </c>
      <c r="I4" s="561" t="s">
        <v>2</v>
      </c>
      <c r="J4" s="4"/>
    </row>
    <row r="5" spans="1:10" ht="12" customHeight="1">
      <c r="B5" s="52" t="s">
        <v>54</v>
      </c>
      <c r="C5" s="511">
        <v>882</v>
      </c>
      <c r="D5" s="486">
        <v>913</v>
      </c>
      <c r="E5" s="486">
        <v>-3</v>
      </c>
      <c r="G5" s="511">
        <v>309</v>
      </c>
      <c r="H5" s="486">
        <v>304</v>
      </c>
      <c r="I5" s="486">
        <v>2</v>
      </c>
      <c r="J5" s="4"/>
    </row>
    <row r="6" spans="1:10" ht="13.5" customHeight="1">
      <c r="A6" s="62"/>
      <c r="B6" s="79" t="s">
        <v>83</v>
      </c>
      <c r="C6" s="349">
        <v>440</v>
      </c>
      <c r="D6" s="359">
        <v>462</v>
      </c>
      <c r="E6" s="359">
        <v>-5</v>
      </c>
      <c r="G6" s="349">
        <v>136</v>
      </c>
      <c r="H6" s="359">
        <v>136</v>
      </c>
      <c r="I6" s="359">
        <v>0</v>
      </c>
      <c r="J6" s="4"/>
    </row>
    <row r="7" spans="1:10" ht="12" customHeight="1">
      <c r="B7" s="54" t="s">
        <v>18</v>
      </c>
      <c r="C7" s="354">
        <v>1322</v>
      </c>
      <c r="D7" s="356">
        <v>1375</v>
      </c>
      <c r="E7" s="356">
        <v>-4</v>
      </c>
      <c r="G7" s="354">
        <v>445</v>
      </c>
      <c r="H7" s="356">
        <v>440</v>
      </c>
      <c r="I7" s="356">
        <v>1</v>
      </c>
      <c r="J7" s="4"/>
    </row>
    <row r="8" spans="1:10" ht="12" customHeight="1">
      <c r="B8" s="55" t="s">
        <v>17</v>
      </c>
      <c r="C8" s="344">
        <v>-685</v>
      </c>
      <c r="D8" s="347">
        <v>-647</v>
      </c>
      <c r="E8" s="347">
        <v>-6</v>
      </c>
      <c r="G8" s="344">
        <v>-229</v>
      </c>
      <c r="H8" s="347">
        <v>-224</v>
      </c>
      <c r="I8" s="347">
        <v>-2</v>
      </c>
      <c r="J8" s="4"/>
    </row>
    <row r="9" spans="1:10" ht="12" customHeight="1">
      <c r="B9" s="55" t="s">
        <v>136</v>
      </c>
      <c r="C9" s="344">
        <v>-23</v>
      </c>
      <c r="D9" s="347">
        <v>0</v>
      </c>
      <c r="E9" s="329"/>
      <c r="G9" s="344">
        <v>7</v>
      </c>
      <c r="H9" s="347">
        <v>0</v>
      </c>
      <c r="I9" s="329"/>
      <c r="J9" s="4"/>
    </row>
    <row r="10" spans="1:10" ht="12" customHeight="1">
      <c r="B10" s="79" t="s">
        <v>3</v>
      </c>
      <c r="C10" s="349">
        <v>0</v>
      </c>
      <c r="D10" s="359">
        <v>2</v>
      </c>
      <c r="E10" s="361"/>
      <c r="G10" s="349">
        <v>0</v>
      </c>
      <c r="H10" s="359">
        <v>2</v>
      </c>
      <c r="I10" s="361"/>
      <c r="J10" s="4"/>
    </row>
    <row r="11" spans="1:10" ht="12" customHeight="1">
      <c r="B11" s="65" t="s">
        <v>4</v>
      </c>
      <c r="C11" s="354">
        <v>-708</v>
      </c>
      <c r="D11" s="356">
        <v>-645</v>
      </c>
      <c r="E11" s="356">
        <v>-10</v>
      </c>
      <c r="G11" s="354">
        <v>-222</v>
      </c>
      <c r="H11" s="356">
        <v>-222</v>
      </c>
      <c r="I11" s="356">
        <v>0</v>
      </c>
      <c r="J11" s="4"/>
    </row>
    <row r="12" spans="1:10" ht="12" customHeight="1">
      <c r="B12" s="107" t="s">
        <v>49</v>
      </c>
      <c r="C12" s="488">
        <v>0</v>
      </c>
      <c r="D12" s="351">
        <v>2</v>
      </c>
      <c r="E12" s="352" t="s">
        <v>0</v>
      </c>
      <c r="G12" s="488">
        <v>0</v>
      </c>
      <c r="H12" s="351">
        <v>0</v>
      </c>
      <c r="I12" s="352"/>
      <c r="J12" s="4"/>
    </row>
    <row r="13" spans="1:10" ht="12" customHeight="1">
      <c r="B13" s="173" t="s">
        <v>108</v>
      </c>
      <c r="C13" s="354">
        <v>614</v>
      </c>
      <c r="D13" s="356">
        <v>732</v>
      </c>
      <c r="E13" s="356">
        <v>-16</v>
      </c>
      <c r="G13" s="354">
        <v>223</v>
      </c>
      <c r="H13" s="356">
        <v>218</v>
      </c>
      <c r="I13" s="356">
        <v>2</v>
      </c>
      <c r="J13" s="4"/>
    </row>
    <row r="14" spans="1:10" ht="12" customHeight="1">
      <c r="B14" s="172" t="s">
        <v>74</v>
      </c>
      <c r="C14" s="349">
        <v>-36</v>
      </c>
      <c r="D14" s="359">
        <v>45</v>
      </c>
      <c r="E14" s="361"/>
      <c r="G14" s="349">
        <v>-13</v>
      </c>
      <c r="H14" s="359">
        <v>-15</v>
      </c>
      <c r="I14" s="361">
        <v>13</v>
      </c>
      <c r="J14" s="4"/>
    </row>
    <row r="15" spans="1:10" ht="12" customHeight="1">
      <c r="B15" s="65" t="s">
        <v>19</v>
      </c>
      <c r="C15" s="354">
        <v>578</v>
      </c>
      <c r="D15" s="356">
        <v>777</v>
      </c>
      <c r="E15" s="356">
        <v>-26</v>
      </c>
      <c r="G15" s="354">
        <v>210</v>
      </c>
      <c r="H15" s="356">
        <v>203</v>
      </c>
      <c r="I15" s="356">
        <v>3</v>
      </c>
      <c r="J15" s="4"/>
    </row>
    <row r="16" spans="1:10" ht="12" customHeight="1">
      <c r="B16" s="11" t="s">
        <v>50</v>
      </c>
      <c r="C16" s="344">
        <v>392</v>
      </c>
      <c r="D16" s="347">
        <v>525</v>
      </c>
      <c r="E16" s="347">
        <v>-25</v>
      </c>
      <c r="G16" s="344">
        <v>144</v>
      </c>
      <c r="H16" s="346">
        <v>129</v>
      </c>
      <c r="I16" s="347">
        <v>12</v>
      </c>
      <c r="J16" s="4"/>
    </row>
    <row r="17" spans="2:10" ht="12" customHeight="1">
      <c r="B17" s="55"/>
      <c r="C17"/>
      <c r="D17"/>
      <c r="E17"/>
      <c r="J17" s="4"/>
    </row>
    <row r="18" spans="2:10" ht="12" customHeight="1">
      <c r="B18" s="87" t="s">
        <v>51</v>
      </c>
      <c r="C18"/>
      <c r="D18"/>
      <c r="E18"/>
      <c r="J18" s="4"/>
    </row>
    <row r="19" spans="2:10" ht="12" customHeight="1">
      <c r="B19" s="99" t="s">
        <v>13</v>
      </c>
      <c r="C19" s="621">
        <v>0.17300000000000001</v>
      </c>
      <c r="D19" s="490">
        <v>0.24399999999999999</v>
      </c>
      <c r="E19"/>
      <c r="G19" s="489">
        <v>0.188</v>
      </c>
      <c r="H19" s="490">
        <v>0.18300000000000002</v>
      </c>
      <c r="I19" s="491"/>
      <c r="J19" s="4"/>
    </row>
    <row r="20" spans="2:10" ht="12" customHeight="1">
      <c r="B20" s="41" t="s">
        <v>57</v>
      </c>
      <c r="C20" s="599">
        <v>3</v>
      </c>
      <c r="D20" s="600">
        <v>2.9</v>
      </c>
      <c r="E20"/>
      <c r="G20" s="492">
        <v>3.1</v>
      </c>
      <c r="H20" s="493">
        <v>2.8</v>
      </c>
      <c r="I20" s="491"/>
      <c r="J20" s="4"/>
    </row>
    <row r="21" spans="2:10" ht="12" customHeight="1">
      <c r="B21" s="41" t="s">
        <v>44</v>
      </c>
      <c r="C21" s="494">
        <v>0.54</v>
      </c>
      <c r="D21" s="495">
        <v>0.47000000000000003</v>
      </c>
      <c r="E21"/>
      <c r="G21" s="494">
        <v>0.5</v>
      </c>
      <c r="H21" s="495">
        <v>0.5</v>
      </c>
      <c r="I21" s="491"/>
      <c r="J21" s="4"/>
    </row>
    <row r="22" spans="2:10" ht="12" customHeight="1">
      <c r="B22" s="41" t="s">
        <v>53</v>
      </c>
      <c r="C22" s="496">
        <v>19</v>
      </c>
      <c r="D22" s="497">
        <v>-22</v>
      </c>
      <c r="E22"/>
      <c r="G22" s="496">
        <v>21</v>
      </c>
      <c r="H22" s="497">
        <v>21</v>
      </c>
      <c r="I22" s="491"/>
      <c r="J22" s="4"/>
    </row>
    <row r="23" spans="2:10" ht="12" customHeight="1">
      <c r="B23" s="41"/>
      <c r="C23" s="178"/>
      <c r="D23" s="178"/>
      <c r="E23" s="179"/>
      <c r="F23" s="4"/>
      <c r="G23" s="178"/>
      <c r="H23" s="178"/>
      <c r="I23" s="179"/>
      <c r="J23" s="4"/>
    </row>
    <row r="24" spans="2:10" ht="12" customHeight="1">
      <c r="B24" s="11"/>
      <c r="C24" s="467" t="s">
        <v>169</v>
      </c>
      <c r="D24" s="467" t="s">
        <v>127</v>
      </c>
      <c r="E24" s="467" t="s">
        <v>170</v>
      </c>
      <c r="F24" s="4"/>
      <c r="G24" s="86"/>
      <c r="H24" s="86"/>
      <c r="I24" s="86"/>
      <c r="J24" s="4"/>
    </row>
    <row r="25" spans="2:10" ht="12" customHeight="1">
      <c r="B25" s="87" t="s">
        <v>56</v>
      </c>
      <c r="C25" s="382" t="s">
        <v>43</v>
      </c>
      <c r="D25" s="382" t="s">
        <v>43</v>
      </c>
      <c r="E25" s="382" t="s">
        <v>43</v>
      </c>
      <c r="F25" s="4"/>
      <c r="G25" s="86"/>
      <c r="H25" s="86"/>
      <c r="I25" s="86"/>
      <c r="J25" s="4"/>
    </row>
    <row r="26" spans="2:10" ht="12" customHeight="1">
      <c r="B26" s="11" t="s">
        <v>26</v>
      </c>
      <c r="C26" s="446">
        <v>24.8</v>
      </c>
      <c r="D26" s="499">
        <v>26.4</v>
      </c>
      <c r="E26" s="499">
        <v>26.9</v>
      </c>
      <c r="F26" s="4"/>
      <c r="G26" s="86"/>
      <c r="H26" s="86"/>
      <c r="I26" s="86"/>
      <c r="J26" s="4"/>
    </row>
    <row r="27" spans="2:10" ht="12" customHeight="1">
      <c r="B27" s="11" t="s">
        <v>36</v>
      </c>
      <c r="C27" s="538">
        <v>82.3</v>
      </c>
      <c r="D27" s="392">
        <v>84.9</v>
      </c>
      <c r="E27" s="392">
        <v>82.7</v>
      </c>
      <c r="F27" s="4"/>
      <c r="G27" s="86"/>
      <c r="H27" s="86"/>
      <c r="I27" s="86"/>
      <c r="J27" s="4"/>
    </row>
    <row r="28" spans="2:10" ht="12" customHeight="1">
      <c r="B28" s="11" t="s">
        <v>28</v>
      </c>
      <c r="C28" s="538">
        <v>22.1</v>
      </c>
      <c r="D28" s="392">
        <v>20.9</v>
      </c>
      <c r="E28" s="392">
        <v>19.5</v>
      </c>
      <c r="F28" s="4"/>
      <c r="G28" s="86"/>
      <c r="H28" s="86"/>
      <c r="I28" s="86"/>
      <c r="J28" s="4"/>
    </row>
    <row r="29" spans="2:10" ht="12" customHeight="1">
      <c r="B29" s="11" t="s">
        <v>29</v>
      </c>
      <c r="C29" s="588">
        <v>3</v>
      </c>
      <c r="D29" s="392">
        <v>3</v>
      </c>
      <c r="E29" s="392">
        <v>2.8</v>
      </c>
      <c r="F29" s="4"/>
      <c r="G29" s="86"/>
      <c r="H29" s="86"/>
      <c r="I29" s="86"/>
      <c r="J29" s="4"/>
    </row>
    <row r="30" spans="2:10" ht="12" customHeight="1">
      <c r="B30" s="11"/>
      <c r="C30" s="589"/>
      <c r="D30" s="392"/>
      <c r="E30" s="392"/>
      <c r="F30" s="4"/>
      <c r="G30" s="86"/>
      <c r="H30" s="86"/>
      <c r="I30" s="86"/>
      <c r="J30" s="4"/>
    </row>
    <row r="31" spans="2:10" ht="12" customHeight="1">
      <c r="B31" s="23"/>
      <c r="C31" s="1132" t="s">
        <v>168</v>
      </c>
      <c r="D31" s="1132"/>
      <c r="E31" s="1132"/>
      <c r="F31" s="4"/>
      <c r="G31" s="1132" t="s">
        <v>100</v>
      </c>
      <c r="H31" s="1132"/>
      <c r="I31" s="1132"/>
      <c r="J31" s="4"/>
    </row>
    <row r="32" spans="2:10" ht="12" customHeight="1">
      <c r="C32" s="338">
        <v>45565</v>
      </c>
      <c r="D32" s="338">
        <v>45199</v>
      </c>
      <c r="E32" s="559"/>
      <c r="F32" s="4"/>
      <c r="G32" s="338">
        <v>45565</v>
      </c>
      <c r="H32" s="338">
        <v>45199</v>
      </c>
      <c r="J32" s="4"/>
    </row>
    <row r="33" spans="2:10" ht="12" customHeight="1">
      <c r="B33" s="126" t="s">
        <v>47</v>
      </c>
      <c r="C33" s="442" t="s">
        <v>1</v>
      </c>
      <c r="D33" s="442" t="s">
        <v>1</v>
      </c>
      <c r="E33" s="442" t="s">
        <v>2</v>
      </c>
      <c r="F33" s="1"/>
      <c r="G33" s="442" t="s">
        <v>1</v>
      </c>
      <c r="H33" s="442" t="s">
        <v>1</v>
      </c>
      <c r="I33" s="442" t="s">
        <v>2</v>
      </c>
      <c r="J33" s="1"/>
    </row>
    <row r="34" spans="2:10" ht="12" customHeight="1">
      <c r="B34" s="111" t="s">
        <v>72</v>
      </c>
      <c r="C34" s="523">
        <v>196</v>
      </c>
      <c r="D34" s="524">
        <v>198</v>
      </c>
      <c r="E34" s="486">
        <v>-1</v>
      </c>
      <c r="F34" s="1"/>
      <c r="G34" s="525">
        <v>67</v>
      </c>
      <c r="H34" s="524">
        <v>69</v>
      </c>
      <c r="I34" s="486">
        <v>-3</v>
      </c>
      <c r="J34" s="1"/>
    </row>
    <row r="35" spans="2:10" ht="12" customHeight="1">
      <c r="B35" s="114" t="s">
        <v>73</v>
      </c>
      <c r="C35" s="622">
        <v>1126</v>
      </c>
      <c r="D35" s="623">
        <v>1177</v>
      </c>
      <c r="E35" s="623">
        <v>-4</v>
      </c>
      <c r="F35" s="1"/>
      <c r="G35" s="488">
        <v>378</v>
      </c>
      <c r="H35" s="351">
        <v>371</v>
      </c>
      <c r="I35" s="359">
        <v>2</v>
      </c>
      <c r="J35" s="1"/>
    </row>
    <row r="36" spans="2:10" ht="12" customHeight="1">
      <c r="B36" s="115" t="s">
        <v>18</v>
      </c>
      <c r="C36" s="354">
        <v>1322</v>
      </c>
      <c r="D36" s="356">
        <v>1375</v>
      </c>
      <c r="E36" s="356">
        <v>-4</v>
      </c>
      <c r="F36" s="1"/>
      <c r="G36" s="354">
        <v>445</v>
      </c>
      <c r="H36" s="356">
        <v>440</v>
      </c>
      <c r="I36" s="356">
        <v>1</v>
      </c>
      <c r="J36" s="1"/>
    </row>
    <row r="37" spans="2:10" ht="12" customHeight="1">
      <c r="C37" s="1"/>
      <c r="F37" s="1"/>
      <c r="G37" s="1"/>
      <c r="H37" s="1"/>
      <c r="I37" s="1"/>
      <c r="J37" s="1"/>
    </row>
    <row r="38" spans="2:10" ht="12" customHeight="1">
      <c r="C38" s="1"/>
      <c r="F38" s="1"/>
      <c r="G38" s="1"/>
      <c r="H38" s="1"/>
      <c r="I38" s="1"/>
      <c r="J38" s="1"/>
    </row>
    <row r="39" spans="2:10" ht="12" customHeight="1">
      <c r="C39" s="1"/>
      <c r="F39" s="1"/>
      <c r="G39" s="1"/>
      <c r="H39" s="1"/>
      <c r="I39" s="1"/>
      <c r="J39" s="1"/>
    </row>
    <row r="40" spans="2:10" ht="12" customHeight="1">
      <c r="C40" s="1"/>
      <c r="D40"/>
      <c r="F40" s="1"/>
      <c r="G40" s="1"/>
      <c r="H40" s="1"/>
      <c r="I40" s="1"/>
      <c r="J40" s="1"/>
    </row>
    <row r="41" spans="2:10" ht="12" customHeight="1">
      <c r="C41" s="1"/>
      <c r="F41" s="1"/>
      <c r="G41" s="1"/>
      <c r="H41" s="1"/>
      <c r="I41" s="1"/>
      <c r="J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F43" s="1"/>
      <c r="G43" s="1"/>
      <c r="H43" s="1"/>
      <c r="I43" s="1"/>
      <c r="J43" s="1"/>
    </row>
    <row r="45" spans="2:10" ht="12" customHeight="1">
      <c r="C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  <c r="J47" s="1"/>
    </row>
    <row r="48" spans="2:10" ht="12" customHeight="1">
      <c r="C48" s="1"/>
      <c r="F48" s="1"/>
      <c r="G48" s="1"/>
      <c r="H48" s="1"/>
      <c r="I48" s="1"/>
      <c r="J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C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F56" s="1"/>
      <c r="G56" s="1"/>
      <c r="H56" s="1"/>
      <c r="I56" s="1"/>
      <c r="J56" s="1"/>
    </row>
    <row r="58" spans="3:10" ht="12" customHeight="1">
      <c r="C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F88" s="1"/>
      <c r="G88" s="1"/>
      <c r="H88" s="1"/>
      <c r="I88" s="1"/>
      <c r="J88" s="1"/>
    </row>
    <row r="89" spans="3:10" ht="12" customHeight="1">
      <c r="C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F98" s="1"/>
      <c r="G98" s="1"/>
      <c r="H98" s="1"/>
      <c r="I98" s="1"/>
      <c r="J98" s="1"/>
    </row>
    <row r="100" spans="3:10" ht="12" customHeight="1">
      <c r="C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C102" s="1"/>
      <c r="F102" s="1"/>
      <c r="G102" s="1"/>
      <c r="H102" s="1"/>
      <c r="I102" s="1"/>
      <c r="J102" s="1"/>
    </row>
    <row r="103" spans="3:10" ht="12" customHeight="1">
      <c r="F103" s="1"/>
      <c r="G103" s="1"/>
      <c r="H103" s="1"/>
      <c r="I103" s="1"/>
      <c r="J103" s="1"/>
    </row>
    <row r="104" spans="3:10" ht="12" customHeight="1">
      <c r="C104" s="1"/>
    </row>
    <row r="105" spans="3:10" ht="12" customHeight="1">
      <c r="F105" s="1"/>
      <c r="G105" s="1"/>
      <c r="H105" s="1"/>
      <c r="I105" s="1"/>
      <c r="J105" s="1"/>
    </row>
  </sheetData>
  <mergeCells count="4">
    <mergeCell ref="G2:I2"/>
    <mergeCell ref="G31:I31"/>
    <mergeCell ref="C2:E2"/>
    <mergeCell ref="C31:E31"/>
  </mergeCells>
  <pageMargins left="0.75" right="0.75" top="1" bottom="1" header="0.5" footer="0.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J99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9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9" width="10.81640625" customWidth="1"/>
    <col min="10" max="10" width="8" customWidth="1"/>
    <col min="11" max="55" width="8" style="1" customWidth="1"/>
    <col min="56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33.75" customHeight="1">
      <c r="B2" s="232" t="s">
        <v>126</v>
      </c>
      <c r="C2" s="1137" t="s">
        <v>168</v>
      </c>
      <c r="D2" s="1137"/>
      <c r="E2" s="1137"/>
      <c r="F2" s="4"/>
      <c r="G2" s="1137" t="s">
        <v>100</v>
      </c>
      <c r="H2" s="1137"/>
      <c r="I2" s="1137"/>
      <c r="J2" s="1137"/>
    </row>
    <row r="3" spans="1:10" ht="15.5">
      <c r="B3" s="19"/>
      <c r="C3" s="338">
        <v>45565</v>
      </c>
      <c r="D3" s="338">
        <v>45199</v>
      </c>
      <c r="E3"/>
      <c r="G3" s="338">
        <v>45565</v>
      </c>
      <c r="H3" s="338">
        <v>45199</v>
      </c>
      <c r="I3" s="27"/>
      <c r="J3" s="4"/>
    </row>
    <row r="4" spans="1:10" ht="12" customHeight="1">
      <c r="B4" s="28" t="s">
        <v>46</v>
      </c>
      <c r="C4" s="50" t="s">
        <v>1</v>
      </c>
      <c r="D4" s="50" t="s">
        <v>1</v>
      </c>
      <c r="E4" s="29" t="s">
        <v>2</v>
      </c>
      <c r="F4" s="4"/>
      <c r="G4" s="50" t="s">
        <v>1</v>
      </c>
      <c r="H4" s="50" t="s">
        <v>1</v>
      </c>
      <c r="I4" s="29" t="s">
        <v>2</v>
      </c>
      <c r="J4" s="4"/>
    </row>
    <row r="5" spans="1:10" ht="12" customHeight="1">
      <c r="B5" s="52" t="s">
        <v>54</v>
      </c>
      <c r="C5" s="37">
        <v>551</v>
      </c>
      <c r="D5" s="38">
        <v>586</v>
      </c>
      <c r="E5" s="38">
        <v>-6</v>
      </c>
      <c r="F5" s="4"/>
      <c r="G5" s="37">
        <v>189</v>
      </c>
      <c r="H5" s="38">
        <v>219</v>
      </c>
      <c r="I5" s="38">
        <v>-14</v>
      </c>
      <c r="J5" s="4"/>
    </row>
    <row r="6" spans="1:10" ht="13.5" customHeight="1">
      <c r="A6" s="62"/>
      <c r="B6" s="79" t="s">
        <v>84</v>
      </c>
      <c r="C6" s="30">
        <v>407</v>
      </c>
      <c r="D6" s="40">
        <v>309</v>
      </c>
      <c r="E6" s="40">
        <v>32</v>
      </c>
      <c r="F6" s="4"/>
      <c r="G6" s="30">
        <v>137</v>
      </c>
      <c r="H6" s="40">
        <v>118</v>
      </c>
      <c r="I6" s="40">
        <v>16</v>
      </c>
      <c r="J6" s="4"/>
    </row>
    <row r="7" spans="1:10" ht="12" customHeight="1">
      <c r="B7" s="54" t="s">
        <v>18</v>
      </c>
      <c r="C7" s="31">
        <v>958</v>
      </c>
      <c r="D7" s="32">
        <v>895</v>
      </c>
      <c r="E7" s="32">
        <v>7</v>
      </c>
      <c r="F7" s="4"/>
      <c r="G7" s="31">
        <v>326</v>
      </c>
      <c r="H7" s="32">
        <v>337</v>
      </c>
      <c r="I7" s="32">
        <v>-3</v>
      </c>
      <c r="J7" s="4"/>
    </row>
    <row r="8" spans="1:10" ht="12" customHeight="1">
      <c r="B8" s="55" t="s">
        <v>17</v>
      </c>
      <c r="C8" s="34">
        <v>-656</v>
      </c>
      <c r="D8" s="39">
        <v>-540</v>
      </c>
      <c r="E8" s="39">
        <v>-21</v>
      </c>
      <c r="F8" s="4"/>
      <c r="G8" s="34">
        <v>-222</v>
      </c>
      <c r="H8" s="39">
        <v>-214</v>
      </c>
      <c r="I8" s="39">
        <v>-4</v>
      </c>
      <c r="J8" s="4"/>
    </row>
    <row r="9" spans="1:10" ht="12" customHeight="1">
      <c r="B9" s="55" t="s">
        <v>136</v>
      </c>
      <c r="C9" s="34">
        <v>-2</v>
      </c>
      <c r="D9" s="39">
        <v>0</v>
      </c>
      <c r="E9" s="39"/>
      <c r="F9" s="4"/>
      <c r="G9" s="34">
        <v>1</v>
      </c>
      <c r="H9" s="39">
        <v>0</v>
      </c>
      <c r="I9" s="39"/>
      <c r="J9" s="4"/>
    </row>
    <row r="10" spans="1:10" ht="12" customHeight="1">
      <c r="B10" s="79" t="s">
        <v>3</v>
      </c>
      <c r="C10" s="30">
        <v>1</v>
      </c>
      <c r="D10" s="40">
        <v>0</v>
      </c>
      <c r="E10" s="40"/>
      <c r="F10" s="4"/>
      <c r="G10" s="30">
        <v>0</v>
      </c>
      <c r="H10" s="40">
        <v>0</v>
      </c>
      <c r="I10" s="40"/>
      <c r="J10" s="4"/>
    </row>
    <row r="11" spans="1:10" ht="12" customHeight="1">
      <c r="B11" s="65" t="s">
        <v>4</v>
      </c>
      <c r="C11" s="31">
        <v>-657</v>
      </c>
      <c r="D11" s="32">
        <v>-540</v>
      </c>
      <c r="E11" s="32">
        <v>-22</v>
      </c>
      <c r="F11" s="4"/>
      <c r="G11" s="31">
        <v>-221</v>
      </c>
      <c r="H11" s="32">
        <v>-214</v>
      </c>
      <c r="I11" s="32">
        <v>-3</v>
      </c>
      <c r="J11" s="4"/>
    </row>
    <row r="12" spans="1:10" ht="12" customHeight="1">
      <c r="B12" s="107" t="s">
        <v>49</v>
      </c>
      <c r="C12" s="30">
        <v>0</v>
      </c>
      <c r="D12" s="40">
        <v>0</v>
      </c>
      <c r="E12" s="40"/>
      <c r="F12" s="4"/>
      <c r="G12" s="30">
        <v>0</v>
      </c>
      <c r="H12" s="40">
        <v>0</v>
      </c>
      <c r="I12" s="40"/>
      <c r="J12" s="4"/>
    </row>
    <row r="13" spans="1:10" ht="12" customHeight="1">
      <c r="B13" s="173" t="s">
        <v>108</v>
      </c>
      <c r="C13" s="174">
        <v>301</v>
      </c>
      <c r="D13" s="175">
        <v>355</v>
      </c>
      <c r="E13" s="175">
        <v>-15</v>
      </c>
      <c r="F13" s="4"/>
      <c r="G13" s="174">
        <v>105</v>
      </c>
      <c r="H13" s="175">
        <v>123</v>
      </c>
      <c r="I13" s="175">
        <v>-15</v>
      </c>
      <c r="J13" s="4"/>
    </row>
    <row r="14" spans="1:10" ht="12" customHeight="1">
      <c r="B14" s="172" t="s">
        <v>74</v>
      </c>
      <c r="C14" s="34">
        <v>-4</v>
      </c>
      <c r="D14" s="39">
        <v>-8</v>
      </c>
      <c r="E14" s="40">
        <v>50</v>
      </c>
      <c r="F14" s="4"/>
      <c r="G14" s="34">
        <v>-7</v>
      </c>
      <c r="H14" s="39">
        <v>2</v>
      </c>
      <c r="I14" s="40" t="s">
        <v>0</v>
      </c>
      <c r="J14" s="4"/>
    </row>
    <row r="15" spans="1:10" ht="12" customHeight="1">
      <c r="B15" s="65" t="s">
        <v>19</v>
      </c>
      <c r="C15" s="31">
        <v>297</v>
      </c>
      <c r="D15" s="32">
        <v>347</v>
      </c>
      <c r="E15" s="32">
        <v>-14</v>
      </c>
      <c r="F15" s="4"/>
      <c r="G15" s="31">
        <v>98</v>
      </c>
      <c r="H15" s="32">
        <v>125</v>
      </c>
      <c r="I15" s="32">
        <v>-22</v>
      </c>
      <c r="J15" s="4"/>
    </row>
    <row r="16" spans="1:10" ht="12" customHeight="1">
      <c r="B16" s="11" t="s">
        <v>50</v>
      </c>
      <c r="C16" s="34">
        <v>225</v>
      </c>
      <c r="D16" s="39">
        <v>283</v>
      </c>
      <c r="E16" s="39">
        <v>-20</v>
      </c>
      <c r="F16" s="4"/>
      <c r="G16" s="34">
        <v>74</v>
      </c>
      <c r="H16" s="39">
        <v>102</v>
      </c>
      <c r="I16" s="39">
        <v>-27</v>
      </c>
      <c r="J16" s="4"/>
    </row>
    <row r="17" spans="2:10" ht="12" customHeight="1">
      <c r="B17" s="55"/>
      <c r="C17" s="55"/>
      <c r="D17" s="39"/>
      <c r="E17" s="24"/>
      <c r="F17" s="4"/>
      <c r="G17" s="55"/>
      <c r="H17" s="39"/>
      <c r="I17" s="24"/>
      <c r="J17" s="4"/>
    </row>
    <row r="18" spans="2:10" ht="12" customHeight="1">
      <c r="B18" s="87" t="s">
        <v>51</v>
      </c>
      <c r="C18" s="86"/>
      <c r="D18" s="86"/>
      <c r="E18" s="108"/>
      <c r="F18" s="4"/>
      <c r="G18" s="86"/>
      <c r="H18" s="86"/>
      <c r="I18" s="108"/>
      <c r="J18" s="4"/>
    </row>
    <row r="19" spans="2:10" ht="12" customHeight="1">
      <c r="B19" s="99" t="s">
        <v>13</v>
      </c>
      <c r="C19" s="75">
        <v>0.29499999999999998</v>
      </c>
      <c r="D19" s="76">
        <v>0.371</v>
      </c>
      <c r="E19" s="64"/>
      <c r="F19" s="4"/>
      <c r="G19" s="75">
        <v>0.28999999999999998</v>
      </c>
      <c r="H19" s="76">
        <v>0.41200000000000003</v>
      </c>
      <c r="I19" s="64"/>
      <c r="J19" s="4"/>
    </row>
    <row r="20" spans="2:10" ht="12" customHeight="1">
      <c r="B20" s="41" t="s">
        <v>57</v>
      </c>
      <c r="C20" s="187">
        <v>1</v>
      </c>
      <c r="D20" s="474">
        <v>1</v>
      </c>
      <c r="E20" s="35"/>
      <c r="F20" s="4"/>
      <c r="G20" s="187">
        <v>1</v>
      </c>
      <c r="H20" s="474">
        <v>1</v>
      </c>
      <c r="I20" s="35"/>
      <c r="J20" s="4"/>
    </row>
    <row r="21" spans="2:10" ht="12" customHeight="1">
      <c r="B21" s="41" t="s">
        <v>44</v>
      </c>
      <c r="C21" s="74">
        <v>0.69000000000000006</v>
      </c>
      <c r="D21" s="73">
        <v>0.6</v>
      </c>
      <c r="E21" s="22"/>
      <c r="F21" s="4"/>
      <c r="G21" s="74">
        <v>0.68</v>
      </c>
      <c r="H21" s="73">
        <v>0.63</v>
      </c>
      <c r="I21" s="22"/>
      <c r="J21" s="4"/>
    </row>
    <row r="22" spans="2:10" ht="12" customHeight="1">
      <c r="B22" s="41" t="s">
        <v>53</v>
      </c>
      <c r="C22" s="77">
        <v>4</v>
      </c>
      <c r="D22" s="67">
        <v>7</v>
      </c>
      <c r="E22" s="39"/>
      <c r="F22" s="4"/>
      <c r="G22" s="77">
        <v>19</v>
      </c>
      <c r="H22" s="67">
        <v>-7</v>
      </c>
      <c r="I22" s="39"/>
      <c r="J22" s="4"/>
    </row>
    <row r="23" spans="2:10" ht="12" customHeight="1">
      <c r="B23" s="41"/>
      <c r="C23" s="178"/>
      <c r="D23" s="178"/>
      <c r="E23" s="179"/>
      <c r="F23" s="4"/>
      <c r="G23" s="178"/>
      <c r="H23" s="178"/>
      <c r="I23" s="179"/>
      <c r="J23" s="4"/>
    </row>
    <row r="24" spans="2:10" ht="12" customHeight="1">
      <c r="B24" s="87" t="s">
        <v>147</v>
      </c>
      <c r="C24" s="81" t="s">
        <v>43</v>
      </c>
      <c r="D24" s="81" t="s">
        <v>43</v>
      </c>
      <c r="E24" s="81"/>
      <c r="F24" s="4"/>
      <c r="G24" s="178"/>
      <c r="H24" s="178"/>
      <c r="I24" s="179"/>
      <c r="J24" s="4"/>
    </row>
    <row r="25" spans="2:10" ht="12" customHeight="1">
      <c r="B25" s="41" t="s">
        <v>200</v>
      </c>
      <c r="C25" s="96">
        <v>122.4</v>
      </c>
      <c r="D25" s="601">
        <v>105.4</v>
      </c>
      <c r="E25" s="179"/>
      <c r="F25" s="4"/>
      <c r="G25" s="178"/>
      <c r="H25" s="178"/>
      <c r="I25" s="179"/>
      <c r="J25" s="4"/>
    </row>
    <row r="26" spans="2:10" ht="12" customHeight="1">
      <c r="B26" s="41" t="s">
        <v>204</v>
      </c>
      <c r="C26" s="97">
        <v>201.5</v>
      </c>
      <c r="D26" s="94">
        <v>178.7</v>
      </c>
      <c r="E26" s="179"/>
      <c r="F26" s="4"/>
      <c r="G26" s="178"/>
      <c r="H26" s="178"/>
      <c r="I26" s="179"/>
      <c r="J26" s="4"/>
    </row>
    <row r="27" spans="2:10" ht="12" customHeight="1">
      <c r="B27" s="41"/>
      <c r="C27" s="178"/>
      <c r="D27" s="178"/>
      <c r="E27" s="179"/>
      <c r="F27" s="4"/>
      <c r="G27" s="178"/>
      <c r="H27" s="178"/>
      <c r="I27" s="179"/>
      <c r="J27" s="4"/>
    </row>
    <row r="28" spans="2:10" ht="12" customHeight="1">
      <c r="B28" s="11"/>
      <c r="C28" s="467" t="s">
        <v>169</v>
      </c>
      <c r="D28" s="467" t="s">
        <v>127</v>
      </c>
      <c r="E28" s="467" t="s">
        <v>170</v>
      </c>
      <c r="F28" s="4"/>
      <c r="G28" s="178"/>
      <c r="H28" s="178"/>
      <c r="I28" s="179"/>
      <c r="J28" s="4"/>
    </row>
    <row r="29" spans="2:10" ht="12" customHeight="1">
      <c r="B29" s="87" t="s">
        <v>56</v>
      </c>
      <c r="C29" s="81" t="s">
        <v>43</v>
      </c>
      <c r="D29" s="81" t="s">
        <v>43</v>
      </c>
      <c r="E29" s="81" t="s">
        <v>43</v>
      </c>
      <c r="F29" s="4"/>
      <c r="G29" s="178"/>
      <c r="H29" s="178"/>
      <c r="I29" s="179"/>
      <c r="J29" s="4"/>
    </row>
    <row r="30" spans="2:10" ht="10.5">
      <c r="B30" s="11" t="s">
        <v>26</v>
      </c>
      <c r="C30" s="96">
        <v>14</v>
      </c>
      <c r="D30" s="95">
        <v>13.6</v>
      </c>
      <c r="E30" s="95">
        <v>13.4</v>
      </c>
      <c r="F30" s="4"/>
      <c r="G30" s="178"/>
      <c r="H30" s="178"/>
      <c r="I30" s="179"/>
      <c r="J30" s="4"/>
    </row>
    <row r="31" spans="2:10" ht="12" customHeight="1">
      <c r="B31" s="11" t="s">
        <v>36</v>
      </c>
      <c r="C31" s="97">
        <v>64.8</v>
      </c>
      <c r="D31" s="94">
        <v>60.3</v>
      </c>
      <c r="E31" s="94">
        <v>59.7</v>
      </c>
      <c r="F31" s="4"/>
      <c r="G31" s="178"/>
      <c r="H31" s="178"/>
      <c r="I31" s="179"/>
      <c r="J31" s="1"/>
    </row>
    <row r="32" spans="2:10" ht="12" customHeight="1">
      <c r="B32" s="11" t="s">
        <v>28</v>
      </c>
      <c r="C32" s="97">
        <v>7.3</v>
      </c>
      <c r="D32" s="94">
        <v>7.2</v>
      </c>
      <c r="E32" s="94">
        <v>7.2</v>
      </c>
      <c r="F32" s="4"/>
      <c r="G32" s="178"/>
      <c r="H32" s="178"/>
      <c r="I32" s="179"/>
      <c r="J32" s="1"/>
    </row>
    <row r="33" spans="2:10" ht="12" customHeight="1">
      <c r="B33" s="23" t="s">
        <v>29</v>
      </c>
      <c r="C33" s="97">
        <v>1</v>
      </c>
      <c r="D33" s="94">
        <v>1</v>
      </c>
      <c r="E33" s="94">
        <v>1</v>
      </c>
      <c r="F33" s="4"/>
      <c r="G33" s="178"/>
      <c r="H33" s="178"/>
      <c r="I33" s="179"/>
      <c r="J33" s="1"/>
    </row>
    <row r="34" spans="2:10" ht="12" customHeight="1">
      <c r="C34" s="1"/>
      <c r="E34" s="25"/>
      <c r="F34" s="4"/>
      <c r="G34" s="178"/>
      <c r="H34" s="178"/>
      <c r="I34" s="179"/>
    </row>
    <row r="35" spans="2:10" ht="12" customHeight="1">
      <c r="C35" s="1"/>
      <c r="F35" s="1"/>
      <c r="G35" s="1"/>
      <c r="H35" s="1"/>
      <c r="I35" s="1"/>
    </row>
    <row r="36" spans="2:10" ht="12" customHeight="1">
      <c r="C36" s="1"/>
      <c r="F36" s="1"/>
      <c r="G36" s="1"/>
      <c r="H36" s="1"/>
      <c r="I36" s="1"/>
      <c r="J36" s="1"/>
    </row>
    <row r="37" spans="2:10" ht="12" customHeight="1">
      <c r="F37" s="1"/>
      <c r="G37" s="1"/>
      <c r="H37" s="1"/>
      <c r="I37" s="1"/>
      <c r="J37" s="1"/>
    </row>
    <row r="38" spans="2:10" ht="12" customHeight="1">
      <c r="J38" s="1"/>
    </row>
    <row r="39" spans="2:10" ht="12" customHeight="1">
      <c r="C39" s="1"/>
      <c r="J39" s="1"/>
    </row>
    <row r="40" spans="2:10" ht="12" customHeight="1">
      <c r="C40" s="1"/>
      <c r="F40" s="1"/>
      <c r="G40" s="1"/>
      <c r="H40" s="1"/>
      <c r="I40" s="1"/>
      <c r="J40" s="1"/>
    </row>
    <row r="41" spans="2:10" ht="12" customHeight="1">
      <c r="C41" s="1"/>
      <c r="F41" s="1"/>
      <c r="G41" s="1"/>
      <c r="H41" s="1"/>
      <c r="I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C43" s="1"/>
      <c r="F43" s="1"/>
      <c r="G43" s="1"/>
      <c r="H43" s="1"/>
      <c r="I43" s="1"/>
      <c r="J43" s="1"/>
    </row>
    <row r="44" spans="2:10" ht="12" customHeight="1">
      <c r="F44" s="1"/>
      <c r="G44" s="1"/>
      <c r="H44" s="1"/>
      <c r="I44" s="1"/>
      <c r="J44" s="1"/>
    </row>
    <row r="45" spans="2:10" ht="12" customHeight="1">
      <c r="C45" s="1"/>
      <c r="J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</row>
    <row r="48" spans="2:10" ht="12" customHeight="1">
      <c r="C48" s="1"/>
      <c r="F48" s="1"/>
      <c r="G48" s="1"/>
      <c r="H48" s="1"/>
      <c r="I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J51" s="1"/>
    </row>
    <row r="52" spans="3:10" ht="12" customHeight="1">
      <c r="C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C56" s="1"/>
      <c r="F56" s="1"/>
      <c r="G56" s="1"/>
      <c r="H56" s="1"/>
      <c r="I56" s="1"/>
      <c r="J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pans="3:10" ht="12" customHeight="1">
      <c r="C65" s="1"/>
      <c r="F65" s="1"/>
      <c r="G65" s="1"/>
      <c r="H65" s="1"/>
      <c r="I65" s="1"/>
      <c r="J65" s="1"/>
    </row>
    <row r="66" spans="3:10" ht="12" customHeight="1">
      <c r="C66" s="1"/>
      <c r="F66" s="1"/>
      <c r="G66" s="1"/>
      <c r="H66" s="1"/>
      <c r="I66" s="1"/>
      <c r="J66" s="1"/>
    </row>
    <row r="67" spans="3:10" ht="12" customHeight="1">
      <c r="C67" s="1"/>
      <c r="F67" s="1"/>
      <c r="G67" s="1"/>
      <c r="H67" s="1"/>
      <c r="I67" s="1"/>
      <c r="J67" s="1"/>
    </row>
    <row r="68" spans="3:10" ht="12" customHeight="1">
      <c r="C68" s="1"/>
      <c r="F68" s="1"/>
      <c r="G68" s="1"/>
      <c r="H68" s="1"/>
      <c r="I68" s="1"/>
      <c r="J68" s="1"/>
    </row>
    <row r="69" spans="3:10" ht="12" customHeight="1">
      <c r="C69" s="1"/>
      <c r="F69" s="1"/>
      <c r="G69" s="1"/>
      <c r="H69" s="1"/>
      <c r="I69" s="1"/>
      <c r="J69" s="1"/>
    </row>
    <row r="70" spans="3:10" ht="12" customHeight="1">
      <c r="C70" s="1"/>
      <c r="F70" s="1"/>
      <c r="G70" s="1"/>
      <c r="H70" s="1"/>
      <c r="I70" s="1"/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C76" s="1"/>
      <c r="F76" s="1"/>
      <c r="G76" s="1"/>
      <c r="H76" s="1"/>
      <c r="I76" s="1"/>
      <c r="J76" s="1"/>
    </row>
    <row r="77" spans="3:10" ht="12" customHeight="1">
      <c r="C77" s="1"/>
      <c r="F77" s="1"/>
      <c r="G77" s="1"/>
      <c r="H77" s="1"/>
      <c r="I77" s="1"/>
      <c r="J77" s="1"/>
    </row>
    <row r="78" spans="3:10" ht="12" customHeight="1">
      <c r="C78" s="1"/>
      <c r="F78" s="1"/>
      <c r="G78" s="1"/>
      <c r="H78" s="1"/>
      <c r="I78" s="1"/>
      <c r="J78" s="1"/>
    </row>
    <row r="79" spans="3:10" ht="12" customHeight="1">
      <c r="C79" s="1"/>
      <c r="F79" s="1"/>
      <c r="G79" s="1"/>
      <c r="H79" s="1"/>
      <c r="I79" s="1"/>
    </row>
    <row r="80" spans="3:10" ht="12" customHeight="1">
      <c r="C80" s="1"/>
      <c r="F80" s="1"/>
      <c r="G80" s="1"/>
      <c r="H80" s="1"/>
      <c r="I80" s="1"/>
      <c r="J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F82" s="1"/>
      <c r="G82" s="1"/>
      <c r="H82" s="1"/>
      <c r="I82" s="1"/>
      <c r="J82" s="1"/>
    </row>
    <row r="83" spans="3:10" ht="12" customHeight="1">
      <c r="C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</row>
    <row r="90" spans="3:10" ht="12" customHeight="1">
      <c r="C90" s="1"/>
      <c r="F90" s="1"/>
      <c r="G90" s="1"/>
      <c r="H90" s="1"/>
      <c r="I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F92" s="1"/>
      <c r="G92" s="1"/>
      <c r="H92" s="1"/>
      <c r="I92" s="1"/>
      <c r="J92" s="1"/>
    </row>
    <row r="93" spans="3:10" ht="12" customHeight="1">
      <c r="J93" s="1"/>
    </row>
    <row r="94" spans="3:10" ht="12" customHeight="1">
      <c r="C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</row>
    <row r="97" spans="3:9" ht="12" customHeight="1">
      <c r="F97" s="1"/>
      <c r="G97" s="1"/>
      <c r="H97" s="1"/>
      <c r="I97" s="1"/>
    </row>
    <row r="98" spans="3:9" ht="12" customHeight="1">
      <c r="C98" s="1"/>
    </row>
    <row r="99" spans="3:9" ht="12" customHeight="1">
      <c r="F99" s="1"/>
      <c r="G99" s="1"/>
      <c r="H99" s="1"/>
      <c r="I99" s="1"/>
    </row>
  </sheetData>
  <mergeCells count="2">
    <mergeCell ref="C2:E2"/>
    <mergeCell ref="G2:J2"/>
  </mergeCells>
  <pageMargins left="0.75" right="0.75" top="1" bottom="1" header="0.5" footer="0.5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J55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8" width="9.26953125" bestFit="1" customWidth="1"/>
    <col min="9" max="9" width="8.7265625" bestFit="1" customWidth="1"/>
    <col min="10" max="10" width="8" customWidth="1"/>
    <col min="11" max="54" width="8" style="1" customWidth="1"/>
    <col min="55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124</v>
      </c>
      <c r="C2" s="1137" t="s">
        <v>168</v>
      </c>
      <c r="D2" s="1137"/>
      <c r="E2" s="1137"/>
      <c r="F2" s="4"/>
      <c r="G2" s="1137" t="s">
        <v>100</v>
      </c>
      <c r="H2" s="1137"/>
      <c r="I2" s="1137"/>
      <c r="J2" s="4"/>
    </row>
    <row r="3" spans="1:10" ht="15.5">
      <c r="B3" s="19"/>
      <c r="C3" s="526">
        <v>45565</v>
      </c>
      <c r="D3" s="526">
        <v>45199</v>
      </c>
      <c r="E3" s="467"/>
      <c r="F3" s="330"/>
      <c r="G3" s="517">
        <v>45565</v>
      </c>
      <c r="H3" s="517">
        <v>45199</v>
      </c>
      <c r="I3" s="27"/>
      <c r="J3" s="4"/>
    </row>
    <row r="4" spans="1:10" ht="12" customHeight="1">
      <c r="B4" s="28" t="s">
        <v>46</v>
      </c>
      <c r="C4" s="50" t="s">
        <v>1</v>
      </c>
      <c r="D4" s="50" t="s">
        <v>1</v>
      </c>
      <c r="E4" s="29" t="s">
        <v>2</v>
      </c>
      <c r="F4" s="4"/>
      <c r="G4" s="50" t="s">
        <v>1</v>
      </c>
      <c r="H4" s="50" t="s">
        <v>1</v>
      </c>
      <c r="I4" s="29" t="s">
        <v>2</v>
      </c>
      <c r="J4" s="4"/>
    </row>
    <row r="5" spans="1:10" ht="12" customHeight="1">
      <c r="B5" s="52" t="s">
        <v>54</v>
      </c>
      <c r="C5" s="628">
        <v>747</v>
      </c>
      <c r="D5" s="38">
        <v>1111</v>
      </c>
      <c r="E5" s="38">
        <v>-33</v>
      </c>
      <c r="F5" s="4"/>
      <c r="G5" s="628">
        <v>282</v>
      </c>
      <c r="H5" s="38">
        <v>397</v>
      </c>
      <c r="I5" s="38">
        <v>-29</v>
      </c>
      <c r="J5" s="4"/>
    </row>
    <row r="6" spans="1:10" ht="12" customHeight="1">
      <c r="B6" s="55" t="s">
        <v>86</v>
      </c>
      <c r="C6" s="629">
        <v>4979</v>
      </c>
      <c r="D6" s="39">
        <v>5283</v>
      </c>
      <c r="E6" s="39">
        <v>-6</v>
      </c>
      <c r="F6" s="4"/>
      <c r="G6" s="629">
        <v>1512</v>
      </c>
      <c r="H6" s="39">
        <v>1497</v>
      </c>
      <c r="I6" s="39">
        <v>1</v>
      </c>
      <c r="J6" s="4"/>
    </row>
    <row r="7" spans="1:10" ht="13.5" customHeight="1">
      <c r="A7" s="62"/>
      <c r="B7" s="53" t="s">
        <v>84</v>
      </c>
      <c r="C7" s="630">
        <v>3472</v>
      </c>
      <c r="D7" s="40">
        <v>2604</v>
      </c>
      <c r="E7" s="40">
        <v>33</v>
      </c>
      <c r="F7" s="4"/>
      <c r="G7" s="630">
        <v>1057</v>
      </c>
      <c r="H7" s="40">
        <v>792</v>
      </c>
      <c r="I7" s="40">
        <v>33</v>
      </c>
      <c r="J7" s="4"/>
    </row>
    <row r="8" spans="1:10" ht="12" customHeight="1">
      <c r="B8" s="54" t="s">
        <v>18</v>
      </c>
      <c r="C8" s="631">
        <v>9198</v>
      </c>
      <c r="D8" s="32">
        <v>8998</v>
      </c>
      <c r="E8" s="32">
        <v>2</v>
      </c>
      <c r="F8" s="4"/>
      <c r="G8" s="631">
        <v>2851</v>
      </c>
      <c r="H8" s="32">
        <v>2686</v>
      </c>
      <c r="I8" s="32">
        <v>6</v>
      </c>
      <c r="J8" s="4"/>
    </row>
    <row r="9" spans="1:10" ht="12" customHeight="1">
      <c r="B9" s="55" t="s">
        <v>17</v>
      </c>
      <c r="C9" s="629">
        <v>-5763</v>
      </c>
      <c r="D9" s="39">
        <v>-5685</v>
      </c>
      <c r="E9" s="39">
        <v>-1</v>
      </c>
      <c r="F9" s="4"/>
      <c r="G9" s="629">
        <v>-1906</v>
      </c>
      <c r="H9" s="39">
        <v>-1840</v>
      </c>
      <c r="I9" s="39">
        <v>-4</v>
      </c>
      <c r="J9" s="4"/>
    </row>
    <row r="10" spans="1:10" ht="12" customHeight="1">
      <c r="B10" s="55" t="s">
        <v>136</v>
      </c>
      <c r="C10" s="629">
        <v>-26</v>
      </c>
      <c r="D10" s="39">
        <v>0</v>
      </c>
      <c r="E10" s="39"/>
      <c r="F10" s="4"/>
      <c r="G10" s="629">
        <v>7</v>
      </c>
      <c r="H10" s="39">
        <v>0</v>
      </c>
      <c r="I10" s="39"/>
      <c r="J10" s="4"/>
    </row>
    <row r="11" spans="1:10" ht="12" customHeight="1">
      <c r="B11" s="79" t="s">
        <v>3</v>
      </c>
      <c r="C11" s="630">
        <v>-29</v>
      </c>
      <c r="D11" s="40">
        <v>7</v>
      </c>
      <c r="E11" s="40" t="s">
        <v>0</v>
      </c>
      <c r="F11" s="4"/>
      <c r="G11" s="630">
        <v>-17</v>
      </c>
      <c r="H11" s="40">
        <v>6</v>
      </c>
      <c r="I11" s="40" t="s">
        <v>0</v>
      </c>
      <c r="J11" s="4"/>
    </row>
    <row r="12" spans="1:10" ht="12" customHeight="1">
      <c r="B12" s="65" t="s">
        <v>4</v>
      </c>
      <c r="C12" s="631">
        <v>-5818</v>
      </c>
      <c r="D12" s="32">
        <v>-5678</v>
      </c>
      <c r="E12" s="32">
        <v>-2</v>
      </c>
      <c r="F12" s="4"/>
      <c r="G12" s="631">
        <v>-1916</v>
      </c>
      <c r="H12" s="32">
        <v>-1834</v>
      </c>
      <c r="I12" s="32">
        <v>-4</v>
      </c>
      <c r="J12" s="4"/>
    </row>
    <row r="13" spans="1:10" ht="12" customHeight="1">
      <c r="B13" s="107" t="s">
        <v>49</v>
      </c>
      <c r="C13" s="630">
        <v>0</v>
      </c>
      <c r="D13" s="40">
        <v>1</v>
      </c>
      <c r="E13" s="40" t="s">
        <v>0</v>
      </c>
      <c r="F13" s="4"/>
      <c r="G13" s="630">
        <v>0</v>
      </c>
      <c r="H13" s="40">
        <v>2</v>
      </c>
      <c r="I13" s="40" t="s">
        <v>0</v>
      </c>
      <c r="J13" s="4"/>
    </row>
    <row r="14" spans="1:10" ht="12" customHeight="1">
      <c r="B14" s="173" t="s">
        <v>108</v>
      </c>
      <c r="C14" s="632">
        <v>3380</v>
      </c>
      <c r="D14" s="175">
        <v>3321</v>
      </c>
      <c r="E14" s="175">
        <v>2</v>
      </c>
      <c r="F14" s="4"/>
      <c r="G14" s="632">
        <v>935</v>
      </c>
      <c r="H14" s="175">
        <v>854</v>
      </c>
      <c r="I14" s="175">
        <v>9</v>
      </c>
      <c r="J14" s="4"/>
    </row>
    <row r="15" spans="1:10" ht="12" customHeight="1">
      <c r="B15" s="172" t="s">
        <v>74</v>
      </c>
      <c r="C15" s="629">
        <v>-77</v>
      </c>
      <c r="D15" s="39">
        <v>-79</v>
      </c>
      <c r="E15" s="39">
        <v>3</v>
      </c>
      <c r="F15" s="4"/>
      <c r="G15" s="629">
        <v>-43</v>
      </c>
      <c r="H15" s="39">
        <v>23</v>
      </c>
      <c r="I15" s="39" t="s">
        <v>0</v>
      </c>
      <c r="J15" s="4"/>
    </row>
    <row r="16" spans="1:10" ht="12" customHeight="1">
      <c r="B16" s="65" t="s">
        <v>19</v>
      </c>
      <c r="C16" s="631">
        <v>3303</v>
      </c>
      <c r="D16" s="32">
        <v>3242</v>
      </c>
      <c r="E16" s="32">
        <v>2</v>
      </c>
      <c r="F16" s="4"/>
      <c r="G16" s="631">
        <v>892</v>
      </c>
      <c r="H16" s="32">
        <v>877</v>
      </c>
      <c r="I16" s="32">
        <v>2</v>
      </c>
      <c r="J16" s="4"/>
    </row>
    <row r="17" spans="2:10" ht="12" customHeight="1">
      <c r="B17" s="11" t="s">
        <v>50</v>
      </c>
      <c r="C17" s="633">
        <v>2266</v>
      </c>
      <c r="D17" s="346">
        <v>2190</v>
      </c>
      <c r="E17" s="329">
        <v>3</v>
      </c>
      <c r="F17" s="330"/>
      <c r="G17" s="633">
        <v>652</v>
      </c>
      <c r="H17" s="346">
        <v>580</v>
      </c>
      <c r="I17" s="39">
        <v>12</v>
      </c>
      <c r="J17" s="4"/>
    </row>
    <row r="18" spans="2:10" ht="12" customHeight="1">
      <c r="B18" s="55"/>
      <c r="C18" s="55"/>
      <c r="D18" s="39"/>
      <c r="E18" s="24"/>
      <c r="F18" s="4"/>
      <c r="G18" s="55"/>
      <c r="H18" s="39"/>
      <c r="I18" s="24"/>
      <c r="J18" s="4"/>
    </row>
    <row r="19" spans="2:10" ht="12" customHeight="1">
      <c r="B19" s="87" t="s">
        <v>51</v>
      </c>
      <c r="C19" s="86"/>
      <c r="D19" s="86"/>
      <c r="E19" s="108"/>
      <c r="F19" s="4"/>
      <c r="G19" s="86"/>
      <c r="H19" s="86"/>
      <c r="I19" s="108"/>
      <c r="J19" s="4"/>
    </row>
    <row r="20" spans="2:10" ht="12" customHeight="1">
      <c r="B20" s="99" t="s">
        <v>13</v>
      </c>
      <c r="C20" s="634">
        <v>0.10099999999999999</v>
      </c>
      <c r="D20" s="367">
        <v>0.10099999999999999</v>
      </c>
      <c r="E20" s="452"/>
      <c r="F20" s="330"/>
      <c r="G20" s="366">
        <v>8.8000000000000009E-2</v>
      </c>
      <c r="H20" s="527">
        <v>0.08</v>
      </c>
      <c r="I20" s="64"/>
      <c r="J20" s="4"/>
    </row>
    <row r="21" spans="2:10" ht="12" customHeight="1">
      <c r="B21" s="41" t="s">
        <v>57</v>
      </c>
      <c r="C21" s="635">
        <v>29.8</v>
      </c>
      <c r="D21" s="625">
        <v>29</v>
      </c>
      <c r="E21" s="329"/>
      <c r="F21" s="330"/>
      <c r="G21" s="626">
        <v>29.5</v>
      </c>
      <c r="H21" s="569">
        <v>28.8</v>
      </c>
      <c r="I21" s="35"/>
      <c r="J21" s="4"/>
    </row>
    <row r="22" spans="2:10" ht="12" customHeight="1">
      <c r="B22" s="41" t="s">
        <v>44</v>
      </c>
      <c r="C22" s="636">
        <v>0.63</v>
      </c>
      <c r="D22" s="372">
        <v>0.63</v>
      </c>
      <c r="E22" s="329"/>
      <c r="F22" s="330"/>
      <c r="G22" s="483">
        <v>0.67</v>
      </c>
      <c r="H22" s="484">
        <v>0.68</v>
      </c>
      <c r="I22" s="22"/>
      <c r="J22" s="4"/>
    </row>
    <row r="23" spans="2:10" ht="12" customHeight="1">
      <c r="B23" s="41" t="s">
        <v>53</v>
      </c>
      <c r="C23" s="633">
        <v>9</v>
      </c>
      <c r="D23" s="346">
        <v>10</v>
      </c>
      <c r="E23" s="329"/>
      <c r="F23" s="330"/>
      <c r="G23" s="344">
        <v>15</v>
      </c>
      <c r="H23" s="346">
        <v>-8</v>
      </c>
      <c r="I23" s="39"/>
      <c r="J23" s="4"/>
    </row>
    <row r="24" spans="2:10" ht="12" customHeight="1">
      <c r="B24" s="41"/>
      <c r="C24" s="178"/>
      <c r="D24" s="178"/>
      <c r="E24" s="179"/>
      <c r="F24" s="4"/>
      <c r="G24" s="4"/>
      <c r="H24" s="4"/>
      <c r="I24" s="4"/>
      <c r="J24" s="4"/>
    </row>
    <row r="25" spans="2:10" ht="12" customHeight="1">
      <c r="B25" s="11"/>
      <c r="C25" s="380" t="s">
        <v>169</v>
      </c>
      <c r="D25" s="380" t="s">
        <v>127</v>
      </c>
      <c r="E25" s="380" t="s">
        <v>170</v>
      </c>
      <c r="F25" s="4"/>
      <c r="G25" s="4"/>
      <c r="H25" s="4"/>
      <c r="I25" s="4"/>
      <c r="J25" s="4"/>
    </row>
    <row r="26" spans="2:10" ht="12" customHeight="1">
      <c r="B26" s="87" t="s">
        <v>56</v>
      </c>
      <c r="C26" s="81" t="s">
        <v>43</v>
      </c>
      <c r="D26" s="81" t="s">
        <v>43</v>
      </c>
      <c r="E26" s="81" t="s">
        <v>43</v>
      </c>
      <c r="F26" s="4"/>
      <c r="G26" s="4"/>
      <c r="H26" s="4"/>
      <c r="I26" s="4"/>
      <c r="J26" s="4"/>
    </row>
    <row r="27" spans="2:10" ht="12" customHeight="1">
      <c r="B27" s="11" t="s">
        <v>42</v>
      </c>
      <c r="C27" s="637">
        <v>64.5</v>
      </c>
      <c r="D27" s="95">
        <v>62.7</v>
      </c>
      <c r="E27" s="95">
        <v>62.3</v>
      </c>
      <c r="F27" s="4"/>
      <c r="G27" s="4"/>
      <c r="H27" s="4"/>
      <c r="I27" s="4"/>
      <c r="J27" s="4"/>
    </row>
    <row r="28" spans="2:10" ht="12" customHeight="1">
      <c r="B28" s="11" t="s">
        <v>109</v>
      </c>
      <c r="C28" s="638">
        <v>6.7</v>
      </c>
      <c r="D28" s="94">
        <v>7.3</v>
      </c>
      <c r="E28" s="94">
        <v>9.5</v>
      </c>
      <c r="F28" s="4"/>
      <c r="G28" s="4"/>
      <c r="H28" s="4"/>
      <c r="I28" s="4"/>
      <c r="J28" s="4"/>
    </row>
    <row r="29" spans="2:10" ht="12" customHeight="1">
      <c r="B29" s="11" t="s">
        <v>110</v>
      </c>
      <c r="C29" s="638">
        <v>44.8</v>
      </c>
      <c r="D29" s="94">
        <v>38.9</v>
      </c>
      <c r="E29" s="94">
        <v>36.299999999999997</v>
      </c>
      <c r="F29" s="4"/>
      <c r="G29" s="4"/>
      <c r="H29" s="4"/>
      <c r="I29" s="4"/>
      <c r="J29" s="4"/>
    </row>
    <row r="30" spans="2:10" ht="14.15" customHeight="1">
      <c r="B30" s="65" t="s">
        <v>30</v>
      </c>
      <c r="C30" s="639">
        <v>116</v>
      </c>
      <c r="D30" s="98">
        <v>108.9</v>
      </c>
      <c r="E30" s="98">
        <v>108.1</v>
      </c>
      <c r="F30" s="4"/>
      <c r="G30" s="4"/>
      <c r="H30" s="4"/>
      <c r="I30" s="4"/>
      <c r="J30" s="4"/>
    </row>
    <row r="31" spans="2:10" ht="12" customHeight="1">
      <c r="B31" s="11" t="s">
        <v>32</v>
      </c>
      <c r="C31" s="638">
        <v>185.8</v>
      </c>
      <c r="D31" s="94">
        <v>174.5</v>
      </c>
      <c r="E31" s="94">
        <v>155.30000000000001</v>
      </c>
      <c r="F31" s="4"/>
      <c r="G31" s="4"/>
      <c r="H31" s="4"/>
      <c r="I31" s="4"/>
      <c r="J31" s="4"/>
    </row>
    <row r="32" spans="2:10" ht="12" customHeight="1">
      <c r="B32" s="11" t="s">
        <v>33</v>
      </c>
      <c r="C32" s="638">
        <v>256.7</v>
      </c>
      <c r="D32" s="94">
        <v>255.1</v>
      </c>
      <c r="E32" s="94">
        <v>280.39999999999998</v>
      </c>
      <c r="F32" s="4"/>
      <c r="G32" s="4"/>
      <c r="H32" s="4"/>
      <c r="I32" s="4"/>
      <c r="J32" s="4"/>
    </row>
    <row r="33" spans="2:10" ht="12" customHeight="1">
      <c r="B33" s="11" t="s">
        <v>34</v>
      </c>
      <c r="C33" s="638">
        <v>210.8</v>
      </c>
      <c r="D33" s="94">
        <v>202.5</v>
      </c>
      <c r="E33" s="94">
        <v>237.2</v>
      </c>
      <c r="F33" s="4"/>
      <c r="G33" s="4"/>
      <c r="H33" s="4"/>
      <c r="I33" s="4"/>
      <c r="J33" s="4"/>
    </row>
    <row r="34" spans="2:10" ht="10.5">
      <c r="B34" s="11" t="s">
        <v>31</v>
      </c>
      <c r="C34" s="638">
        <v>134.69999999999999</v>
      </c>
      <c r="D34" s="94">
        <v>102.3</v>
      </c>
      <c r="E34" s="94">
        <v>134.6</v>
      </c>
      <c r="F34" s="4"/>
      <c r="G34" s="4"/>
      <c r="H34" s="4"/>
      <c r="I34" s="4"/>
      <c r="J34" s="4"/>
    </row>
    <row r="35" spans="2:10" ht="12" customHeight="1">
      <c r="B35" s="11" t="s">
        <v>36</v>
      </c>
      <c r="C35" s="638">
        <v>139.80000000000001</v>
      </c>
      <c r="D35" s="326">
        <v>132.69999999999999</v>
      </c>
      <c r="E35" s="326">
        <v>154.19999999999999</v>
      </c>
      <c r="F35" s="4"/>
      <c r="G35" s="4"/>
      <c r="H35" s="4"/>
      <c r="I35" s="4"/>
      <c r="J35" s="4"/>
    </row>
    <row r="36" spans="2:10" ht="12" customHeight="1">
      <c r="B36" s="11" t="s">
        <v>35</v>
      </c>
      <c r="C36" s="638">
        <v>249.4</v>
      </c>
      <c r="D36" s="326">
        <v>249.7</v>
      </c>
      <c r="E36" s="326">
        <v>268.3</v>
      </c>
      <c r="F36" s="4"/>
      <c r="G36" s="4"/>
      <c r="H36" s="4"/>
      <c r="I36" s="4"/>
      <c r="J36" s="4"/>
    </row>
    <row r="37" spans="2:10" ht="12" customHeight="1">
      <c r="B37" s="11" t="s">
        <v>28</v>
      </c>
      <c r="C37" s="638">
        <v>194.2</v>
      </c>
      <c r="D37" s="326">
        <v>197.3</v>
      </c>
      <c r="E37" s="326">
        <v>201.1</v>
      </c>
      <c r="F37" s="4"/>
      <c r="G37" s="4"/>
      <c r="H37" s="4"/>
      <c r="I37" s="4"/>
      <c r="J37" s="4"/>
    </row>
    <row r="38" spans="2:10" ht="12" customHeight="1">
      <c r="B38" s="1" t="s">
        <v>29</v>
      </c>
      <c r="C38" s="640">
        <v>28.4</v>
      </c>
      <c r="D38" s="740">
        <v>29</v>
      </c>
      <c r="E38" s="741">
        <v>29</v>
      </c>
      <c r="F38" s="4"/>
      <c r="G38" s="4"/>
      <c r="H38" s="4"/>
      <c r="I38" s="4"/>
      <c r="J38" s="4"/>
    </row>
    <row r="39" spans="2:10" ht="12" customHeight="1">
      <c r="B39" s="55"/>
      <c r="C39" s="78"/>
      <c r="D39" s="78"/>
      <c r="E39" s="26"/>
      <c r="F39" s="49"/>
      <c r="G39" s="49"/>
      <c r="H39" s="49"/>
      <c r="I39" s="49"/>
      <c r="J39" s="49"/>
    </row>
    <row r="40" spans="2:10" ht="12" customHeight="1">
      <c r="B40" s="55"/>
      <c r="C40" s="1137" t="s">
        <v>168</v>
      </c>
      <c r="D40" s="1137"/>
      <c r="E40" s="1137"/>
      <c r="F40" s="49"/>
      <c r="G40" s="1137" t="s">
        <v>100</v>
      </c>
      <c r="H40" s="1137"/>
      <c r="I40" s="1137"/>
      <c r="J40" s="49"/>
    </row>
    <row r="41" spans="2:10" ht="12" customHeight="1">
      <c r="B41" s="55"/>
      <c r="C41" s="86">
        <v>45565</v>
      </c>
      <c r="D41" s="86">
        <v>45199</v>
      </c>
      <c r="E41" s="27"/>
      <c r="F41" s="49"/>
      <c r="G41" s="86">
        <v>45565</v>
      </c>
      <c r="H41" s="86">
        <v>45199</v>
      </c>
      <c r="I41" s="27"/>
      <c r="J41" s="49"/>
    </row>
    <row r="42" spans="2:10" ht="12" customHeight="1">
      <c r="B42" s="59" t="s">
        <v>92</v>
      </c>
      <c r="C42" s="50" t="s">
        <v>1</v>
      </c>
      <c r="D42" s="50" t="s">
        <v>1</v>
      </c>
      <c r="E42" s="29" t="s">
        <v>2</v>
      </c>
      <c r="F42" s="16"/>
      <c r="G42" s="50" t="s">
        <v>1</v>
      </c>
      <c r="H42" s="50" t="s">
        <v>1</v>
      </c>
      <c r="I42" s="29" t="s">
        <v>2</v>
      </c>
      <c r="J42" s="16"/>
    </row>
    <row r="43" spans="2:10" ht="12" customHeight="1">
      <c r="B43" s="327" t="s">
        <v>67</v>
      </c>
      <c r="C43" s="641">
        <v>3733</v>
      </c>
      <c r="D43" s="512">
        <v>4121</v>
      </c>
      <c r="E43" s="512">
        <v>-9</v>
      </c>
      <c r="F43" s="329"/>
      <c r="G43" s="528">
        <v>1180</v>
      </c>
      <c r="H43" s="512">
        <v>1147</v>
      </c>
      <c r="I43" s="486">
        <v>3</v>
      </c>
      <c r="J43" s="47"/>
    </row>
    <row r="44" spans="2:10" ht="12" customHeight="1">
      <c r="B44" s="328" t="s">
        <v>68</v>
      </c>
      <c r="C44" s="642">
        <v>2271</v>
      </c>
      <c r="D44" s="358">
        <v>1942</v>
      </c>
      <c r="E44" s="358">
        <v>17</v>
      </c>
      <c r="F44" s="329"/>
      <c r="G44" s="518">
        <v>692</v>
      </c>
      <c r="H44" s="358">
        <v>675</v>
      </c>
      <c r="I44" s="359">
        <v>3</v>
      </c>
      <c r="J44" s="49"/>
    </row>
    <row r="45" spans="2:10" ht="12" customHeight="1">
      <c r="B45" s="334" t="s">
        <v>99</v>
      </c>
      <c r="C45" s="643">
        <v>6004</v>
      </c>
      <c r="D45" s="355">
        <v>6063</v>
      </c>
      <c r="E45" s="355">
        <v>-1</v>
      </c>
      <c r="F45" s="329"/>
      <c r="G45" s="521">
        <v>1872</v>
      </c>
      <c r="H45" s="355">
        <v>1822</v>
      </c>
      <c r="I45" s="356">
        <v>3</v>
      </c>
      <c r="J45" s="46"/>
    </row>
    <row r="46" spans="2:10" ht="12" customHeight="1">
      <c r="B46" s="332" t="s">
        <v>70</v>
      </c>
      <c r="C46" s="633">
        <v>472</v>
      </c>
      <c r="D46" s="346">
        <v>422</v>
      </c>
      <c r="E46" s="346">
        <v>12</v>
      </c>
      <c r="F46" s="329"/>
      <c r="G46" s="344">
        <v>186</v>
      </c>
      <c r="H46" s="346">
        <v>80</v>
      </c>
      <c r="I46" s="329" t="s">
        <v>0</v>
      </c>
      <c r="J46" s="49"/>
    </row>
    <row r="47" spans="2:10" ht="12" customHeight="1">
      <c r="B47" s="332" t="s">
        <v>71</v>
      </c>
      <c r="C47" s="633">
        <v>253</v>
      </c>
      <c r="D47" s="346">
        <v>181</v>
      </c>
      <c r="E47" s="346">
        <v>40</v>
      </c>
      <c r="F47" s="329"/>
      <c r="G47" s="344">
        <v>64</v>
      </c>
      <c r="H47" s="346">
        <v>62</v>
      </c>
      <c r="I47" s="347">
        <v>3</v>
      </c>
      <c r="J47" s="8"/>
    </row>
    <row r="48" spans="2:10" ht="12" customHeight="1">
      <c r="B48" s="333" t="s">
        <v>69</v>
      </c>
      <c r="C48" s="642">
        <v>1165</v>
      </c>
      <c r="D48" s="358">
        <v>847</v>
      </c>
      <c r="E48" s="358">
        <v>38</v>
      </c>
      <c r="F48" s="362"/>
      <c r="G48" s="518">
        <v>344</v>
      </c>
      <c r="H48" s="358">
        <v>233</v>
      </c>
      <c r="I48" s="359">
        <v>48</v>
      </c>
      <c r="J48" s="13"/>
    </row>
    <row r="49" spans="2:10" ht="12" customHeight="1">
      <c r="B49" s="334" t="s">
        <v>160</v>
      </c>
      <c r="C49" s="644">
        <v>1890</v>
      </c>
      <c r="D49" s="512">
        <v>1450</v>
      </c>
      <c r="E49" s="512">
        <v>30</v>
      </c>
      <c r="F49" s="329"/>
      <c r="G49" s="529">
        <v>594</v>
      </c>
      <c r="H49" s="355">
        <v>375</v>
      </c>
      <c r="I49" s="486">
        <v>58</v>
      </c>
      <c r="J49" s="8"/>
    </row>
    <row r="50" spans="2:10" ht="12" customHeight="1">
      <c r="B50" s="332" t="s">
        <v>72</v>
      </c>
      <c r="C50" s="633">
        <v>108</v>
      </c>
      <c r="D50" s="346">
        <v>236</v>
      </c>
      <c r="E50" s="346">
        <v>-54</v>
      </c>
      <c r="F50" s="329"/>
      <c r="G50" s="344">
        <v>-21</v>
      </c>
      <c r="H50" s="346">
        <v>103</v>
      </c>
      <c r="I50" s="329" t="s">
        <v>0</v>
      </c>
      <c r="J50" s="8"/>
    </row>
    <row r="51" spans="2:10" ht="12" customHeight="1">
      <c r="B51" s="333" t="s">
        <v>73</v>
      </c>
      <c r="C51" s="642">
        <v>1196</v>
      </c>
      <c r="D51" s="358">
        <v>1249</v>
      </c>
      <c r="E51" s="358">
        <v>-4</v>
      </c>
      <c r="F51" s="329"/>
      <c r="G51" s="344">
        <v>406</v>
      </c>
      <c r="H51" s="346">
        <v>386</v>
      </c>
      <c r="I51" s="347">
        <v>5</v>
      </c>
      <c r="J51" s="8"/>
    </row>
    <row r="52" spans="2:10" ht="12" customHeight="1">
      <c r="B52" s="335" t="s">
        <v>138</v>
      </c>
      <c r="C52" s="644">
        <v>1304</v>
      </c>
      <c r="D52" s="512">
        <v>1485</v>
      </c>
      <c r="E52" s="512">
        <v>-12</v>
      </c>
      <c r="F52" s="329"/>
      <c r="G52" s="518">
        <v>385</v>
      </c>
      <c r="H52" s="584">
        <v>489</v>
      </c>
      <c r="I52" s="585">
        <v>-21</v>
      </c>
      <c r="J52" s="8"/>
    </row>
    <row r="53" spans="2:10" ht="12" customHeight="1">
      <c r="B53" s="65" t="s">
        <v>139</v>
      </c>
      <c r="C53" s="643">
        <v>3194</v>
      </c>
      <c r="D53" s="530">
        <v>2935</v>
      </c>
      <c r="E53" s="602">
        <v>9</v>
      </c>
      <c r="F53" s="362"/>
      <c r="G53" s="521">
        <v>979</v>
      </c>
      <c r="H53" s="586">
        <v>864</v>
      </c>
      <c r="I53" s="587">
        <v>13</v>
      </c>
      <c r="J53" s="8"/>
    </row>
    <row r="54" spans="2:10" ht="12" customHeight="1">
      <c r="B54" s="65" t="s">
        <v>18</v>
      </c>
      <c r="C54" s="643">
        <v>9198</v>
      </c>
      <c r="D54" s="355">
        <v>8998</v>
      </c>
      <c r="E54" s="355">
        <v>2</v>
      </c>
      <c r="F54" s="362"/>
      <c r="G54" s="521">
        <v>2851</v>
      </c>
      <c r="H54" s="345">
        <v>2686</v>
      </c>
      <c r="I54" s="356">
        <v>6</v>
      </c>
      <c r="J54" s="7"/>
    </row>
    <row r="55" spans="2:10" ht="12" customHeight="1">
      <c r="C55" s="1"/>
      <c r="E55" s="363"/>
    </row>
  </sheetData>
  <mergeCells count="4">
    <mergeCell ref="C2:E2"/>
    <mergeCell ref="G40:I40"/>
    <mergeCell ref="C40:E40"/>
    <mergeCell ref="G2:I2"/>
  </mergeCells>
  <pageMargins left="0.75" right="0.75" top="1" bottom="1" header="0.5" footer="0.5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J9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5.7265625" customWidth="1"/>
    <col min="7" max="8" width="11.453125" customWidth="1"/>
    <col min="9" max="9" width="10.26953125" customWidth="1"/>
    <col min="10" max="10" width="8" customWidth="1"/>
    <col min="11" max="55" width="8" style="1" customWidth="1"/>
    <col min="56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125</v>
      </c>
      <c r="C2" s="1137" t="s">
        <v>168</v>
      </c>
      <c r="D2" s="1137"/>
      <c r="E2" s="1137"/>
      <c r="F2" s="4"/>
      <c r="G2" s="1137" t="s">
        <v>100</v>
      </c>
      <c r="H2" s="1137"/>
      <c r="I2" s="1137"/>
      <c r="J2" s="4"/>
    </row>
    <row r="3" spans="1:10" ht="15.5">
      <c r="B3" s="19"/>
      <c r="C3" s="338">
        <v>45565</v>
      </c>
      <c r="D3" s="338">
        <v>45199</v>
      </c>
      <c r="E3"/>
      <c r="G3" s="338">
        <v>45565</v>
      </c>
      <c r="H3" s="338">
        <v>45199</v>
      </c>
      <c r="I3" s="27"/>
      <c r="J3" s="4"/>
    </row>
    <row r="4" spans="1:10" ht="12" customHeight="1">
      <c r="B4" s="28" t="s">
        <v>46</v>
      </c>
      <c r="C4" s="50" t="s">
        <v>1</v>
      </c>
      <c r="D4" s="50" t="s">
        <v>1</v>
      </c>
      <c r="E4" s="29" t="s">
        <v>2</v>
      </c>
      <c r="F4" s="4"/>
      <c r="G4" s="50" t="s">
        <v>1</v>
      </c>
      <c r="H4" s="50" t="s">
        <v>1</v>
      </c>
      <c r="I4" s="29" t="s">
        <v>2</v>
      </c>
      <c r="J4" s="4"/>
    </row>
    <row r="5" spans="1:10" ht="12" customHeight="1">
      <c r="B5" s="52" t="s">
        <v>54</v>
      </c>
      <c r="C5" s="628">
        <v>1981</v>
      </c>
      <c r="D5" s="38">
        <v>1918</v>
      </c>
      <c r="E5" s="38">
        <v>3</v>
      </c>
      <c r="F5" s="4"/>
      <c r="G5" s="628">
        <v>647</v>
      </c>
      <c r="H5" s="38">
        <v>662</v>
      </c>
      <c r="I5" s="38">
        <v>-2</v>
      </c>
      <c r="J5" s="4"/>
    </row>
    <row r="6" spans="1:10" ht="13.5" customHeight="1">
      <c r="A6" s="62"/>
      <c r="B6" s="79" t="s">
        <v>84</v>
      </c>
      <c r="C6" s="630">
        <v>488</v>
      </c>
      <c r="D6" s="40">
        <v>484</v>
      </c>
      <c r="E6" s="40">
        <v>1</v>
      </c>
      <c r="F6" s="4"/>
      <c r="G6" s="630">
        <v>144</v>
      </c>
      <c r="H6" s="40">
        <v>147</v>
      </c>
      <c r="I6" s="40">
        <v>-2</v>
      </c>
      <c r="J6" s="4"/>
    </row>
    <row r="7" spans="1:10" ht="12" customHeight="1">
      <c r="B7" s="54" t="s">
        <v>18</v>
      </c>
      <c r="C7" s="631">
        <v>2469</v>
      </c>
      <c r="D7" s="32">
        <v>2402</v>
      </c>
      <c r="E7" s="32">
        <v>3</v>
      </c>
      <c r="F7" s="4"/>
      <c r="G7" s="631">
        <v>791</v>
      </c>
      <c r="H7" s="32">
        <v>809</v>
      </c>
      <c r="I7" s="32">
        <v>-2</v>
      </c>
      <c r="J7" s="4"/>
    </row>
    <row r="8" spans="1:10" ht="12" customHeight="1">
      <c r="B8" s="55" t="s">
        <v>17</v>
      </c>
      <c r="C8" s="629">
        <v>-1179</v>
      </c>
      <c r="D8" s="39">
        <v>-1232</v>
      </c>
      <c r="E8" s="39">
        <v>4</v>
      </c>
      <c r="F8" s="4"/>
      <c r="G8" s="629">
        <v>-384</v>
      </c>
      <c r="H8" s="39">
        <v>-404</v>
      </c>
      <c r="I8" s="39">
        <v>5</v>
      </c>
      <c r="J8" s="4"/>
    </row>
    <row r="9" spans="1:10" ht="12" customHeight="1">
      <c r="B9" s="55" t="s">
        <v>136</v>
      </c>
      <c r="C9" s="629">
        <v>0</v>
      </c>
      <c r="D9" s="39">
        <v>0</v>
      </c>
      <c r="E9" s="39"/>
      <c r="F9" s="4"/>
      <c r="G9" s="629">
        <v>0</v>
      </c>
      <c r="H9" s="39">
        <v>0</v>
      </c>
      <c r="I9" s="39"/>
      <c r="J9" s="4"/>
    </row>
    <row r="10" spans="1:10" ht="12" customHeight="1">
      <c r="B10" s="79" t="s">
        <v>3</v>
      </c>
      <c r="C10" s="630">
        <v>-14</v>
      </c>
      <c r="D10" s="40">
        <v>-4</v>
      </c>
      <c r="E10" s="40" t="s">
        <v>0</v>
      </c>
      <c r="F10" s="4"/>
      <c r="G10" s="630">
        <v>-9</v>
      </c>
      <c r="H10" s="40">
        <v>0</v>
      </c>
      <c r="I10" s="40"/>
      <c r="J10" s="4"/>
    </row>
    <row r="11" spans="1:10" ht="12" customHeight="1">
      <c r="B11" s="65" t="s">
        <v>4</v>
      </c>
      <c r="C11" s="631">
        <v>-1193</v>
      </c>
      <c r="D11" s="32">
        <v>-1236</v>
      </c>
      <c r="E11" s="32">
        <v>3</v>
      </c>
      <c r="F11" s="4"/>
      <c r="G11" s="631">
        <v>-393</v>
      </c>
      <c r="H11" s="32">
        <v>-404</v>
      </c>
      <c r="I11" s="32">
        <v>3</v>
      </c>
      <c r="J11" s="4"/>
    </row>
    <row r="12" spans="1:10" ht="12" customHeight="1">
      <c r="B12" s="107" t="s">
        <v>49</v>
      </c>
      <c r="C12" s="630">
        <v>0</v>
      </c>
      <c r="D12" s="40">
        <v>0</v>
      </c>
      <c r="E12" s="40"/>
      <c r="F12" s="4"/>
      <c r="G12" s="630">
        <v>0</v>
      </c>
      <c r="H12" s="40">
        <v>0</v>
      </c>
      <c r="I12" s="40"/>
      <c r="J12" s="4"/>
    </row>
    <row r="13" spans="1:10" ht="12" customHeight="1">
      <c r="B13" s="173" t="s">
        <v>108</v>
      </c>
      <c r="C13" s="632">
        <v>1276</v>
      </c>
      <c r="D13" s="175">
        <v>1166</v>
      </c>
      <c r="E13" s="175">
        <v>9</v>
      </c>
      <c r="F13" s="4"/>
      <c r="G13" s="632">
        <v>398</v>
      </c>
      <c r="H13" s="175">
        <v>405</v>
      </c>
      <c r="I13" s="175">
        <v>-2</v>
      </c>
      <c r="J13" s="4"/>
    </row>
    <row r="14" spans="1:10" ht="12" customHeight="1">
      <c r="B14" s="172" t="s">
        <v>48</v>
      </c>
      <c r="C14" s="629">
        <v>-995</v>
      </c>
      <c r="D14" s="39">
        <v>-989</v>
      </c>
      <c r="E14" s="39">
        <v>-1</v>
      </c>
      <c r="F14" s="4"/>
      <c r="G14" s="629">
        <v>-276</v>
      </c>
      <c r="H14" s="39">
        <v>-404</v>
      </c>
      <c r="I14" s="39">
        <v>32</v>
      </c>
      <c r="J14" s="4"/>
    </row>
    <row r="15" spans="1:10" ht="12" customHeight="1">
      <c r="B15" s="65" t="s">
        <v>19</v>
      </c>
      <c r="C15" s="631">
        <v>281</v>
      </c>
      <c r="D15" s="32">
        <v>177</v>
      </c>
      <c r="E15" s="32">
        <v>59</v>
      </c>
      <c r="F15" s="4"/>
      <c r="G15" s="631">
        <v>122</v>
      </c>
      <c r="H15" s="32">
        <v>1</v>
      </c>
      <c r="I15" s="32" t="s">
        <v>0</v>
      </c>
      <c r="J15" s="4"/>
    </row>
    <row r="16" spans="1:10" ht="12" customHeight="1">
      <c r="B16" s="11" t="s">
        <v>50</v>
      </c>
      <c r="C16" s="629">
        <v>208</v>
      </c>
      <c r="D16" s="39">
        <v>134</v>
      </c>
      <c r="E16" s="39">
        <v>55</v>
      </c>
      <c r="F16" s="4"/>
      <c r="G16" s="629">
        <v>89</v>
      </c>
      <c r="H16" s="39">
        <v>3</v>
      </c>
      <c r="I16" s="39" t="s">
        <v>0</v>
      </c>
      <c r="J16" s="4"/>
    </row>
    <row r="17" spans="2:10" ht="12" customHeight="1">
      <c r="B17" s="55"/>
      <c r="C17" s="55"/>
      <c r="D17" s="39"/>
      <c r="E17" s="24"/>
      <c r="F17" s="4"/>
      <c r="G17" s="55"/>
      <c r="H17" s="39"/>
      <c r="I17" s="24"/>
      <c r="J17" s="4"/>
    </row>
    <row r="18" spans="2:10" ht="12" customHeight="1">
      <c r="B18" s="87" t="s">
        <v>51</v>
      </c>
      <c r="C18" s="86"/>
      <c r="D18" s="86"/>
      <c r="E18" s="108"/>
      <c r="F18" s="4"/>
      <c r="G18" s="86"/>
      <c r="H18" s="86"/>
      <c r="I18" s="108"/>
      <c r="J18" s="4"/>
    </row>
    <row r="19" spans="2:10" ht="12" customHeight="1">
      <c r="B19" s="99" t="s">
        <v>13</v>
      </c>
      <c r="C19" s="645">
        <v>8.4000000000000005E-2</v>
      </c>
      <c r="D19" s="76">
        <v>5.7000000000000002E-2</v>
      </c>
      <c r="E19" s="64"/>
      <c r="F19" s="4"/>
      <c r="G19" s="645">
        <v>0.109</v>
      </c>
      <c r="H19" s="76">
        <v>4.0000000000000001E-3</v>
      </c>
      <c r="I19" s="64"/>
      <c r="J19" s="4"/>
    </row>
    <row r="20" spans="2:10" ht="12" customHeight="1">
      <c r="B20" s="41" t="s">
        <v>57</v>
      </c>
      <c r="C20" s="646">
        <v>3.3</v>
      </c>
      <c r="D20" s="66">
        <v>3.2</v>
      </c>
      <c r="E20" s="35"/>
      <c r="F20" s="4"/>
      <c r="G20" s="646">
        <v>3.3</v>
      </c>
      <c r="H20" s="66">
        <v>3.1</v>
      </c>
      <c r="I20" s="35"/>
      <c r="J20" s="4"/>
    </row>
    <row r="21" spans="2:10" ht="12" customHeight="1">
      <c r="B21" s="41" t="s">
        <v>44</v>
      </c>
      <c r="C21" s="647">
        <v>0.48</v>
      </c>
      <c r="D21" s="73">
        <v>0.51</v>
      </c>
      <c r="E21" s="22"/>
      <c r="F21" s="4"/>
      <c r="G21" s="647">
        <v>0.5</v>
      </c>
      <c r="H21" s="73">
        <v>0.5</v>
      </c>
      <c r="I21" s="22"/>
      <c r="J21" s="4"/>
    </row>
    <row r="22" spans="2:10" ht="12" customHeight="1">
      <c r="B22" s="41" t="s">
        <v>53</v>
      </c>
      <c r="C22" s="648">
        <v>497</v>
      </c>
      <c r="D22" s="67">
        <v>480</v>
      </c>
      <c r="E22" s="39"/>
      <c r="F22" s="4"/>
      <c r="G22" s="648">
        <v>411</v>
      </c>
      <c r="H22" s="67">
        <v>582</v>
      </c>
      <c r="I22" s="39"/>
      <c r="J22" s="4"/>
    </row>
    <row r="23" spans="2:10" ht="12" customHeight="1">
      <c r="B23" s="41" t="s">
        <v>85</v>
      </c>
      <c r="C23" s="649">
        <v>10.64</v>
      </c>
      <c r="D23" s="531">
        <v>10.84</v>
      </c>
      <c r="E23"/>
      <c r="G23" s="649">
        <v>10.38</v>
      </c>
      <c r="H23" s="731">
        <v>0.10880000000000001</v>
      </c>
      <c r="I23" s="39"/>
      <c r="J23" s="4"/>
    </row>
    <row r="24" spans="2:10" ht="12" customHeight="1">
      <c r="B24" s="41"/>
      <c r="C24" s="178"/>
      <c r="D24" s="178"/>
      <c r="E24" s="179"/>
      <c r="F24" s="4"/>
      <c r="G24" s="4"/>
      <c r="H24" s="4"/>
      <c r="I24" s="4"/>
      <c r="J24" s="4"/>
    </row>
    <row r="25" spans="2:10" ht="12" customHeight="1">
      <c r="B25" s="11"/>
      <c r="C25" s="338" t="s">
        <v>169</v>
      </c>
      <c r="D25" s="338" t="s">
        <v>127</v>
      </c>
      <c r="E25" s="338" t="s">
        <v>170</v>
      </c>
      <c r="F25" s="4"/>
      <c r="G25" s="4"/>
      <c r="H25" s="4"/>
      <c r="I25" s="4"/>
      <c r="J25" s="4"/>
    </row>
    <row r="26" spans="2:10" ht="12" customHeight="1">
      <c r="B26" s="87" t="s">
        <v>56</v>
      </c>
      <c r="C26" s="81" t="s">
        <v>43</v>
      </c>
      <c r="D26" s="81" t="s">
        <v>43</v>
      </c>
      <c r="E26" s="81" t="s">
        <v>43</v>
      </c>
      <c r="F26" s="4"/>
      <c r="G26" s="4"/>
      <c r="H26" s="4"/>
      <c r="I26" s="4"/>
      <c r="J26" s="4"/>
    </row>
    <row r="27" spans="2:10" ht="12" customHeight="1">
      <c r="B27" s="11" t="s">
        <v>26</v>
      </c>
      <c r="C27" s="650">
        <v>23.2</v>
      </c>
      <c r="D27" s="499">
        <v>24.2</v>
      </c>
      <c r="E27" s="499">
        <v>24.3</v>
      </c>
      <c r="F27" s="4"/>
      <c r="G27" s="4"/>
      <c r="H27" s="4"/>
      <c r="I27" s="4"/>
      <c r="J27" s="4"/>
    </row>
    <row r="28" spans="2:10" ht="12" customHeight="1">
      <c r="B28" s="11" t="s">
        <v>36</v>
      </c>
      <c r="C28" s="651">
        <v>19.399999999999999</v>
      </c>
      <c r="D28" s="392">
        <v>19.7</v>
      </c>
      <c r="E28" s="392">
        <v>19.3</v>
      </c>
      <c r="F28" s="4"/>
      <c r="G28" s="4"/>
      <c r="H28" s="4"/>
      <c r="I28" s="4"/>
      <c r="J28" s="4"/>
    </row>
    <row r="29" spans="2:10" ht="12" customHeight="1">
      <c r="B29" s="11" t="s">
        <v>28</v>
      </c>
      <c r="C29" s="651">
        <v>23.2</v>
      </c>
      <c r="D29" s="392">
        <v>24.8</v>
      </c>
      <c r="E29" s="392">
        <v>24.1</v>
      </c>
      <c r="F29" s="4"/>
      <c r="G29" s="4"/>
      <c r="H29" s="4"/>
      <c r="I29" s="4"/>
      <c r="J29" s="4"/>
    </row>
    <row r="30" spans="2:10" ht="12" customHeight="1">
      <c r="B30" s="23" t="s">
        <v>29</v>
      </c>
      <c r="C30" s="651">
        <v>3.2</v>
      </c>
      <c r="D30" s="392">
        <v>3.4</v>
      </c>
      <c r="E30" s="392">
        <v>3.3</v>
      </c>
      <c r="F30" s="4"/>
      <c r="G30" s="4"/>
      <c r="H30" s="4"/>
      <c r="I30" s="4"/>
      <c r="J30" s="4"/>
    </row>
    <row r="31" spans="2:10" ht="12" customHeight="1">
      <c r="C31" s="1"/>
      <c r="E31" s="25"/>
      <c r="F31" s="4"/>
      <c r="G31" s="4"/>
      <c r="H31" s="4"/>
      <c r="I31" s="4"/>
      <c r="J31" s="4"/>
    </row>
    <row r="32" spans="2:10" ht="12" customHeight="1">
      <c r="C32" s="1"/>
      <c r="F32" s="1"/>
      <c r="G32" s="1"/>
      <c r="H32" s="1"/>
      <c r="I32" s="1"/>
      <c r="J32" s="1"/>
    </row>
    <row r="33" spans="3:10" ht="12" customHeight="1">
      <c r="C33" s="1"/>
      <c r="F33" s="1"/>
      <c r="G33" s="1"/>
      <c r="H33" s="1"/>
      <c r="I33" s="1"/>
      <c r="J33" s="1"/>
    </row>
    <row r="34" spans="3:10" ht="12" customHeight="1">
      <c r="F34" s="1"/>
      <c r="G34" s="1"/>
      <c r="H34" s="1"/>
      <c r="I34" s="1"/>
      <c r="J34" s="1"/>
    </row>
    <row r="36" spans="3:10" ht="12" customHeight="1">
      <c r="C36" s="1"/>
    </row>
    <row r="37" spans="3:10" ht="12" customHeight="1">
      <c r="C37" s="1"/>
      <c r="F37" s="1"/>
      <c r="G37" s="1"/>
      <c r="H37" s="1"/>
      <c r="I37" s="1"/>
      <c r="J37" s="1"/>
    </row>
    <row r="38" spans="3:10" ht="12" customHeight="1">
      <c r="C38" s="1"/>
      <c r="F38" s="1"/>
      <c r="G38" s="1"/>
      <c r="H38" s="1"/>
      <c r="I38" s="1"/>
      <c r="J38" s="1"/>
    </row>
    <row r="39" spans="3:10" ht="12" customHeight="1">
      <c r="C39" s="1"/>
      <c r="F39" s="1"/>
      <c r="G39" s="1"/>
      <c r="H39" s="1"/>
      <c r="I39" s="1"/>
      <c r="J39" s="1"/>
    </row>
    <row r="40" spans="3:10" ht="12" customHeight="1">
      <c r="C40" s="1"/>
      <c r="F40" s="1"/>
      <c r="G40" s="1"/>
      <c r="H40" s="1"/>
      <c r="I40" s="1"/>
      <c r="J40" s="1"/>
    </row>
    <row r="41" spans="3:10" ht="12" customHeight="1">
      <c r="F41" s="1"/>
      <c r="G41" s="1"/>
      <c r="H41" s="1"/>
      <c r="I41" s="1"/>
      <c r="J41" s="1"/>
    </row>
    <row r="42" spans="3:10" ht="12" customHeight="1">
      <c r="C42" s="1"/>
    </row>
    <row r="43" spans="3:10" ht="12" customHeight="1">
      <c r="C43" s="1"/>
      <c r="F43" s="1"/>
      <c r="G43" s="1"/>
      <c r="H43" s="1"/>
      <c r="I43" s="1"/>
      <c r="J43" s="1"/>
    </row>
    <row r="44" spans="3:10" ht="12" customHeight="1">
      <c r="C44" s="1"/>
      <c r="F44" s="1"/>
      <c r="G44" s="1"/>
      <c r="H44" s="1"/>
      <c r="I44" s="1"/>
      <c r="J44" s="1"/>
    </row>
    <row r="45" spans="3:10" ht="12" customHeight="1">
      <c r="C45" s="1"/>
      <c r="F45" s="1"/>
      <c r="G45" s="1"/>
      <c r="H45" s="1"/>
      <c r="I45" s="1"/>
      <c r="J45" s="1"/>
    </row>
    <row r="46" spans="3:10" ht="12" customHeight="1">
      <c r="C46" s="1"/>
      <c r="F46" s="1"/>
      <c r="G46" s="1"/>
      <c r="H46" s="1"/>
      <c r="I46" s="1"/>
      <c r="J46" s="1"/>
    </row>
    <row r="47" spans="3:10" ht="12" customHeight="1">
      <c r="F47" s="1"/>
      <c r="G47" s="1"/>
      <c r="H47" s="1"/>
      <c r="I47" s="1"/>
      <c r="J47" s="1"/>
    </row>
    <row r="49" spans="3:10" ht="12" customHeight="1">
      <c r="C49" s="1"/>
    </row>
    <row r="50" spans="3:10" ht="12" customHeight="1">
      <c r="C50" s="1"/>
      <c r="F50" s="1"/>
      <c r="G50" s="1"/>
      <c r="H50" s="1"/>
      <c r="I50" s="1"/>
      <c r="J50" s="1"/>
    </row>
    <row r="51" spans="3:10" ht="12" customHeight="1">
      <c r="C51" s="1"/>
      <c r="F51" s="1"/>
      <c r="G51" s="1"/>
      <c r="H51" s="1"/>
      <c r="I51" s="1"/>
      <c r="J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C56" s="1"/>
      <c r="F56" s="1"/>
      <c r="G56" s="1"/>
      <c r="H56" s="1"/>
      <c r="I56" s="1"/>
      <c r="J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pans="3:10" ht="12" customHeight="1">
      <c r="C65" s="1"/>
      <c r="F65" s="1"/>
      <c r="G65" s="1"/>
      <c r="H65" s="1"/>
      <c r="I65" s="1"/>
      <c r="J65" s="1"/>
    </row>
    <row r="66" spans="3:10" ht="12" customHeight="1">
      <c r="C66" s="1"/>
      <c r="F66" s="1"/>
      <c r="G66" s="1"/>
      <c r="H66" s="1"/>
      <c r="I66" s="1"/>
      <c r="J66" s="1"/>
    </row>
    <row r="67" spans="3:10" ht="12" customHeight="1">
      <c r="C67" s="1"/>
      <c r="F67" s="1"/>
      <c r="G67" s="1"/>
      <c r="H67" s="1"/>
      <c r="I67" s="1"/>
      <c r="J67" s="1"/>
    </row>
    <row r="68" spans="3:10" ht="12" customHeight="1">
      <c r="C68" s="1"/>
      <c r="F68" s="1"/>
      <c r="G68" s="1"/>
      <c r="H68" s="1"/>
      <c r="I68" s="1"/>
      <c r="J68" s="1"/>
    </row>
    <row r="69" spans="3:10" ht="12" customHeight="1">
      <c r="C69" s="1"/>
      <c r="F69" s="1"/>
      <c r="G69" s="1"/>
      <c r="H69" s="1"/>
      <c r="I69" s="1"/>
      <c r="J69" s="1"/>
    </row>
    <row r="70" spans="3:10" ht="12" customHeight="1">
      <c r="C70" s="1"/>
      <c r="F70" s="1"/>
      <c r="G70" s="1"/>
      <c r="H70" s="1"/>
      <c r="I70" s="1"/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C76" s="1"/>
      <c r="F76" s="1"/>
      <c r="G76" s="1"/>
      <c r="H76" s="1"/>
      <c r="I76" s="1"/>
      <c r="J76" s="1"/>
    </row>
    <row r="77" spans="3:10" ht="12" customHeight="1">
      <c r="C77" s="1"/>
      <c r="F77" s="1"/>
      <c r="G77" s="1"/>
      <c r="H77" s="1"/>
      <c r="I77" s="1"/>
      <c r="J77" s="1"/>
    </row>
    <row r="78" spans="3:10" ht="12" customHeight="1">
      <c r="C78" s="1"/>
      <c r="F78" s="1"/>
      <c r="G78" s="1"/>
      <c r="H78" s="1"/>
      <c r="I78" s="1"/>
      <c r="J78" s="1"/>
    </row>
    <row r="79" spans="3:10" ht="12" customHeight="1">
      <c r="F79" s="1"/>
      <c r="G79" s="1"/>
      <c r="H79" s="1"/>
      <c r="I79" s="1"/>
      <c r="J79" s="1"/>
    </row>
    <row r="80" spans="3:10" ht="12" customHeight="1">
      <c r="C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F89" s="1"/>
      <c r="G89" s="1"/>
      <c r="H89" s="1"/>
      <c r="I89" s="1"/>
      <c r="J89" s="1"/>
    </row>
    <row r="91" spans="3:10" ht="12" customHeight="1">
      <c r="C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F94" s="1"/>
      <c r="G94" s="1"/>
      <c r="H94" s="1"/>
      <c r="I94" s="1"/>
      <c r="J94" s="1"/>
    </row>
    <row r="95" spans="3:10" ht="12" customHeight="1">
      <c r="C95" s="1"/>
    </row>
    <row r="96" spans="3:10" ht="12" customHeight="1">
      <c r="F96" s="1"/>
      <c r="G96" s="1"/>
      <c r="H96" s="1"/>
      <c r="I96" s="1"/>
      <c r="J96" s="1"/>
    </row>
  </sheetData>
  <mergeCells count="2">
    <mergeCell ref="C2:E2"/>
    <mergeCell ref="G2:I2"/>
  </mergeCells>
  <pageMargins left="0.75" right="0.75" top="1" bottom="1" header="0.5" footer="0.5"/>
  <pageSetup paperSize="9" scale="4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J162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" style="1" bestFit="1" customWidth="1"/>
    <col min="3" max="3" width="15.81640625" style="14" bestFit="1" customWidth="1"/>
    <col min="4" max="4" width="15.81640625" style="1" bestFit="1" customWidth="1"/>
    <col min="5" max="5" width="15.453125" style="1" customWidth="1"/>
    <col min="6" max="6" width="8" customWidth="1"/>
    <col min="7" max="8" width="9.1796875" bestFit="1" customWidth="1"/>
    <col min="9" max="10" width="8" customWidth="1"/>
    <col min="11" max="64" width="8" style="1" customWidth="1"/>
    <col min="65" max="16384" width="9" style="1"/>
  </cols>
  <sheetData>
    <row r="1" spans="2:10" ht="12.75" customHeight="1">
      <c r="D1" s="15"/>
      <c r="E1" s="15"/>
      <c r="F1" s="4"/>
      <c r="G1" s="4"/>
      <c r="H1" s="4"/>
      <c r="I1" s="4"/>
      <c r="J1" s="4"/>
    </row>
    <row r="2" spans="2:10" ht="12.75" customHeight="1">
      <c r="B2" s="19" t="s">
        <v>96</v>
      </c>
      <c r="C2" s="1139" t="s">
        <v>168</v>
      </c>
      <c r="D2" s="1139"/>
      <c r="E2" s="1139"/>
      <c r="F2" s="330"/>
      <c r="G2" s="1139" t="s">
        <v>100</v>
      </c>
      <c r="H2" s="1139"/>
      <c r="I2" s="1139"/>
      <c r="J2" s="4"/>
    </row>
    <row r="3" spans="2:10" ht="12" customHeight="1">
      <c r="B3" s="19"/>
      <c r="C3" s="517">
        <v>45565</v>
      </c>
      <c r="D3" s="517">
        <v>45199</v>
      </c>
      <c r="E3" s="380"/>
      <c r="F3" s="330"/>
      <c r="G3" s="517">
        <v>45565</v>
      </c>
      <c r="H3" s="517">
        <v>45199</v>
      </c>
      <c r="I3" s="380"/>
      <c r="J3" s="4"/>
    </row>
    <row r="4" spans="2:10" ht="12" customHeight="1">
      <c r="B4" s="28" t="s">
        <v>46</v>
      </c>
      <c r="C4" s="169" t="s">
        <v>1</v>
      </c>
      <c r="D4" s="169" t="s">
        <v>1</v>
      </c>
      <c r="E4" s="170" t="s">
        <v>2</v>
      </c>
      <c r="F4" s="4"/>
      <c r="G4" s="169" t="s">
        <v>1</v>
      </c>
      <c r="H4" s="169" t="s">
        <v>1</v>
      </c>
      <c r="I4" s="170" t="s">
        <v>2</v>
      </c>
      <c r="J4" s="4"/>
    </row>
    <row r="5" spans="2:10" ht="12" customHeight="1">
      <c r="B5" s="111" t="s">
        <v>87</v>
      </c>
      <c r="C5" s="652">
        <v>463</v>
      </c>
      <c r="D5" s="764">
        <v>185</v>
      </c>
      <c r="E5" s="129" t="s">
        <v>0</v>
      </c>
      <c r="F5" s="4"/>
      <c r="G5" s="652">
        <v>215</v>
      </c>
      <c r="H5" s="128">
        <v>87</v>
      </c>
      <c r="I5" s="129" t="s">
        <v>0</v>
      </c>
      <c r="J5" s="4"/>
    </row>
    <row r="6" spans="2:10" ht="12" customHeight="1">
      <c r="B6" s="116" t="s">
        <v>55</v>
      </c>
      <c r="C6" s="653">
        <v>-245</v>
      </c>
      <c r="D6" s="576">
        <v>130</v>
      </c>
      <c r="E6" s="131" t="s">
        <v>0</v>
      </c>
      <c r="F6" s="4"/>
      <c r="G6" s="653">
        <v>-27</v>
      </c>
      <c r="H6" s="130">
        <v>26</v>
      </c>
      <c r="I6" s="131" t="s">
        <v>0</v>
      </c>
      <c r="J6" s="4"/>
    </row>
    <row r="7" spans="2:10" ht="12" customHeight="1">
      <c r="B7" s="115" t="s">
        <v>18</v>
      </c>
      <c r="C7" s="654">
        <v>218</v>
      </c>
      <c r="D7" s="577">
        <v>315</v>
      </c>
      <c r="E7" s="133">
        <v>-31</v>
      </c>
      <c r="F7" s="4"/>
      <c r="G7" s="654">
        <v>188</v>
      </c>
      <c r="H7" s="132">
        <v>113</v>
      </c>
      <c r="I7" s="133">
        <v>66</v>
      </c>
      <c r="J7" s="4"/>
    </row>
    <row r="8" spans="2:10" ht="10.5">
      <c r="B8" s="114" t="s">
        <v>17</v>
      </c>
      <c r="C8" s="655">
        <v>-603</v>
      </c>
      <c r="D8" s="575">
        <v>-635</v>
      </c>
      <c r="E8" s="134">
        <v>5</v>
      </c>
      <c r="F8" s="4"/>
      <c r="G8" s="655">
        <v>-197</v>
      </c>
      <c r="H8" s="575">
        <v>-210</v>
      </c>
      <c r="I8" s="134">
        <v>6</v>
      </c>
      <c r="J8" s="4"/>
    </row>
    <row r="9" spans="2:10" ht="10.5">
      <c r="B9" s="114" t="s">
        <v>136</v>
      </c>
      <c r="C9" s="655">
        <v>0</v>
      </c>
      <c r="D9" s="575">
        <v>0</v>
      </c>
      <c r="E9" s="134"/>
      <c r="F9" s="4"/>
      <c r="G9" s="655">
        <v>0</v>
      </c>
      <c r="H9" s="575">
        <v>0</v>
      </c>
      <c r="I9" s="134"/>
      <c r="J9" s="4"/>
    </row>
    <row r="10" spans="2:10" ht="12" customHeight="1">
      <c r="B10" s="116" t="s">
        <v>3</v>
      </c>
      <c r="C10" s="653">
        <v>-50</v>
      </c>
      <c r="D10" s="576">
        <v>-49</v>
      </c>
      <c r="E10" s="131">
        <v>-2</v>
      </c>
      <c r="F10" s="4"/>
      <c r="G10" s="653">
        <v>-7</v>
      </c>
      <c r="H10" s="576">
        <v>-16</v>
      </c>
      <c r="I10" s="131">
        <v>56</v>
      </c>
      <c r="J10" s="4"/>
    </row>
    <row r="11" spans="2:10" ht="12" customHeight="1">
      <c r="B11" s="115" t="s">
        <v>4</v>
      </c>
      <c r="C11" s="654">
        <v>-653</v>
      </c>
      <c r="D11" s="577">
        <v>-684</v>
      </c>
      <c r="E11" s="133">
        <v>5</v>
      </c>
      <c r="F11" s="4"/>
      <c r="G11" s="654">
        <v>-204</v>
      </c>
      <c r="H11" s="577">
        <v>-226</v>
      </c>
      <c r="I11" s="133">
        <v>10</v>
      </c>
      <c r="J11" s="4"/>
    </row>
    <row r="12" spans="2:10" ht="12" customHeight="1">
      <c r="B12" s="135" t="s">
        <v>49</v>
      </c>
      <c r="C12" s="653">
        <v>37</v>
      </c>
      <c r="D12" s="576">
        <v>4</v>
      </c>
      <c r="E12" s="131" t="s">
        <v>0</v>
      </c>
      <c r="F12" s="4"/>
      <c r="G12" s="653">
        <v>21</v>
      </c>
      <c r="H12" s="576">
        <v>7</v>
      </c>
      <c r="I12" s="131" t="s">
        <v>0</v>
      </c>
      <c r="J12" s="4"/>
    </row>
    <row r="13" spans="2:10" ht="12" customHeight="1">
      <c r="B13" s="314" t="s">
        <v>201</v>
      </c>
      <c r="C13" s="656">
        <v>-398</v>
      </c>
      <c r="D13" s="578">
        <v>-365</v>
      </c>
      <c r="E13" s="315">
        <v>-9</v>
      </c>
      <c r="F13" s="4"/>
      <c r="G13" s="656">
        <v>5</v>
      </c>
      <c r="H13" s="578">
        <v>-106</v>
      </c>
      <c r="I13" s="315" t="s">
        <v>0</v>
      </c>
      <c r="J13" s="4"/>
    </row>
    <row r="14" spans="2:10" ht="12" customHeight="1">
      <c r="B14" s="176" t="s">
        <v>74</v>
      </c>
      <c r="C14" s="655">
        <v>-77</v>
      </c>
      <c r="D14" s="575">
        <v>-31</v>
      </c>
      <c r="E14" s="131" t="s">
        <v>0</v>
      </c>
      <c r="F14" s="4"/>
      <c r="G14" s="655">
        <v>-19</v>
      </c>
      <c r="H14" s="177">
        <v>20</v>
      </c>
      <c r="I14" s="131" t="s">
        <v>0</v>
      </c>
      <c r="J14" s="4"/>
    </row>
    <row r="15" spans="2:10" ht="12" customHeight="1">
      <c r="B15" s="115" t="s">
        <v>75</v>
      </c>
      <c r="C15" s="654">
        <v>-475</v>
      </c>
      <c r="D15" s="577">
        <v>-396</v>
      </c>
      <c r="E15" s="133">
        <v>-20</v>
      </c>
      <c r="F15" s="4"/>
      <c r="G15" s="654">
        <v>-14</v>
      </c>
      <c r="H15" s="132">
        <v>-86</v>
      </c>
      <c r="I15" s="133">
        <v>84</v>
      </c>
      <c r="J15" s="4"/>
    </row>
    <row r="16" spans="2:10" ht="12" customHeight="1">
      <c r="B16" s="114" t="s">
        <v>76</v>
      </c>
      <c r="C16" s="633">
        <v>-424</v>
      </c>
      <c r="D16" s="346">
        <v>-327</v>
      </c>
      <c r="E16" s="134">
        <v>-30</v>
      </c>
      <c r="F16" s="330"/>
      <c r="G16" s="633">
        <v>-16</v>
      </c>
      <c r="H16" s="347">
        <v>-71</v>
      </c>
      <c r="I16" s="393">
        <v>77</v>
      </c>
      <c r="J16" s="4"/>
    </row>
    <row r="17" spans="2:10" ht="12" customHeight="1">
      <c r="B17" s="55"/>
      <c r="C17" s="55"/>
      <c r="D17" s="61"/>
      <c r="E17" s="88"/>
      <c r="F17" s="4"/>
      <c r="G17" s="55"/>
      <c r="H17" s="61"/>
      <c r="I17" s="88"/>
      <c r="J17" s="4"/>
    </row>
    <row r="18" spans="2:10" ht="12" customHeight="1">
      <c r="B18" s="117" t="s">
        <v>51</v>
      </c>
      <c r="C18" s="136"/>
      <c r="D18" s="136"/>
      <c r="E18" s="137"/>
      <c r="F18" s="4"/>
      <c r="G18" s="136"/>
      <c r="H18" s="136"/>
      <c r="I18" s="137"/>
      <c r="J18" s="4"/>
    </row>
    <row r="19" spans="2:10" ht="12" customHeight="1">
      <c r="B19" s="111" t="s">
        <v>57</v>
      </c>
      <c r="C19" s="603">
        <v>2.8</v>
      </c>
      <c r="D19" s="604">
        <v>0.7</v>
      </c>
      <c r="E19" s="475"/>
      <c r="F19" s="605"/>
      <c r="G19" s="603">
        <v>3.5</v>
      </c>
      <c r="H19" s="532">
        <v>0.7</v>
      </c>
      <c r="I19" s="138"/>
      <c r="J19" s="4"/>
    </row>
    <row r="20" spans="2:10" ht="12" customHeight="1">
      <c r="C20" s="35"/>
      <c r="D20" s="35"/>
      <c r="E20" s="36"/>
      <c r="F20" s="4"/>
      <c r="G20" s="35"/>
      <c r="H20" s="35"/>
      <c r="I20" s="36"/>
      <c r="J20" s="4"/>
    </row>
    <row r="21" spans="2:10" ht="12" customHeight="1">
      <c r="B21" s="114"/>
      <c r="C21" s="123" t="s">
        <v>169</v>
      </c>
      <c r="D21" s="123" t="s">
        <v>127</v>
      </c>
      <c r="E21" s="123" t="s">
        <v>170</v>
      </c>
      <c r="F21" s="4"/>
      <c r="G21" s="123"/>
      <c r="H21" s="123"/>
      <c r="I21" s="123"/>
      <c r="J21" s="4"/>
    </row>
    <row r="22" spans="2:10" ht="12" customHeight="1">
      <c r="B22" s="117" t="s">
        <v>56</v>
      </c>
      <c r="C22" s="139" t="s">
        <v>43</v>
      </c>
      <c r="D22" s="139" t="s">
        <v>43</v>
      </c>
      <c r="E22" s="124" t="s">
        <v>43</v>
      </c>
      <c r="F22" s="4"/>
      <c r="G22" s="123"/>
      <c r="H22" s="123"/>
      <c r="I22" s="123"/>
      <c r="J22" s="4"/>
    </row>
    <row r="23" spans="2:10" ht="12" customHeight="1">
      <c r="B23" s="114" t="s">
        <v>28</v>
      </c>
      <c r="C23" s="657">
        <v>16.100000000000001</v>
      </c>
      <c r="D23" s="121">
        <v>19</v>
      </c>
      <c r="E23" s="180">
        <v>16.8</v>
      </c>
      <c r="F23" s="4"/>
      <c r="G23" s="123"/>
      <c r="H23" s="123"/>
      <c r="I23" s="123"/>
      <c r="J23" s="4"/>
    </row>
    <row r="24" spans="2:10" ht="12" customHeight="1">
      <c r="B24" s="114" t="s">
        <v>29</v>
      </c>
      <c r="C24" s="657">
        <v>4.9000000000000004</v>
      </c>
      <c r="D24" s="121">
        <v>3.6</v>
      </c>
      <c r="E24" s="121">
        <v>2</v>
      </c>
      <c r="F24" s="4"/>
      <c r="G24" s="123"/>
      <c r="H24" s="123"/>
      <c r="I24" s="123"/>
      <c r="J24" s="4"/>
    </row>
    <row r="25" spans="2:10" ht="12" customHeight="1">
      <c r="B25" s="55"/>
      <c r="C25" s="55"/>
      <c r="D25" s="55"/>
      <c r="E25" s="69"/>
      <c r="F25" s="4"/>
      <c r="G25" s="4"/>
      <c r="H25" s="4"/>
      <c r="I25" s="4"/>
      <c r="J25" s="4"/>
    </row>
    <row r="26" spans="2:10" ht="12" customHeight="1">
      <c r="B26" s="55"/>
      <c r="C26" s="20"/>
      <c r="D26" s="20"/>
      <c r="E26" s="58"/>
      <c r="F26" s="4"/>
      <c r="G26" s="4"/>
      <c r="H26" s="4"/>
      <c r="I26" s="4"/>
      <c r="J26" s="4"/>
    </row>
    <row r="27" spans="2:10" ht="12" customHeight="1">
      <c r="C27" s="1"/>
      <c r="F27" s="1"/>
      <c r="G27" s="1"/>
      <c r="H27" s="1"/>
      <c r="I27" s="1"/>
      <c r="J27" s="1"/>
    </row>
    <row r="28" spans="2:10" ht="12" customHeight="1">
      <c r="C28" s="1"/>
      <c r="F28" s="1"/>
      <c r="G28" s="1"/>
      <c r="H28" s="1"/>
      <c r="I28" s="1"/>
      <c r="J28" s="1"/>
    </row>
    <row r="29" spans="2:10" ht="12" customHeight="1">
      <c r="C29" s="1"/>
      <c r="F29" s="1"/>
      <c r="G29" s="1"/>
      <c r="H29" s="1"/>
      <c r="I29" s="1"/>
      <c r="J29" s="1"/>
    </row>
    <row r="30" spans="2:10" ht="12.75" customHeight="1">
      <c r="C30" s="1"/>
    </row>
    <row r="31" spans="2:10" ht="12.75" customHeight="1">
      <c r="C31" s="1"/>
      <c r="F31" s="1"/>
      <c r="G31" s="1"/>
      <c r="H31" s="1"/>
      <c r="I31" s="1"/>
      <c r="J31" s="1"/>
    </row>
    <row r="32" spans="2:10" ht="12.75" customHeight="1">
      <c r="C32" s="1"/>
      <c r="F32" s="1"/>
      <c r="G32" s="1"/>
      <c r="H32" s="1"/>
      <c r="I32" s="1"/>
      <c r="J32" s="1"/>
    </row>
    <row r="33" spans="3:10" ht="12" customHeight="1">
      <c r="C33" s="62"/>
      <c r="F33" s="1"/>
      <c r="G33" s="1"/>
      <c r="H33" s="1"/>
      <c r="I33" s="1"/>
      <c r="J33" s="1"/>
    </row>
    <row r="34" spans="3:10" ht="12" customHeight="1">
      <c r="C34" s="4"/>
      <c r="D34" s="4"/>
      <c r="F34" s="1"/>
      <c r="G34" s="1"/>
      <c r="H34" s="1"/>
      <c r="I34" s="1"/>
      <c r="J34" s="1"/>
    </row>
    <row r="35" spans="3:10" ht="12" customHeight="1">
      <c r="C35" s="1"/>
      <c r="F35" s="1"/>
      <c r="G35" s="1"/>
      <c r="H35" s="1"/>
      <c r="I35" s="1"/>
      <c r="J35" s="1"/>
    </row>
    <row r="36" spans="3:10" ht="12" customHeight="1">
      <c r="F36" s="1"/>
      <c r="G36" s="1"/>
      <c r="H36" s="1"/>
      <c r="I36" s="1"/>
      <c r="J36" s="1"/>
    </row>
    <row r="37" spans="3:10" ht="12" customHeight="1">
      <c r="C37" s="1"/>
    </row>
    <row r="38" spans="3:10" ht="12" customHeight="1">
      <c r="C38" s="1"/>
      <c r="F38" s="1"/>
      <c r="G38" s="1"/>
      <c r="H38" s="1"/>
      <c r="I38" s="1"/>
      <c r="J38" s="1"/>
    </row>
    <row r="39" spans="3:10" ht="12" customHeight="1">
      <c r="C39" s="1"/>
      <c r="F39" s="1"/>
      <c r="G39" s="1"/>
      <c r="H39" s="1"/>
      <c r="I39" s="1"/>
      <c r="J39" s="1"/>
    </row>
    <row r="40" spans="3:10" ht="12" customHeight="1">
      <c r="C40" s="1"/>
      <c r="F40" s="1"/>
      <c r="G40" s="1"/>
      <c r="H40" s="1"/>
      <c r="I40" s="1"/>
      <c r="J40" s="1"/>
    </row>
    <row r="41" spans="3:10" ht="12" customHeight="1">
      <c r="C41" s="1"/>
      <c r="F41" s="1"/>
      <c r="G41" s="1"/>
      <c r="H41" s="1"/>
      <c r="I41" s="1"/>
      <c r="J41" s="1"/>
    </row>
    <row r="42" spans="3:10" ht="12" customHeight="1">
      <c r="C42" s="1"/>
      <c r="F42" s="1"/>
      <c r="G42" s="1"/>
      <c r="H42" s="1"/>
      <c r="I42" s="1"/>
      <c r="J42" s="1"/>
    </row>
    <row r="43" spans="3:10" ht="12" customHeight="1">
      <c r="C43" s="1"/>
      <c r="F43" s="1"/>
      <c r="G43" s="1"/>
      <c r="H43" s="1"/>
      <c r="I43" s="1"/>
      <c r="J43" s="1"/>
    </row>
    <row r="44" spans="3:10" ht="12" customHeight="1">
      <c r="C44" s="1"/>
      <c r="F44" s="1"/>
      <c r="G44" s="1"/>
      <c r="H44" s="1"/>
      <c r="I44" s="1"/>
      <c r="J44" s="1"/>
    </row>
    <row r="45" spans="3:10" ht="12" customHeight="1">
      <c r="C45" s="1"/>
      <c r="F45" s="1"/>
      <c r="G45" s="1"/>
      <c r="H45" s="1"/>
      <c r="I45" s="1"/>
      <c r="J45" s="1"/>
    </row>
    <row r="46" spans="3:10" ht="12" customHeight="1">
      <c r="C46" s="1"/>
      <c r="F46" s="1"/>
      <c r="G46" s="1"/>
      <c r="H46" s="1"/>
      <c r="I46" s="1"/>
      <c r="J46" s="1"/>
    </row>
    <row r="47" spans="3:10" ht="12" customHeight="1">
      <c r="C47" s="1"/>
      <c r="F47" s="1"/>
      <c r="G47" s="1"/>
      <c r="H47" s="1"/>
      <c r="I47" s="1"/>
      <c r="J47" s="1"/>
    </row>
    <row r="48" spans="3:10" ht="12" customHeight="1">
      <c r="C48" s="1"/>
      <c r="F48" s="1"/>
      <c r="G48" s="1"/>
      <c r="H48" s="1"/>
      <c r="I48" s="1"/>
      <c r="J48" s="1"/>
    </row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  <c r="F98" s="1"/>
      <c r="G98" s="1"/>
      <c r="H98" s="1"/>
      <c r="I98" s="1"/>
      <c r="J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F100" s="1"/>
      <c r="G100" s="1"/>
      <c r="H100" s="1"/>
      <c r="I100" s="1"/>
      <c r="J100" s="1"/>
    </row>
    <row r="102" spans="3:10" ht="12" customHeight="1">
      <c r="C102" s="1"/>
    </row>
    <row r="103" spans="3:10" ht="12" customHeight="1">
      <c r="C103" s="1"/>
      <c r="F103" s="1"/>
      <c r="G103" s="1"/>
      <c r="H103" s="1"/>
      <c r="I103" s="1"/>
      <c r="J103" s="1"/>
    </row>
    <row r="104" spans="3:10" ht="12" customHeight="1">
      <c r="C104" s="1"/>
      <c r="F104" s="1"/>
      <c r="G104" s="1"/>
      <c r="H104" s="1"/>
      <c r="I104" s="1"/>
      <c r="J104" s="1"/>
    </row>
    <row r="105" spans="3:10" ht="12" customHeight="1">
      <c r="C105" s="1"/>
      <c r="F105" s="1"/>
      <c r="G105" s="1"/>
      <c r="H105" s="1"/>
      <c r="I105" s="1"/>
      <c r="J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F107" s="1"/>
      <c r="G107" s="1"/>
      <c r="H107" s="1"/>
      <c r="I107" s="1"/>
      <c r="J107" s="1"/>
    </row>
    <row r="108" spans="3:10" ht="12" customHeight="1">
      <c r="C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pans="3:10" ht="12" customHeight="1">
      <c r="F113" s="1"/>
      <c r="G113" s="1"/>
      <c r="H113" s="1"/>
      <c r="I113" s="1"/>
      <c r="J113" s="1"/>
    </row>
    <row r="115" spans="3:10" ht="12" customHeight="1">
      <c r="C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C121" s="1"/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  <c r="F123" s="1"/>
      <c r="G123" s="1"/>
      <c r="H123" s="1"/>
      <c r="I123" s="1"/>
      <c r="J123" s="1"/>
    </row>
    <row r="124" spans="3:10" ht="12" customHeight="1">
      <c r="C124" s="1"/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  <c r="F126" s="1"/>
      <c r="G126" s="1"/>
      <c r="H126" s="1"/>
      <c r="I126" s="1"/>
      <c r="J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="1" customFormat="1" ht="12" customHeight="1"/>
    <row r="130" s="1" customFormat="1" ht="12" customHeight="1"/>
    <row r="131" s="1" customFormat="1" ht="12" customHeight="1"/>
    <row r="132" s="1" customFormat="1" ht="12" customHeight="1"/>
    <row r="133" s="1" customFormat="1" ht="12" customHeight="1"/>
    <row r="134" s="1" customFormat="1" ht="12" customHeight="1"/>
    <row r="135" s="1" customFormat="1" ht="12" customHeight="1"/>
    <row r="136" s="1" customFormat="1" ht="12" customHeight="1"/>
    <row r="137" s="1" customFormat="1" ht="12" customHeight="1"/>
    <row r="138" s="1" customFormat="1" ht="12" customHeight="1"/>
    <row r="139" s="1" customFormat="1" ht="12" customHeight="1"/>
    <row r="140" s="1" customFormat="1" ht="12" customHeight="1"/>
    <row r="141" s="1" customFormat="1" ht="12" customHeight="1"/>
    <row r="142" s="1" customFormat="1" ht="12" customHeight="1"/>
    <row r="143" s="1" customFormat="1" ht="12" customHeight="1"/>
    <row r="144" s="1" customFormat="1" ht="12" customHeight="1"/>
    <row r="145" spans="3:10" ht="12" customHeight="1">
      <c r="F145" s="1"/>
      <c r="G145" s="1"/>
      <c r="H145" s="1"/>
      <c r="I145" s="1"/>
      <c r="J145" s="1"/>
    </row>
    <row r="146" spans="3:10" ht="12" customHeight="1">
      <c r="C146" s="1"/>
    </row>
    <row r="147" spans="3:10" ht="12" customHeight="1">
      <c r="C147" s="1"/>
      <c r="F147" s="1"/>
      <c r="G147" s="1"/>
      <c r="H147" s="1"/>
      <c r="I147" s="1"/>
      <c r="J147" s="1"/>
    </row>
    <row r="148" spans="3:10" ht="12" customHeight="1">
      <c r="C148" s="1"/>
      <c r="F148" s="1"/>
      <c r="G148" s="1"/>
      <c r="H148" s="1"/>
      <c r="I148" s="1"/>
      <c r="J148" s="1"/>
    </row>
    <row r="149" spans="3:10" ht="12" customHeight="1">
      <c r="C149" s="1"/>
      <c r="F149" s="1"/>
      <c r="G149" s="1"/>
      <c r="H149" s="1"/>
      <c r="I149" s="1"/>
      <c r="J149" s="1"/>
    </row>
    <row r="150" spans="3:10" ht="12" customHeight="1">
      <c r="C150" s="1"/>
      <c r="F150" s="1"/>
      <c r="G150" s="1"/>
      <c r="H150" s="1"/>
      <c r="I150" s="1"/>
      <c r="J150" s="1"/>
    </row>
    <row r="151" spans="3:10" ht="12" customHeight="1">
      <c r="C151" s="1"/>
      <c r="F151" s="1"/>
      <c r="G151" s="1"/>
      <c r="H151" s="1"/>
      <c r="I151" s="1"/>
      <c r="J151" s="1"/>
    </row>
    <row r="152" spans="3:10" ht="12" customHeight="1">
      <c r="C152" s="1"/>
      <c r="F152" s="1"/>
      <c r="G152" s="1"/>
      <c r="H152" s="1"/>
      <c r="I152" s="1"/>
      <c r="J152" s="1"/>
    </row>
    <row r="153" spans="3:10" ht="12" customHeight="1">
      <c r="C153" s="1"/>
      <c r="F153" s="1"/>
      <c r="G153" s="1"/>
      <c r="H153" s="1"/>
      <c r="I153" s="1"/>
      <c r="J153" s="1"/>
    </row>
    <row r="154" spans="3:10" ht="12" customHeight="1">
      <c r="C154" s="1"/>
      <c r="F154" s="1"/>
      <c r="G154" s="1"/>
      <c r="H154" s="1"/>
      <c r="I154" s="1"/>
      <c r="J154" s="1"/>
    </row>
    <row r="155" spans="3:10" ht="12" customHeight="1">
      <c r="F155" s="1"/>
      <c r="G155" s="1"/>
      <c r="H155" s="1"/>
      <c r="I155" s="1"/>
      <c r="J155" s="1"/>
    </row>
    <row r="157" spans="3:10" ht="12" customHeight="1">
      <c r="C157" s="1"/>
    </row>
    <row r="158" spans="3:10" ht="12" customHeight="1">
      <c r="C158" s="1"/>
      <c r="F158" s="1"/>
      <c r="G158" s="1"/>
      <c r="H158" s="1"/>
      <c r="I158" s="1"/>
      <c r="J158" s="1"/>
    </row>
    <row r="159" spans="3:10" ht="12" customHeight="1">
      <c r="C159" s="1"/>
      <c r="F159" s="1"/>
      <c r="G159" s="1"/>
      <c r="H159" s="1"/>
      <c r="I159" s="1"/>
      <c r="J159" s="1"/>
    </row>
    <row r="160" spans="3:10" ht="12" customHeight="1">
      <c r="F160" s="1"/>
      <c r="G160" s="1"/>
      <c r="H160" s="1"/>
      <c r="I160" s="1"/>
      <c r="J160" s="1"/>
    </row>
    <row r="161" spans="3:10" ht="12" customHeight="1">
      <c r="C161" s="1"/>
    </row>
    <row r="162" spans="3:10" ht="12" customHeight="1">
      <c r="F162" s="1"/>
      <c r="G162" s="1"/>
      <c r="H162" s="1"/>
      <c r="I162" s="1"/>
      <c r="J162" s="1"/>
    </row>
  </sheetData>
  <mergeCells count="2">
    <mergeCell ref="C2:E2"/>
    <mergeCell ref="G2:I2"/>
  </mergeCells>
  <pageMargins left="0.75" right="0.75" top="1" bottom="1" header="0.5" footer="0.5"/>
  <pageSetup paperSize="9" scale="9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M56"/>
  <sheetViews>
    <sheetView showGridLines="0" zoomScaleNormal="100" workbookViewId="0">
      <selection activeCell="B1" sqref="B1"/>
    </sheetView>
  </sheetViews>
  <sheetFormatPr defaultColWidth="9" defaultRowHeight="12" customHeight="1"/>
  <cols>
    <col min="1" max="1" width="2.54296875" style="1" customWidth="1"/>
    <col min="2" max="2" width="51" style="1" bestFit="1" customWidth="1"/>
    <col min="3" max="5" width="7.7265625" customWidth="1"/>
    <col min="6" max="6" width="1.54296875" customWidth="1"/>
    <col min="7" max="9" width="7.7265625" customWidth="1"/>
    <col min="10" max="10" width="7.81640625" customWidth="1"/>
    <col min="11" max="11" width="1.7265625" customWidth="1"/>
    <col min="12" max="12" width="7.81640625" customWidth="1"/>
    <col min="13" max="13" width="3.81640625" style="1" customWidth="1"/>
    <col min="14" max="215" width="8" style="1" customWidth="1"/>
    <col min="216" max="306" width="9" style="1" customWidth="1"/>
    <col min="307" max="16384" width="9" style="1"/>
  </cols>
  <sheetData>
    <row r="2" spans="1:13" ht="21.75" customHeight="1">
      <c r="B2" s="219" t="s">
        <v>116</v>
      </c>
      <c r="C2" s="533"/>
      <c r="D2" s="534"/>
      <c r="I2" s="533"/>
    </row>
    <row r="3" spans="1:13" ht="12" customHeight="1">
      <c r="B3" s="218"/>
      <c r="C3" s="380" t="s">
        <v>191</v>
      </c>
      <c r="D3" s="467" t="s">
        <v>151</v>
      </c>
      <c r="E3" s="467" t="s">
        <v>130</v>
      </c>
      <c r="F3" s="467"/>
      <c r="G3" s="467" t="s">
        <v>131</v>
      </c>
      <c r="H3" s="467" t="s">
        <v>132</v>
      </c>
      <c r="I3" s="380" t="s">
        <v>133</v>
      </c>
      <c r="J3" s="380" t="s">
        <v>111</v>
      </c>
      <c r="K3" s="380"/>
      <c r="L3" s="467" t="s">
        <v>115</v>
      </c>
      <c r="M3" s="217"/>
    </row>
    <row r="4" spans="1:13" ht="13">
      <c r="B4" s="216" t="s">
        <v>46</v>
      </c>
      <c r="C4" s="382" t="s">
        <v>1</v>
      </c>
      <c r="D4" s="445" t="s">
        <v>1</v>
      </c>
      <c r="E4" s="445" t="s">
        <v>1</v>
      </c>
      <c r="F4" s="444"/>
      <c r="G4" s="445" t="s">
        <v>1</v>
      </c>
      <c r="H4" s="445" t="s">
        <v>1</v>
      </c>
      <c r="I4" s="382" t="s">
        <v>1</v>
      </c>
      <c r="J4" s="382" t="s">
        <v>1</v>
      </c>
      <c r="K4" s="659"/>
      <c r="L4" s="445" t="s">
        <v>1</v>
      </c>
      <c r="M4" s="215"/>
    </row>
    <row r="5" spans="1:13" ht="12" customHeight="1">
      <c r="B5" s="214" t="s">
        <v>54</v>
      </c>
      <c r="C5" s="511">
        <v>3308</v>
      </c>
      <c r="D5" s="512">
        <v>3056</v>
      </c>
      <c r="E5" s="512">
        <v>3072</v>
      </c>
      <c r="F5" s="346"/>
      <c r="G5" s="512">
        <v>3139</v>
      </c>
      <c r="H5" s="660">
        <v>3247</v>
      </c>
      <c r="I5" s="512">
        <v>3270</v>
      </c>
      <c r="J5" s="512">
        <v>3053</v>
      </c>
      <c r="K5" s="346"/>
      <c r="L5" s="512">
        <v>2741</v>
      </c>
      <c r="M5" s="6"/>
    </row>
    <row r="6" spans="1:13" ht="12" customHeight="1">
      <c r="B6" s="213" t="s">
        <v>55</v>
      </c>
      <c r="C6" s="349">
        <v>3239</v>
      </c>
      <c r="D6" s="358">
        <v>3268</v>
      </c>
      <c r="E6" s="358">
        <v>3881</v>
      </c>
      <c r="F6" s="346"/>
      <c r="G6" s="358">
        <v>2459</v>
      </c>
      <c r="H6" s="661">
        <v>3011</v>
      </c>
      <c r="I6" s="358">
        <v>3015</v>
      </c>
      <c r="J6" s="358">
        <v>4184</v>
      </c>
      <c r="K6" s="346"/>
      <c r="L6" s="358">
        <v>3060</v>
      </c>
      <c r="M6" s="6"/>
    </row>
    <row r="7" spans="1:13" ht="12" customHeight="1">
      <c r="B7" s="115" t="s">
        <v>18</v>
      </c>
      <c r="C7" s="354">
        <v>6547</v>
      </c>
      <c r="D7" s="355">
        <v>6324</v>
      </c>
      <c r="E7" s="355">
        <v>6953</v>
      </c>
      <c r="F7" s="345"/>
      <c r="G7" s="355">
        <v>5598</v>
      </c>
      <c r="H7" s="662">
        <v>6258</v>
      </c>
      <c r="I7" s="355">
        <v>6285</v>
      </c>
      <c r="J7" s="355">
        <v>7237</v>
      </c>
      <c r="K7" s="345"/>
      <c r="L7" s="355">
        <v>5801</v>
      </c>
      <c r="M7" s="212"/>
    </row>
    <row r="8" spans="1:13" ht="12" customHeight="1">
      <c r="A8" s="4"/>
      <c r="B8" s="114" t="s">
        <v>17</v>
      </c>
      <c r="C8" s="344">
        <v>-3954</v>
      </c>
      <c r="D8" s="346">
        <v>-3999</v>
      </c>
      <c r="E8" s="346">
        <v>-3998</v>
      </c>
      <c r="F8" s="346"/>
      <c r="G8" s="346">
        <v>-4735</v>
      </c>
      <c r="H8" s="627">
        <v>-3949</v>
      </c>
      <c r="I8" s="346">
        <v>-3919</v>
      </c>
      <c r="J8" s="346">
        <v>-4111</v>
      </c>
      <c r="K8" s="346"/>
      <c r="L8" s="346">
        <v>-3748</v>
      </c>
      <c r="M8" s="6"/>
    </row>
    <row r="9" spans="1:13" ht="12" customHeight="1">
      <c r="A9" s="4"/>
      <c r="B9" s="114" t="s">
        <v>136</v>
      </c>
      <c r="C9" s="344">
        <v>27</v>
      </c>
      <c r="D9" s="346">
        <v>0</v>
      </c>
      <c r="E9" s="346">
        <v>-120</v>
      </c>
      <c r="F9" s="346"/>
      <c r="G9" s="346">
        <v>-180</v>
      </c>
      <c r="H9" s="627">
        <v>0</v>
      </c>
      <c r="I9" s="346">
        <v>0</v>
      </c>
      <c r="J9" s="346">
        <v>0</v>
      </c>
      <c r="K9" s="346"/>
      <c r="L9" s="346">
        <v>-176</v>
      </c>
      <c r="M9" s="6"/>
    </row>
    <row r="10" spans="1:13" ht="12" customHeight="1" collapsed="1">
      <c r="A10" s="4"/>
      <c r="B10" s="116" t="s">
        <v>3</v>
      </c>
      <c r="C10" s="349">
        <v>-35</v>
      </c>
      <c r="D10" s="358">
        <v>-7</v>
      </c>
      <c r="E10" s="358">
        <v>-57</v>
      </c>
      <c r="F10" s="346"/>
      <c r="G10" s="358">
        <v>-5</v>
      </c>
      <c r="H10" s="661">
        <v>0</v>
      </c>
      <c r="I10" s="358">
        <v>-33</v>
      </c>
      <c r="J10" s="358">
        <v>1</v>
      </c>
      <c r="K10" s="346"/>
      <c r="L10" s="358">
        <v>-79</v>
      </c>
      <c r="M10" s="6"/>
    </row>
    <row r="11" spans="1:13" ht="12" customHeight="1">
      <c r="A11" s="4"/>
      <c r="B11" s="115" t="s">
        <v>4</v>
      </c>
      <c r="C11" s="354">
        <v>-3962</v>
      </c>
      <c r="D11" s="355">
        <v>-4006</v>
      </c>
      <c r="E11" s="355">
        <v>-4175</v>
      </c>
      <c r="F11" s="345"/>
      <c r="G11" s="355">
        <v>-4920</v>
      </c>
      <c r="H11" s="662">
        <v>-3949</v>
      </c>
      <c r="I11" s="355">
        <v>-3952</v>
      </c>
      <c r="J11" s="355">
        <v>-4110</v>
      </c>
      <c r="K11" s="345"/>
      <c r="L11" s="355">
        <v>-4003</v>
      </c>
      <c r="M11" s="212"/>
    </row>
    <row r="12" spans="1:13" ht="12" customHeight="1">
      <c r="A12" s="4"/>
      <c r="B12" s="116" t="s">
        <v>114</v>
      </c>
      <c r="C12" s="349">
        <v>21</v>
      </c>
      <c r="D12" s="358">
        <v>4</v>
      </c>
      <c r="E12" s="358">
        <v>12</v>
      </c>
      <c r="F12" s="346"/>
      <c r="G12" s="358">
        <v>-16</v>
      </c>
      <c r="H12" s="661">
        <v>9</v>
      </c>
      <c r="I12" s="358">
        <v>3</v>
      </c>
      <c r="J12" s="358">
        <v>-5</v>
      </c>
      <c r="K12" s="346"/>
      <c r="L12" s="358">
        <v>10</v>
      </c>
      <c r="M12" s="6"/>
    </row>
    <row r="13" spans="1:13" ht="12" customHeight="1">
      <c r="A13" s="4"/>
      <c r="B13" s="110" t="s">
        <v>108</v>
      </c>
      <c r="C13" s="354">
        <v>2606</v>
      </c>
      <c r="D13" s="355">
        <v>2322</v>
      </c>
      <c r="E13" s="355">
        <v>2790</v>
      </c>
      <c r="F13" s="345"/>
      <c r="G13" s="355">
        <v>662</v>
      </c>
      <c r="H13" s="662">
        <v>2318</v>
      </c>
      <c r="I13" s="355">
        <v>2336</v>
      </c>
      <c r="J13" s="355">
        <v>3122</v>
      </c>
      <c r="K13" s="345"/>
      <c r="L13" s="355">
        <v>1808</v>
      </c>
      <c r="M13" s="6"/>
    </row>
    <row r="14" spans="1:13" ht="12" customHeight="1">
      <c r="A14" s="4"/>
      <c r="B14" s="114" t="s">
        <v>48</v>
      </c>
      <c r="C14" s="349">
        <v>-374</v>
      </c>
      <c r="D14" s="358">
        <v>-384</v>
      </c>
      <c r="E14" s="358">
        <v>-513</v>
      </c>
      <c r="F14" s="346"/>
      <c r="G14" s="358">
        <v>-552</v>
      </c>
      <c r="H14" s="661">
        <v>-433</v>
      </c>
      <c r="I14" s="358">
        <v>-372</v>
      </c>
      <c r="J14" s="358">
        <v>-524</v>
      </c>
      <c r="K14" s="346"/>
      <c r="L14" s="358">
        <v>-498</v>
      </c>
      <c r="M14" s="6"/>
    </row>
    <row r="15" spans="1:13" s="3" customFormat="1" ht="12" customHeight="1">
      <c r="A15" s="200"/>
      <c r="B15" s="115" t="s">
        <v>88</v>
      </c>
      <c r="C15" s="354">
        <v>2232</v>
      </c>
      <c r="D15" s="355">
        <v>1938</v>
      </c>
      <c r="E15" s="355">
        <v>2277</v>
      </c>
      <c r="F15" s="345"/>
      <c r="G15" s="355">
        <v>110</v>
      </c>
      <c r="H15" s="662">
        <v>1885</v>
      </c>
      <c r="I15" s="355">
        <v>1964</v>
      </c>
      <c r="J15" s="355">
        <v>2598</v>
      </c>
      <c r="K15" s="345"/>
      <c r="L15" s="355">
        <v>1310</v>
      </c>
      <c r="M15" s="212"/>
    </row>
    <row r="16" spans="1:13" s="3" customFormat="1" ht="12" customHeight="1">
      <c r="A16" s="200"/>
      <c r="B16" s="116" t="s">
        <v>150</v>
      </c>
      <c r="C16" s="349">
        <v>-412</v>
      </c>
      <c r="D16" s="358">
        <v>-427</v>
      </c>
      <c r="E16" s="358">
        <v>-465</v>
      </c>
      <c r="F16" s="346"/>
      <c r="G16" s="358">
        <v>23</v>
      </c>
      <c r="H16" s="661">
        <v>-343</v>
      </c>
      <c r="I16" s="358">
        <v>-353</v>
      </c>
      <c r="J16" s="358">
        <v>-561</v>
      </c>
      <c r="K16" s="346"/>
      <c r="L16" s="358">
        <v>33</v>
      </c>
      <c r="M16" s="6"/>
    </row>
    <row r="17" spans="1:13" s="3" customFormat="1" ht="12" customHeight="1">
      <c r="A17" s="200"/>
      <c r="B17" s="115" t="s">
        <v>79</v>
      </c>
      <c r="C17" s="354">
        <v>1820</v>
      </c>
      <c r="D17" s="355">
        <v>1511</v>
      </c>
      <c r="E17" s="355">
        <v>1812</v>
      </c>
      <c r="F17" s="345"/>
      <c r="G17" s="355">
        <v>133</v>
      </c>
      <c r="H17" s="662">
        <v>1542</v>
      </c>
      <c r="I17" s="355">
        <v>1611</v>
      </c>
      <c r="J17" s="355">
        <v>2037</v>
      </c>
      <c r="K17" s="345"/>
      <c r="L17" s="355">
        <v>1343</v>
      </c>
      <c r="M17" s="212"/>
    </row>
    <row r="18" spans="1:13" ht="12" customHeight="1">
      <c r="A18" s="4"/>
      <c r="B18" s="114" t="s">
        <v>80</v>
      </c>
      <c r="C18" s="344">
        <v>-3</v>
      </c>
      <c r="D18" s="346">
        <v>-23</v>
      </c>
      <c r="E18" s="346">
        <v>-3</v>
      </c>
      <c r="F18" s="346"/>
      <c r="G18" s="346">
        <v>-25</v>
      </c>
      <c r="H18" s="627">
        <v>-9</v>
      </c>
      <c r="I18" s="346">
        <v>-22</v>
      </c>
      <c r="J18" s="346">
        <v>-8</v>
      </c>
      <c r="K18" s="346"/>
      <c r="L18" s="346">
        <v>-22</v>
      </c>
      <c r="M18" s="6"/>
    </row>
    <row r="19" spans="1:13" ht="12" customHeight="1">
      <c r="A19" s="4"/>
      <c r="B19" s="116" t="s">
        <v>81</v>
      </c>
      <c r="C19" s="661">
        <v>-253</v>
      </c>
      <c r="D19" s="358">
        <v>-251</v>
      </c>
      <c r="E19" s="358">
        <v>-259</v>
      </c>
      <c r="F19" s="346"/>
      <c r="G19" s="358">
        <v>-219</v>
      </c>
      <c r="H19" s="661">
        <v>-259</v>
      </c>
      <c r="I19" s="358">
        <v>-261</v>
      </c>
      <c r="J19" s="358">
        <v>-246</v>
      </c>
      <c r="K19" s="346"/>
      <c r="L19" s="358">
        <v>-285</v>
      </c>
      <c r="M19" s="6"/>
    </row>
    <row r="20" spans="1:13" ht="12" customHeight="1">
      <c r="A20" s="4"/>
      <c r="B20" s="115" t="s">
        <v>6</v>
      </c>
      <c r="C20" s="662">
        <v>1564</v>
      </c>
      <c r="D20" s="355">
        <v>1237</v>
      </c>
      <c r="E20" s="355">
        <v>1550</v>
      </c>
      <c r="F20" s="345"/>
      <c r="G20" s="355">
        <v>-111</v>
      </c>
      <c r="H20" s="662">
        <v>1274</v>
      </c>
      <c r="I20" s="355">
        <v>1328</v>
      </c>
      <c r="J20" s="355">
        <v>1783</v>
      </c>
      <c r="K20" s="345"/>
      <c r="L20" s="355">
        <v>1036</v>
      </c>
      <c r="M20" s="212"/>
    </row>
    <row r="21" spans="1:13" ht="12" customHeight="1">
      <c r="A21" s="4"/>
      <c r="B21" s="114"/>
      <c r="C21" s="329"/>
      <c r="D21" s="377"/>
      <c r="I21" s="377"/>
      <c r="M21" s="6"/>
    </row>
    <row r="22" spans="1:13" ht="12" customHeight="1">
      <c r="A22" s="4"/>
      <c r="B22" s="117" t="s">
        <v>51</v>
      </c>
      <c r="C22" s="357"/>
      <c r="D22" s="535"/>
      <c r="I22" s="535"/>
      <c r="M22" s="211"/>
    </row>
    <row r="23" spans="1:13" ht="12" customHeight="1">
      <c r="A23" s="4"/>
      <c r="B23" s="192" t="s">
        <v>52</v>
      </c>
      <c r="C23" s="366">
        <v>0.12300000000000001</v>
      </c>
      <c r="D23" s="367">
        <v>9.9000000000000005E-2</v>
      </c>
      <c r="E23" s="367">
        <v>0.12300000000000001</v>
      </c>
      <c r="F23" s="536"/>
      <c r="G23" s="367">
        <v>-9.0000000000000011E-3</v>
      </c>
      <c r="H23" s="663">
        <v>0.11</v>
      </c>
      <c r="I23" s="367">
        <v>0.114</v>
      </c>
      <c r="J23" s="367">
        <v>0.15</v>
      </c>
      <c r="K23" s="536"/>
      <c r="L23" s="367">
        <v>8.900000000000001E-2</v>
      </c>
      <c r="M23" s="48"/>
    </row>
    <row r="24" spans="1:13" ht="12" customHeight="1">
      <c r="A24" s="4"/>
      <c r="B24" s="190" t="s">
        <v>5</v>
      </c>
      <c r="C24" s="588">
        <v>51</v>
      </c>
      <c r="D24" s="589">
        <v>49.8</v>
      </c>
      <c r="E24" s="589">
        <v>50.5</v>
      </c>
      <c r="F24" s="589"/>
      <c r="G24" s="589">
        <v>48.9</v>
      </c>
      <c r="H24" s="664">
        <v>46.5</v>
      </c>
      <c r="I24" s="589">
        <v>46.7</v>
      </c>
      <c r="J24" s="370">
        <v>47.6</v>
      </c>
      <c r="K24" s="370"/>
      <c r="L24" s="370">
        <v>46.7</v>
      </c>
      <c r="M24" s="42"/>
    </row>
    <row r="25" spans="1:13" ht="12" customHeight="1">
      <c r="A25" s="4"/>
      <c r="B25" s="190" t="s">
        <v>44</v>
      </c>
      <c r="C25" s="1076">
        <v>0.61</v>
      </c>
      <c r="D25" s="1077">
        <v>0.63</v>
      </c>
      <c r="E25" s="1077">
        <v>0.6</v>
      </c>
      <c r="F25" s="1077"/>
      <c r="G25" s="1077">
        <v>0.88</v>
      </c>
      <c r="H25" s="1078">
        <v>0.63</v>
      </c>
      <c r="I25" s="1077">
        <v>0.63</v>
      </c>
      <c r="J25" s="1077">
        <v>0.57000000000000006</v>
      </c>
      <c r="K25" s="1077"/>
      <c r="L25" s="1077">
        <v>0.69000000000000006</v>
      </c>
      <c r="M25" s="210"/>
    </row>
    <row r="26" spans="1:13" ht="12" customHeight="1">
      <c r="A26" s="4"/>
      <c r="B26" s="190" t="s">
        <v>53</v>
      </c>
      <c r="C26" s="373">
        <v>37</v>
      </c>
      <c r="D26" s="374">
        <v>38</v>
      </c>
      <c r="E26" s="374">
        <v>51</v>
      </c>
      <c r="F26" s="374"/>
      <c r="G26" s="374">
        <v>54</v>
      </c>
      <c r="H26" s="665">
        <v>42</v>
      </c>
      <c r="I26" s="374">
        <v>37</v>
      </c>
      <c r="J26" s="374">
        <v>52</v>
      </c>
      <c r="K26" s="374"/>
      <c r="L26" s="374">
        <v>49</v>
      </c>
      <c r="M26" s="207"/>
    </row>
    <row r="27" spans="1:13" ht="12" customHeight="1">
      <c r="A27" s="4"/>
      <c r="B27" s="190" t="s">
        <v>144</v>
      </c>
      <c r="C27" s="666">
        <v>10.7</v>
      </c>
      <c r="D27" s="376">
        <v>8.3000000000000007</v>
      </c>
      <c r="E27" s="376">
        <v>10.3</v>
      </c>
      <c r="F27" s="376"/>
      <c r="G27" s="1074" t="s">
        <v>423</v>
      </c>
      <c r="H27" s="666">
        <v>8.3000000000000007</v>
      </c>
      <c r="I27" s="376">
        <v>8.6</v>
      </c>
      <c r="J27" s="376">
        <v>11.3</v>
      </c>
      <c r="K27" s="377"/>
      <c r="L27" s="377" t="s">
        <v>128</v>
      </c>
      <c r="M27" s="206"/>
    </row>
    <row r="28" spans="1:13" ht="12" customHeight="1">
      <c r="A28" s="4"/>
      <c r="B28" s="190" t="s">
        <v>78</v>
      </c>
      <c r="C28" s="344">
        <v>14648</v>
      </c>
      <c r="D28" s="346">
        <v>14915</v>
      </c>
      <c r="E28" s="346">
        <v>14983</v>
      </c>
      <c r="F28" s="346"/>
      <c r="G28" s="346">
        <v>15092</v>
      </c>
      <c r="H28" s="627">
        <v>15405</v>
      </c>
      <c r="I28" s="346">
        <v>15523</v>
      </c>
      <c r="J28" s="346">
        <v>15770</v>
      </c>
      <c r="K28" s="346"/>
      <c r="L28" s="346">
        <v>15828</v>
      </c>
      <c r="M28" s="206"/>
    </row>
    <row r="29" spans="1:13" ht="12" customHeight="1">
      <c r="A29" s="4"/>
      <c r="B29" s="114" t="s">
        <v>93</v>
      </c>
      <c r="C29" s="344">
        <v>14571</v>
      </c>
      <c r="D29" s="346">
        <v>14826</v>
      </c>
      <c r="E29" s="346">
        <v>15091</v>
      </c>
      <c r="F29" s="346"/>
      <c r="G29" s="346">
        <v>15155</v>
      </c>
      <c r="H29" s="627">
        <v>15239</v>
      </c>
      <c r="I29" s="346">
        <v>15556</v>
      </c>
      <c r="J29" s="346">
        <v>15701</v>
      </c>
      <c r="K29" s="346"/>
      <c r="L29" s="346">
        <v>15871</v>
      </c>
      <c r="M29" s="6"/>
    </row>
    <row r="30" spans="1:13" ht="12" customHeight="1">
      <c r="A30" s="4"/>
      <c r="B30" s="114" t="s">
        <v>142</v>
      </c>
      <c r="C30" s="505">
        <v>51110</v>
      </c>
      <c r="D30" s="506">
        <v>50374</v>
      </c>
      <c r="E30" s="506">
        <v>50626</v>
      </c>
      <c r="F30" s="506"/>
      <c r="G30" s="506">
        <v>50150</v>
      </c>
      <c r="H30" s="732">
        <v>48194</v>
      </c>
      <c r="I30" s="506">
        <v>45303</v>
      </c>
      <c r="J30" s="506">
        <v>47251</v>
      </c>
      <c r="K30" s="506"/>
      <c r="L30" s="506">
        <v>46768</v>
      </c>
      <c r="M30" s="6"/>
    </row>
    <row r="31" spans="1:13" ht="12" customHeight="1">
      <c r="A31" s="4"/>
      <c r="B31" s="114"/>
      <c r="C31" s="329"/>
      <c r="D31" s="377"/>
      <c r="I31" s="377"/>
      <c r="M31" s="6"/>
    </row>
    <row r="32" spans="1:13" s="3" customFormat="1" ht="13">
      <c r="A32" s="200"/>
      <c r="B32" s="726" t="s">
        <v>198</v>
      </c>
      <c r="C32" s="382" t="s">
        <v>43</v>
      </c>
      <c r="D32" s="445" t="s">
        <v>43</v>
      </c>
      <c r="E32" s="445" t="s">
        <v>43</v>
      </c>
      <c r="F32" s="444"/>
      <c r="G32" s="445" t="s">
        <v>43</v>
      </c>
      <c r="H32" s="445" t="s">
        <v>43</v>
      </c>
      <c r="I32" s="445" t="s">
        <v>43</v>
      </c>
      <c r="J32" s="382" t="s">
        <v>43</v>
      </c>
      <c r="K32" s="659"/>
      <c r="L32" s="445" t="s">
        <v>43</v>
      </c>
      <c r="M32" s="199"/>
    </row>
    <row r="33" spans="1:13" s="3" customFormat="1" ht="12" customHeight="1">
      <c r="A33" s="200"/>
      <c r="B33" s="11" t="s">
        <v>42</v>
      </c>
      <c r="C33" s="446">
        <v>326.5</v>
      </c>
      <c r="D33" s="540">
        <v>329.8</v>
      </c>
      <c r="E33" s="540">
        <v>332.1</v>
      </c>
      <c r="F33" s="377"/>
      <c r="G33" s="540">
        <v>333.3</v>
      </c>
      <c r="H33" s="667">
        <v>339.6</v>
      </c>
      <c r="I33" s="540">
        <v>337.4</v>
      </c>
      <c r="J33" s="385">
        <v>343.6</v>
      </c>
      <c r="K33" s="370"/>
      <c r="L33" s="385">
        <v>343.3</v>
      </c>
      <c r="M33" s="199"/>
    </row>
    <row r="34" spans="1:13" s="3" customFormat="1" ht="12" customHeight="1">
      <c r="A34" s="200"/>
      <c r="B34" s="11" t="s">
        <v>109</v>
      </c>
      <c r="C34" s="538">
        <v>8.1</v>
      </c>
      <c r="D34" s="589">
        <v>8</v>
      </c>
      <c r="E34" s="377">
        <v>8.5</v>
      </c>
      <c r="F34" s="377"/>
      <c r="G34" s="377">
        <v>9.5</v>
      </c>
      <c r="H34" s="668">
        <v>11.5</v>
      </c>
      <c r="I34" s="377">
        <v>10.9</v>
      </c>
      <c r="J34" s="370">
        <v>11</v>
      </c>
      <c r="K34" s="370"/>
      <c r="L34" s="370">
        <v>10</v>
      </c>
      <c r="M34" s="199"/>
    </row>
    <row r="35" spans="1:13" s="3" customFormat="1" ht="12" customHeight="1">
      <c r="A35" s="200"/>
      <c r="B35" s="11" t="s">
        <v>110</v>
      </c>
      <c r="C35" s="573">
        <v>64.599999999999994</v>
      </c>
      <c r="D35" s="360">
        <v>61.7</v>
      </c>
      <c r="E35" s="360">
        <v>57.4</v>
      </c>
      <c r="F35" s="377"/>
      <c r="G35" s="360">
        <v>56.7</v>
      </c>
      <c r="H35" s="669">
        <v>54.3</v>
      </c>
      <c r="I35" s="360">
        <v>53.1</v>
      </c>
      <c r="J35" s="459">
        <v>48.9</v>
      </c>
      <c r="K35" s="370"/>
      <c r="L35" s="459">
        <v>45.5</v>
      </c>
      <c r="M35" s="199"/>
    </row>
    <row r="36" spans="1:13" s="3" customFormat="1" ht="15" customHeight="1">
      <c r="A36" s="200"/>
      <c r="B36" s="316" t="s">
        <v>30</v>
      </c>
      <c r="C36" s="446">
        <v>399.2</v>
      </c>
      <c r="D36" s="540">
        <v>399.5</v>
      </c>
      <c r="E36" s="540">
        <v>397.9</v>
      </c>
      <c r="F36" s="377"/>
      <c r="G36" s="540">
        <v>399.5</v>
      </c>
      <c r="H36" s="667">
        <v>405.4</v>
      </c>
      <c r="I36" s="540">
        <v>401.4</v>
      </c>
      <c r="J36" s="385">
        <v>403.5</v>
      </c>
      <c r="K36" s="370"/>
      <c r="L36" s="385">
        <v>398.8</v>
      </c>
      <c r="M36" s="199"/>
    </row>
    <row r="37" spans="1:13" s="3" customFormat="1" ht="10.5">
      <c r="A37" s="200"/>
      <c r="B37" s="190" t="s">
        <v>91</v>
      </c>
      <c r="C37" s="389">
        <v>1.3000000000000001E-2</v>
      </c>
      <c r="D37" s="390">
        <v>1.3999999999999999E-2</v>
      </c>
      <c r="E37" s="390">
        <v>1.3999999999999999E-2</v>
      </c>
      <c r="F37" s="390"/>
      <c r="G37" s="390">
        <v>1.3999999999999999E-2</v>
      </c>
      <c r="H37" s="670">
        <v>1.3999999999999999E-2</v>
      </c>
      <c r="I37" s="390">
        <v>1.3999999999999999E-2</v>
      </c>
      <c r="J37" s="390">
        <v>1.3999999999999999E-2</v>
      </c>
      <c r="K37" s="390"/>
      <c r="L37" s="390">
        <v>1.3999999999999999E-2</v>
      </c>
      <c r="M37" s="199"/>
    </row>
    <row r="38" spans="1:13" ht="12" customHeight="1">
      <c r="A38" s="4"/>
      <c r="B38" s="190" t="s">
        <v>8</v>
      </c>
      <c r="C38" s="593">
        <v>1531.1</v>
      </c>
      <c r="D38" s="594">
        <v>1576.6</v>
      </c>
      <c r="E38" s="594">
        <v>1577.1</v>
      </c>
      <c r="F38" s="658"/>
      <c r="G38" s="594">
        <v>1477.5</v>
      </c>
      <c r="H38" s="671">
        <v>1591.7</v>
      </c>
      <c r="I38" s="675">
        <v>1549.7</v>
      </c>
      <c r="J38" s="370">
        <v>1539.1</v>
      </c>
      <c r="K38" s="370"/>
      <c r="L38" s="370">
        <v>1513.7</v>
      </c>
      <c r="M38" s="193"/>
    </row>
    <row r="39" spans="1:13" ht="12" customHeight="1">
      <c r="A39" s="4"/>
      <c r="B39" s="190" t="s">
        <v>36</v>
      </c>
      <c r="C39" s="593">
        <v>542.79999999999995</v>
      </c>
      <c r="D39" s="594">
        <v>557.5</v>
      </c>
      <c r="E39" s="594">
        <v>552.29999999999995</v>
      </c>
      <c r="F39" s="658"/>
      <c r="G39" s="594">
        <v>538.79999999999995</v>
      </c>
      <c r="H39" s="671">
        <v>561.29999999999995</v>
      </c>
      <c r="I39" s="675">
        <v>554.70000000000005</v>
      </c>
      <c r="J39" s="370">
        <v>555.70000000000005</v>
      </c>
      <c r="K39" s="370"/>
      <c r="L39" s="370">
        <v>545.79999999999995</v>
      </c>
      <c r="M39" s="193"/>
    </row>
    <row r="40" spans="1:13" ht="12" customHeight="1">
      <c r="A40" s="4"/>
      <c r="B40" s="190" t="s">
        <v>39</v>
      </c>
      <c r="C40" s="733">
        <v>351</v>
      </c>
      <c r="D40" s="388">
        <v>340</v>
      </c>
      <c r="E40" s="388">
        <v>335</v>
      </c>
      <c r="F40" s="388"/>
      <c r="G40" s="388">
        <v>331</v>
      </c>
      <c r="H40" s="733">
        <v>316</v>
      </c>
      <c r="I40" s="388">
        <v>291</v>
      </c>
      <c r="J40" s="388">
        <v>301</v>
      </c>
      <c r="K40" s="377"/>
      <c r="L40" s="377" t="s">
        <v>129</v>
      </c>
      <c r="M40" s="193"/>
    </row>
    <row r="41" spans="1:13" ht="12" customHeight="1">
      <c r="A41" s="4"/>
      <c r="B41" s="190" t="s">
        <v>40</v>
      </c>
      <c r="C41" s="539">
        <v>0.13800000000000001</v>
      </c>
      <c r="D41" s="536">
        <v>0.13600000000000001</v>
      </c>
      <c r="E41" s="536">
        <v>0.13500000000000001</v>
      </c>
      <c r="F41" s="536"/>
      <c r="G41" s="536">
        <v>0.13800000000000001</v>
      </c>
      <c r="H41" s="672">
        <v>0.14000000000000001</v>
      </c>
      <c r="I41" s="536">
        <v>0.13800000000000001</v>
      </c>
      <c r="J41" s="536">
        <v>0.13600000000000001</v>
      </c>
      <c r="K41" s="536"/>
      <c r="L41" s="536">
        <v>0.13900000000000001</v>
      </c>
      <c r="M41" s="197"/>
    </row>
    <row r="42" spans="1:13" ht="12" customHeight="1">
      <c r="A42" s="4"/>
      <c r="B42" s="190" t="s">
        <v>41</v>
      </c>
      <c r="C42" s="593">
        <v>47</v>
      </c>
      <c r="D42" s="594">
        <v>47.7</v>
      </c>
      <c r="E42" s="594">
        <v>47.1</v>
      </c>
      <c r="F42" s="658"/>
      <c r="G42" s="594">
        <v>47.3</v>
      </c>
      <c r="H42" s="671">
        <v>48</v>
      </c>
      <c r="I42" s="675">
        <v>46.6</v>
      </c>
      <c r="J42" s="370">
        <v>46</v>
      </c>
      <c r="K42" s="370"/>
      <c r="L42" s="370">
        <v>46.9</v>
      </c>
      <c r="M42" s="193"/>
    </row>
    <row r="43" spans="1:13" ht="12" customHeight="1">
      <c r="A43" s="4"/>
      <c r="B43" s="190" t="s">
        <v>28</v>
      </c>
      <c r="C43" s="593">
        <v>340.4</v>
      </c>
      <c r="D43" s="594">
        <v>351.4</v>
      </c>
      <c r="E43" s="594">
        <v>349.6</v>
      </c>
      <c r="F43" s="658"/>
      <c r="G43" s="594">
        <v>342.7</v>
      </c>
      <c r="H43" s="671">
        <v>341.9</v>
      </c>
      <c r="I43" s="675">
        <v>336.9</v>
      </c>
      <c r="J43" s="370">
        <v>338.4</v>
      </c>
      <c r="K43" s="370"/>
      <c r="L43" s="370">
        <v>336.5</v>
      </c>
      <c r="M43" s="193"/>
    </row>
    <row r="44" spans="1:13" ht="12" customHeight="1">
      <c r="A44" s="196"/>
      <c r="B44" s="190" t="s">
        <v>21</v>
      </c>
      <c r="C44" s="539">
        <v>4.9000000000000002E-2</v>
      </c>
      <c r="D44" s="536">
        <v>0.05</v>
      </c>
      <c r="E44" s="536">
        <v>4.9000000000000002E-2</v>
      </c>
      <c r="F44" s="536"/>
      <c r="G44" s="536">
        <v>5.2000000000000005E-2</v>
      </c>
      <c r="H44" s="672">
        <v>0.05</v>
      </c>
      <c r="I44" s="536">
        <v>5.0999999999999997E-2</v>
      </c>
      <c r="J44" s="536">
        <v>5.0999999999999997E-2</v>
      </c>
      <c r="K44" s="536"/>
      <c r="L44" s="536">
        <v>5.2999999999999999E-2</v>
      </c>
      <c r="M44" s="195"/>
    </row>
    <row r="45" spans="1:13" ht="12" customHeight="1">
      <c r="A45" s="196"/>
      <c r="B45" s="190" t="s">
        <v>22</v>
      </c>
      <c r="C45" s="593">
        <v>1197.4000000000001</v>
      </c>
      <c r="D45" s="594">
        <v>1222.7</v>
      </c>
      <c r="E45" s="594">
        <v>1226.5</v>
      </c>
      <c r="F45" s="658"/>
      <c r="G45" s="594">
        <v>1168.3</v>
      </c>
      <c r="H45" s="671">
        <v>1202.4000000000001</v>
      </c>
      <c r="I45" s="675">
        <v>1183.7</v>
      </c>
      <c r="J45" s="594">
        <v>1168.9000000000001</v>
      </c>
      <c r="K45" s="658"/>
      <c r="L45" s="594">
        <v>1130</v>
      </c>
      <c r="M45" s="193"/>
    </row>
    <row r="46" spans="1:13" ht="12" customHeight="1">
      <c r="A46" s="4"/>
      <c r="B46" s="190"/>
      <c r="C46" s="329"/>
      <c r="D46" s="377"/>
      <c r="H46" s="377"/>
      <c r="I46" s="377"/>
      <c r="M46" s="193"/>
    </row>
    <row r="47" spans="1:13" ht="14.25" customHeight="1">
      <c r="A47" s="4"/>
      <c r="B47" s="194" t="s">
        <v>82</v>
      </c>
      <c r="C47" s="361"/>
      <c r="D47" s="360"/>
      <c r="G47" s="360"/>
      <c r="H47" s="360"/>
      <c r="I47" s="360"/>
      <c r="M47" s="193"/>
    </row>
    <row r="48" spans="1:13" ht="12" customHeight="1">
      <c r="A48" s="4"/>
      <c r="B48" s="192" t="s">
        <v>23</v>
      </c>
      <c r="C48" s="446">
        <v>311.7</v>
      </c>
      <c r="D48" s="540">
        <v>328.7</v>
      </c>
      <c r="E48" s="540">
        <v>323.5</v>
      </c>
      <c r="F48" s="377"/>
      <c r="G48" s="540">
        <v>298.10000000000002</v>
      </c>
      <c r="H48" s="673">
        <v>335</v>
      </c>
      <c r="I48" s="540">
        <v>330.7</v>
      </c>
      <c r="J48" s="592">
        <v>333</v>
      </c>
      <c r="K48" s="589"/>
      <c r="L48" s="592">
        <v>318</v>
      </c>
      <c r="M48" s="191"/>
    </row>
    <row r="49" spans="1:13" ht="12" customHeight="1">
      <c r="A49" s="4"/>
      <c r="B49" s="190" t="s">
        <v>24</v>
      </c>
      <c r="C49" s="389">
        <v>1.7010000000000001</v>
      </c>
      <c r="D49" s="390">
        <v>1.67</v>
      </c>
      <c r="E49" s="390">
        <v>1.6319999999999999</v>
      </c>
      <c r="F49" s="390"/>
      <c r="G49" s="390">
        <v>1.6140000000000001</v>
      </c>
      <c r="H49" s="670">
        <v>1.587</v>
      </c>
      <c r="I49" s="390">
        <v>1.5719999999999998</v>
      </c>
      <c r="J49" s="390">
        <v>1.5660000000000001</v>
      </c>
      <c r="K49" s="390"/>
      <c r="L49" s="390">
        <v>1.5549999999999999</v>
      </c>
      <c r="M49" s="189"/>
    </row>
    <row r="50" spans="1:13" ht="12" customHeight="1">
      <c r="A50" s="4"/>
      <c r="B50" s="190" t="s">
        <v>199</v>
      </c>
      <c r="C50" s="389">
        <v>1.3559999999999999</v>
      </c>
      <c r="D50" s="390">
        <v>1.3640000000000001</v>
      </c>
      <c r="E50" s="390">
        <v>1.357</v>
      </c>
      <c r="F50" s="390"/>
      <c r="G50" s="390">
        <v>1.3800000000000001</v>
      </c>
      <c r="H50" s="670">
        <v>1.3819999999999999</v>
      </c>
      <c r="I50" s="390">
        <v>1.3880000000000001</v>
      </c>
      <c r="J50" s="390">
        <v>1.3919999999999999</v>
      </c>
      <c r="K50" s="390"/>
      <c r="L50" s="390">
        <v>1.37</v>
      </c>
      <c r="M50" s="189"/>
    </row>
    <row r="51" spans="1:13" ht="12" customHeight="1">
      <c r="A51" s="4"/>
      <c r="B51" s="190" t="s">
        <v>25</v>
      </c>
      <c r="C51" s="371">
        <v>0.74</v>
      </c>
      <c r="D51" s="372">
        <v>0.72</v>
      </c>
      <c r="E51" s="372">
        <v>0.72</v>
      </c>
      <c r="F51" s="372"/>
      <c r="G51" s="372">
        <v>0.74</v>
      </c>
      <c r="H51" s="674">
        <v>0.72</v>
      </c>
      <c r="I51" s="372">
        <v>0.72</v>
      </c>
      <c r="J51" s="372">
        <v>0.73</v>
      </c>
      <c r="K51" s="372"/>
      <c r="L51" s="372">
        <v>0.73</v>
      </c>
      <c r="M51" s="189"/>
    </row>
    <row r="52" spans="1:13" ht="12" customHeight="1">
      <c r="C52" s="330"/>
      <c r="D52" s="393"/>
      <c r="I52" s="330"/>
    </row>
    <row r="53" spans="1:13" ht="12" customHeight="1">
      <c r="D53" s="501"/>
    </row>
    <row r="54" spans="1:13" ht="12" customHeight="1">
      <c r="D54" s="501"/>
    </row>
    <row r="55" spans="1:13" ht="12" customHeight="1">
      <c r="C55" s="330"/>
      <c r="D55" s="393"/>
      <c r="I55" s="330"/>
    </row>
    <row r="56" spans="1:13" ht="12" customHeight="1">
      <c r="D56" s="501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M5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57.54296875" style="1" customWidth="1"/>
    <col min="3" max="5" width="8" customWidth="1"/>
    <col min="6" max="6" width="1.1796875" customWidth="1"/>
    <col min="7" max="10" width="7.453125" customWidth="1"/>
    <col min="11" max="11" width="1.81640625" customWidth="1"/>
    <col min="12" max="12" width="7.81640625" customWidth="1"/>
    <col min="13" max="13" width="8" style="188" customWidth="1"/>
    <col min="14" max="194" width="8" style="1" customWidth="1"/>
    <col min="195" max="16384" width="9" style="1"/>
  </cols>
  <sheetData>
    <row r="2" spans="1:13" ht="17.25" customHeight="1">
      <c r="B2" s="232" t="s">
        <v>15</v>
      </c>
      <c r="C2" s="380"/>
      <c r="D2" s="467"/>
      <c r="E2" s="380"/>
      <c r="F2" s="501"/>
      <c r="G2" s="467"/>
      <c r="H2" s="380"/>
      <c r="I2" s="467"/>
      <c r="J2" s="380"/>
      <c r="K2" s="501"/>
      <c r="L2" s="467"/>
    </row>
    <row r="3" spans="1:13" ht="12" customHeight="1">
      <c r="B3" s="230"/>
      <c r="C3" s="380" t="s">
        <v>191</v>
      </c>
      <c r="D3" s="467" t="s">
        <v>151</v>
      </c>
      <c r="E3" s="380" t="s">
        <v>130</v>
      </c>
      <c r="F3" s="501"/>
      <c r="G3" s="467" t="s">
        <v>131</v>
      </c>
      <c r="H3" s="380" t="s">
        <v>132</v>
      </c>
      <c r="I3" s="467" t="s">
        <v>133</v>
      </c>
      <c r="J3" s="380" t="s">
        <v>111</v>
      </c>
      <c r="K3" s="501"/>
      <c r="L3" s="467" t="s">
        <v>115</v>
      </c>
    </row>
    <row r="4" spans="1:13" ht="12" customHeight="1">
      <c r="B4" s="117" t="s">
        <v>46</v>
      </c>
      <c r="C4" s="382" t="s">
        <v>1</v>
      </c>
      <c r="D4" s="445" t="s">
        <v>1</v>
      </c>
      <c r="E4" s="382" t="s">
        <v>1</v>
      </c>
      <c r="F4" s="501"/>
      <c r="G4" s="445" t="s">
        <v>1</v>
      </c>
      <c r="H4" s="382" t="s">
        <v>1</v>
      </c>
      <c r="I4" s="445" t="s">
        <v>1</v>
      </c>
      <c r="J4" s="382" t="s">
        <v>1</v>
      </c>
      <c r="K4" s="541"/>
      <c r="L4" s="445" t="s">
        <v>1</v>
      </c>
    </row>
    <row r="5" spans="1:13" ht="12" customHeight="1">
      <c r="B5" s="111" t="s">
        <v>54</v>
      </c>
      <c r="C5" s="511">
        <v>1666</v>
      </c>
      <c r="D5" s="512">
        <v>1597</v>
      </c>
      <c r="E5" s="512">
        <v>1549</v>
      </c>
      <c r="F5" s="501"/>
      <c r="G5" s="512">
        <v>1575</v>
      </c>
      <c r="H5" s="660">
        <v>1578</v>
      </c>
      <c r="I5" s="512">
        <v>1660</v>
      </c>
      <c r="J5" s="486">
        <v>1618</v>
      </c>
      <c r="K5" s="540"/>
      <c r="L5" s="512">
        <v>1600</v>
      </c>
    </row>
    <row r="6" spans="1:13" ht="12" customHeight="1">
      <c r="B6" s="116" t="s">
        <v>55</v>
      </c>
      <c r="C6" s="542">
        <v>280</v>
      </c>
      <c r="D6" s="543">
        <v>290</v>
      </c>
      <c r="E6" s="358">
        <v>277</v>
      </c>
      <c r="F6" s="501"/>
      <c r="G6" s="358">
        <v>217</v>
      </c>
      <c r="H6" s="661">
        <v>295</v>
      </c>
      <c r="I6" s="358">
        <v>301</v>
      </c>
      <c r="J6" s="359">
        <v>343</v>
      </c>
      <c r="K6" s="360"/>
      <c r="L6" s="358">
        <v>370</v>
      </c>
    </row>
    <row r="7" spans="1:13" ht="12" customHeight="1">
      <c r="B7" s="115" t="s">
        <v>18</v>
      </c>
      <c r="C7" s="544">
        <v>1946</v>
      </c>
      <c r="D7" s="545">
        <v>1887</v>
      </c>
      <c r="E7" s="355">
        <v>1826</v>
      </c>
      <c r="F7" s="501"/>
      <c r="G7" s="355">
        <v>1792</v>
      </c>
      <c r="H7" s="662">
        <v>1873</v>
      </c>
      <c r="I7" s="355">
        <v>1961</v>
      </c>
      <c r="J7" s="356">
        <v>1961</v>
      </c>
      <c r="K7" s="504"/>
      <c r="L7" s="355">
        <v>1970</v>
      </c>
    </row>
    <row r="8" spans="1:13" ht="12.5">
      <c r="A8" s="4"/>
      <c r="B8" s="114" t="s">
        <v>17</v>
      </c>
      <c r="C8" s="344">
        <v>-1017</v>
      </c>
      <c r="D8" s="346">
        <v>-1041</v>
      </c>
      <c r="E8" s="346">
        <v>-1007</v>
      </c>
      <c r="F8" s="501"/>
      <c r="G8" s="346">
        <v>-1153</v>
      </c>
      <c r="H8" s="627">
        <v>-1058</v>
      </c>
      <c r="I8" s="346">
        <v>-1090</v>
      </c>
      <c r="J8" s="347">
        <v>-1092</v>
      </c>
      <c r="K8" s="377"/>
      <c r="L8" s="346">
        <v>-1108</v>
      </c>
    </row>
    <row r="9" spans="1:13" ht="12" customHeight="1">
      <c r="A9" s="4"/>
      <c r="B9" s="114" t="s">
        <v>136</v>
      </c>
      <c r="C9" s="344">
        <v>12</v>
      </c>
      <c r="D9" s="346">
        <v>0</v>
      </c>
      <c r="E9" s="346">
        <v>-54</v>
      </c>
      <c r="F9" s="501"/>
      <c r="G9" s="346">
        <v>-30</v>
      </c>
      <c r="H9" s="627">
        <v>0</v>
      </c>
      <c r="I9" s="346">
        <v>0</v>
      </c>
      <c r="J9" s="347">
        <v>0</v>
      </c>
      <c r="K9" s="377"/>
      <c r="L9" s="346">
        <v>-26</v>
      </c>
    </row>
    <row r="10" spans="1:13" ht="12" customHeight="1">
      <c r="A10" s="4"/>
      <c r="B10" s="116" t="s">
        <v>3</v>
      </c>
      <c r="C10" s="542">
        <v>-1</v>
      </c>
      <c r="D10" s="543">
        <v>-4</v>
      </c>
      <c r="E10" s="358">
        <v>-2</v>
      </c>
      <c r="F10" s="501"/>
      <c r="G10" s="358">
        <v>-4</v>
      </c>
      <c r="H10" s="661">
        <v>9</v>
      </c>
      <c r="I10" s="358">
        <v>5</v>
      </c>
      <c r="J10" s="359">
        <v>-2</v>
      </c>
      <c r="K10" s="360"/>
      <c r="L10" s="358">
        <v>-13</v>
      </c>
    </row>
    <row r="11" spans="1:13" ht="12" customHeight="1">
      <c r="A11" s="4"/>
      <c r="B11" s="115" t="s">
        <v>4</v>
      </c>
      <c r="C11" s="544">
        <v>-1006</v>
      </c>
      <c r="D11" s="545">
        <v>-1045</v>
      </c>
      <c r="E11" s="355">
        <v>-1063</v>
      </c>
      <c r="F11" s="501"/>
      <c r="G11" s="355">
        <v>-1187</v>
      </c>
      <c r="H11" s="662">
        <v>-1049</v>
      </c>
      <c r="I11" s="355">
        <v>-1085</v>
      </c>
      <c r="J11" s="356">
        <v>-1094</v>
      </c>
      <c r="K11" s="504"/>
      <c r="L11" s="355">
        <v>-1147</v>
      </c>
    </row>
    <row r="12" spans="1:13" ht="12" customHeight="1">
      <c r="A12" s="4"/>
      <c r="B12" s="116" t="s">
        <v>49</v>
      </c>
      <c r="C12" s="349">
        <v>0</v>
      </c>
      <c r="D12" s="358">
        <v>0</v>
      </c>
      <c r="E12" s="358">
        <v>0</v>
      </c>
      <c r="F12" s="501"/>
      <c r="G12" s="358">
        <v>0</v>
      </c>
      <c r="H12" s="661">
        <v>0</v>
      </c>
      <c r="I12" s="358">
        <v>0</v>
      </c>
      <c r="J12" s="359">
        <v>0</v>
      </c>
      <c r="K12" s="360"/>
      <c r="L12" s="358">
        <v>1</v>
      </c>
    </row>
    <row r="13" spans="1:13" ht="12" customHeight="1">
      <c r="A13" s="4"/>
      <c r="B13" s="110" t="s">
        <v>108</v>
      </c>
      <c r="C13" s="354">
        <v>940</v>
      </c>
      <c r="D13" s="355">
        <v>842</v>
      </c>
      <c r="E13" s="355">
        <v>763</v>
      </c>
      <c r="F13" s="501"/>
      <c r="G13" s="355">
        <v>605</v>
      </c>
      <c r="H13" s="662">
        <v>824</v>
      </c>
      <c r="I13" s="355">
        <v>876</v>
      </c>
      <c r="J13" s="356">
        <v>867</v>
      </c>
      <c r="K13" s="504"/>
      <c r="L13" s="355">
        <v>824</v>
      </c>
    </row>
    <row r="14" spans="1:13" ht="12" customHeight="1">
      <c r="A14" s="4"/>
      <c r="B14" s="114" t="s">
        <v>48</v>
      </c>
      <c r="C14" s="349">
        <v>-16</v>
      </c>
      <c r="D14" s="358">
        <v>-8</v>
      </c>
      <c r="E14" s="358">
        <v>-58</v>
      </c>
      <c r="F14" s="501"/>
      <c r="G14" s="358">
        <v>-37</v>
      </c>
      <c r="H14" s="661">
        <v>-59</v>
      </c>
      <c r="I14" s="358">
        <v>-95</v>
      </c>
      <c r="J14" s="359">
        <v>-113</v>
      </c>
      <c r="K14" s="360"/>
      <c r="L14" s="358">
        <v>-157</v>
      </c>
    </row>
    <row r="15" spans="1:13" s="3" customFormat="1" ht="12" customHeight="1">
      <c r="A15" s="200"/>
      <c r="B15" s="115" t="s">
        <v>88</v>
      </c>
      <c r="C15" s="355">
        <v>924</v>
      </c>
      <c r="D15" s="355">
        <v>834</v>
      </c>
      <c r="E15" s="355">
        <v>705</v>
      </c>
      <c r="F15" s="501"/>
      <c r="G15" s="355">
        <v>568</v>
      </c>
      <c r="H15" s="662">
        <v>765</v>
      </c>
      <c r="I15" s="355">
        <v>781</v>
      </c>
      <c r="J15" s="355">
        <v>754</v>
      </c>
      <c r="K15" s="504"/>
      <c r="L15" s="355">
        <v>667</v>
      </c>
      <c r="M15" s="188"/>
    </row>
    <row r="16" spans="1:13" ht="12.5">
      <c r="A16" s="4"/>
      <c r="B16" s="114" t="s">
        <v>50</v>
      </c>
      <c r="C16" s="346">
        <v>621</v>
      </c>
      <c r="D16" s="346">
        <v>584</v>
      </c>
      <c r="E16" s="346">
        <v>479</v>
      </c>
      <c r="F16" s="579"/>
      <c r="G16" s="346">
        <v>382</v>
      </c>
      <c r="H16" s="627">
        <v>531</v>
      </c>
      <c r="I16" s="346">
        <v>534</v>
      </c>
      <c r="J16" s="346">
        <v>515</v>
      </c>
      <c r="K16" s="377"/>
      <c r="L16" s="346">
        <v>474</v>
      </c>
    </row>
    <row r="17" spans="1:13" ht="12" customHeight="1">
      <c r="A17" s="4"/>
      <c r="B17" s="110"/>
    </row>
    <row r="18" spans="1:13" s="3" customFormat="1" ht="12" customHeight="1">
      <c r="A18" s="200"/>
      <c r="B18" s="117" t="s">
        <v>56</v>
      </c>
      <c r="C18" s="382" t="s">
        <v>43</v>
      </c>
      <c r="D18" s="445" t="s">
        <v>43</v>
      </c>
      <c r="E18" s="445" t="s">
        <v>43</v>
      </c>
      <c r="F18" s="501"/>
      <c r="G18" s="445" t="s">
        <v>43</v>
      </c>
      <c r="H18" s="445" t="s">
        <v>43</v>
      </c>
      <c r="I18" s="445" t="s">
        <v>43</v>
      </c>
      <c r="J18" s="445" t="s">
        <v>43</v>
      </c>
      <c r="K18" s="445"/>
      <c r="L18" s="445" t="s">
        <v>43</v>
      </c>
      <c r="M18" s="188"/>
    </row>
    <row r="19" spans="1:13" ht="15" customHeight="1">
      <c r="A19" s="4"/>
      <c r="B19" s="111" t="s">
        <v>42</v>
      </c>
      <c r="C19" s="606">
        <v>199.3</v>
      </c>
      <c r="D19" s="607">
        <v>198.7</v>
      </c>
      <c r="E19" s="607">
        <v>200.8</v>
      </c>
      <c r="F19" s="608"/>
      <c r="G19" s="607">
        <v>202.8</v>
      </c>
      <c r="H19" s="743">
        <v>204.9</v>
      </c>
      <c r="I19" s="746">
        <v>206.8</v>
      </c>
      <c r="J19" s="609">
        <v>208.2</v>
      </c>
      <c r="K19" s="607"/>
      <c r="L19" s="607">
        <v>205.1</v>
      </c>
    </row>
    <row r="20" spans="1:13" ht="12" customHeight="1">
      <c r="A20" s="4"/>
      <c r="B20" s="114" t="s">
        <v>27</v>
      </c>
      <c r="C20" s="593">
        <v>236.3</v>
      </c>
      <c r="D20" s="594">
        <v>236.8</v>
      </c>
      <c r="E20" s="594">
        <v>237.2</v>
      </c>
      <c r="F20" s="608"/>
      <c r="G20" s="594">
        <v>241.1</v>
      </c>
      <c r="H20" s="671">
        <v>243.2</v>
      </c>
      <c r="I20" s="675">
        <v>249.8</v>
      </c>
      <c r="J20" s="610">
        <v>254.3</v>
      </c>
      <c r="K20" s="594"/>
      <c r="L20" s="594">
        <v>258</v>
      </c>
    </row>
    <row r="21" spans="1:13" ht="12" customHeight="1">
      <c r="A21" s="4"/>
      <c r="B21" s="119" t="s">
        <v>25</v>
      </c>
      <c r="C21" s="1076">
        <v>0.92</v>
      </c>
      <c r="D21" s="1077">
        <v>0.91</v>
      </c>
      <c r="E21" s="1077">
        <v>0.92</v>
      </c>
      <c r="F21" s="1079"/>
      <c r="G21" s="1077">
        <v>0.92</v>
      </c>
      <c r="H21" s="1078">
        <v>0.92</v>
      </c>
      <c r="I21" s="1077">
        <v>0.9</v>
      </c>
      <c r="J21" s="1080">
        <v>0.9</v>
      </c>
      <c r="K21" s="1077"/>
      <c r="L21" s="1077">
        <v>0.87</v>
      </c>
    </row>
    <row r="22" spans="1:13" ht="12" customHeight="1">
      <c r="A22" s="4"/>
      <c r="B22" s="119" t="s">
        <v>28</v>
      </c>
      <c r="C22" s="593">
        <v>77.5</v>
      </c>
      <c r="D22" s="594">
        <v>76.5</v>
      </c>
      <c r="E22" s="594">
        <v>76.5</v>
      </c>
      <c r="F22" s="608"/>
      <c r="G22" s="594">
        <v>73.5</v>
      </c>
      <c r="H22" s="671">
        <v>73.2</v>
      </c>
      <c r="I22" s="675">
        <v>73</v>
      </c>
      <c r="J22" s="610">
        <v>74.599999999999994</v>
      </c>
      <c r="K22" s="594"/>
      <c r="L22" s="594">
        <v>73.099999999999994</v>
      </c>
    </row>
    <row r="23" spans="1:13" ht="12" customHeight="1">
      <c r="A23" s="4"/>
      <c r="B23" s="119" t="s">
        <v>29</v>
      </c>
      <c r="C23" s="593">
        <v>10.7</v>
      </c>
      <c r="D23" s="594">
        <v>10.6</v>
      </c>
      <c r="E23" s="594">
        <v>10.7</v>
      </c>
      <c r="F23" s="608"/>
      <c r="G23" s="594">
        <v>10.199999999999999</v>
      </c>
      <c r="H23" s="671">
        <v>10.1</v>
      </c>
      <c r="I23" s="675">
        <v>10.1</v>
      </c>
      <c r="J23" s="610">
        <v>10.3</v>
      </c>
      <c r="K23" s="594"/>
      <c r="L23" s="594">
        <v>10.1</v>
      </c>
    </row>
    <row r="24" spans="1:13" ht="12" customHeight="1">
      <c r="A24" s="4"/>
      <c r="B24" s="119"/>
      <c r="M24" s="198"/>
    </row>
    <row r="25" spans="1:13" ht="12" customHeight="1">
      <c r="A25" s="4"/>
      <c r="B25" s="229" t="s">
        <v>51</v>
      </c>
    </row>
    <row r="26" spans="1:13" ht="12" customHeight="1">
      <c r="A26" s="4"/>
      <c r="B26" s="118" t="s">
        <v>13</v>
      </c>
      <c r="C26" s="546">
        <v>0.23399999999999999</v>
      </c>
      <c r="D26" s="547">
        <v>0.223</v>
      </c>
      <c r="E26" s="548">
        <v>0.185</v>
      </c>
      <c r="F26" s="501"/>
      <c r="G26" s="548">
        <v>0.14899999999999999</v>
      </c>
      <c r="H26" s="744">
        <v>0.21</v>
      </c>
      <c r="I26" s="548">
        <v>0.20899999999999999</v>
      </c>
      <c r="J26" s="549">
        <v>0.2</v>
      </c>
      <c r="K26" s="540"/>
      <c r="L26" s="548">
        <v>0.187</v>
      </c>
    </row>
    <row r="27" spans="1:13" ht="12" customHeight="1">
      <c r="A27" s="4"/>
      <c r="B27" s="119" t="s">
        <v>57</v>
      </c>
      <c r="C27" s="588">
        <v>10.6</v>
      </c>
      <c r="D27" s="589">
        <v>10.5</v>
      </c>
      <c r="E27" s="589">
        <v>10.4</v>
      </c>
      <c r="F27" s="742"/>
      <c r="G27" s="589">
        <v>10.199999999999999</v>
      </c>
      <c r="H27" s="664">
        <v>10.1</v>
      </c>
      <c r="I27" s="589">
        <v>10.199999999999999</v>
      </c>
      <c r="J27" s="370">
        <v>10.3</v>
      </c>
      <c r="K27" s="377"/>
      <c r="L27" s="370">
        <v>10.199999999999999</v>
      </c>
    </row>
    <row r="28" spans="1:13" ht="12" customHeight="1">
      <c r="A28" s="4"/>
      <c r="B28" s="119" t="s">
        <v>119</v>
      </c>
      <c r="C28" s="1081">
        <v>0.52</v>
      </c>
      <c r="D28" s="1082">
        <v>0.55000000000000004</v>
      </c>
      <c r="E28" s="1077">
        <v>0.57999999999999996</v>
      </c>
      <c r="F28" s="1079"/>
      <c r="G28" s="1077">
        <v>0.66</v>
      </c>
      <c r="H28" s="1078">
        <v>0.56000000000000005</v>
      </c>
      <c r="I28" s="1077">
        <v>0.55000000000000004</v>
      </c>
      <c r="J28" s="1083">
        <v>0.56000000000000005</v>
      </c>
      <c r="K28" s="1083"/>
      <c r="L28" s="1083">
        <v>0.57999999999999996</v>
      </c>
    </row>
    <row r="29" spans="1:13" ht="12" customHeight="1">
      <c r="A29" s="4"/>
      <c r="B29" s="119" t="s">
        <v>53</v>
      </c>
      <c r="C29" s="344">
        <v>3</v>
      </c>
      <c r="D29" s="346">
        <v>1</v>
      </c>
      <c r="E29" s="346">
        <v>11</v>
      </c>
      <c r="F29" s="611"/>
      <c r="G29" s="346">
        <v>7</v>
      </c>
      <c r="H29" s="627">
        <v>10</v>
      </c>
      <c r="I29" s="346">
        <v>17</v>
      </c>
      <c r="J29" s="346">
        <v>20</v>
      </c>
      <c r="K29" s="346"/>
      <c r="L29" s="346">
        <v>27</v>
      </c>
    </row>
    <row r="30" spans="1:13" ht="12" customHeight="1">
      <c r="A30" s="4"/>
      <c r="B30" s="119" t="s">
        <v>58</v>
      </c>
      <c r="C30" s="612">
        <v>3.3399999999999999E-2</v>
      </c>
      <c r="D30" s="596">
        <v>3.2199999999999999E-2</v>
      </c>
      <c r="E30" s="596">
        <v>3.09E-2</v>
      </c>
      <c r="F30" s="613"/>
      <c r="G30" s="596">
        <v>3.0699999999999998E-2</v>
      </c>
      <c r="H30" s="745">
        <v>3.04E-2</v>
      </c>
      <c r="I30" s="747">
        <v>3.2199999999999999E-2</v>
      </c>
      <c r="J30" s="596">
        <v>3.1800000000000002E-2</v>
      </c>
      <c r="K30" s="596"/>
      <c r="L30" s="596">
        <v>3.1000000000000003E-2</v>
      </c>
    </row>
    <row r="31" spans="1:13" ht="12" customHeight="1">
      <c r="A31" s="4"/>
      <c r="B31" s="41"/>
    </row>
    <row r="32" spans="1:13" ht="12.5">
      <c r="A32" s="228"/>
    </row>
    <row r="33" spans="2:12" ht="15.5">
      <c r="B33" s="227" t="s">
        <v>118</v>
      </c>
      <c r="C33" s="380" t="s">
        <v>191</v>
      </c>
      <c r="D33" s="467" t="s">
        <v>151</v>
      </c>
      <c r="E33" s="380" t="s">
        <v>130</v>
      </c>
      <c r="F33" s="501"/>
      <c r="G33" s="467" t="s">
        <v>131</v>
      </c>
      <c r="H33" s="380" t="s">
        <v>132</v>
      </c>
      <c r="I33" s="467" t="s">
        <v>133</v>
      </c>
      <c r="J33" s="380" t="s">
        <v>111</v>
      </c>
      <c r="K33" s="501"/>
      <c r="L33" s="467" t="s">
        <v>115</v>
      </c>
    </row>
    <row r="34" spans="2:12" ht="17.25" customHeight="1">
      <c r="B34" s="226" t="s">
        <v>92</v>
      </c>
      <c r="C34" s="382" t="s">
        <v>1</v>
      </c>
      <c r="D34" s="445" t="s">
        <v>1</v>
      </c>
      <c r="E34" s="382" t="s">
        <v>1</v>
      </c>
      <c r="F34" s="501"/>
      <c r="G34" s="445" t="s">
        <v>1</v>
      </c>
      <c r="H34" s="382" t="s">
        <v>1</v>
      </c>
      <c r="I34" s="445" t="s">
        <v>1</v>
      </c>
      <c r="J34" s="382" t="s">
        <v>1</v>
      </c>
      <c r="K34" s="541"/>
      <c r="L34" s="445" t="s">
        <v>1</v>
      </c>
    </row>
    <row r="35" spans="2:12" ht="12.5">
      <c r="B35" s="111" t="s">
        <v>59</v>
      </c>
      <c r="C35" s="511">
        <v>1184</v>
      </c>
      <c r="D35" s="512">
        <v>1174</v>
      </c>
      <c r="E35" s="512">
        <v>1128</v>
      </c>
      <c r="F35" s="501"/>
      <c r="G35" s="512">
        <v>1067</v>
      </c>
      <c r="H35" s="660">
        <v>1165</v>
      </c>
      <c r="I35" s="512">
        <v>1244</v>
      </c>
      <c r="J35" s="512">
        <v>1253</v>
      </c>
      <c r="K35" s="540"/>
      <c r="L35" s="512">
        <v>1229</v>
      </c>
    </row>
    <row r="36" spans="2:12" ht="12" customHeight="1">
      <c r="B36" s="114" t="s">
        <v>117</v>
      </c>
      <c r="C36" s="344">
        <v>249</v>
      </c>
      <c r="D36" s="346">
        <v>228</v>
      </c>
      <c r="E36" s="346">
        <v>229</v>
      </c>
      <c r="F36" s="501"/>
      <c r="G36" s="346">
        <v>242</v>
      </c>
      <c r="H36" s="627">
        <v>238</v>
      </c>
      <c r="I36" s="346">
        <v>237</v>
      </c>
      <c r="J36" s="346">
        <v>247</v>
      </c>
      <c r="K36" s="377"/>
      <c r="L36" s="346">
        <v>269</v>
      </c>
    </row>
    <row r="37" spans="2:12" ht="12" customHeight="1">
      <c r="B37" s="116" t="s">
        <v>61</v>
      </c>
      <c r="C37" s="349">
        <v>513</v>
      </c>
      <c r="D37" s="358">
        <v>485</v>
      </c>
      <c r="E37" s="358">
        <v>469</v>
      </c>
      <c r="F37" s="501"/>
      <c r="G37" s="358">
        <v>483</v>
      </c>
      <c r="H37" s="661">
        <v>470</v>
      </c>
      <c r="I37" s="358">
        <v>480</v>
      </c>
      <c r="J37" s="358">
        <v>461</v>
      </c>
      <c r="K37" s="360"/>
      <c r="L37" s="358">
        <v>472</v>
      </c>
    </row>
    <row r="38" spans="2:12" ht="12" customHeight="1">
      <c r="B38" s="115" t="s">
        <v>18</v>
      </c>
      <c r="C38" s="354">
        <v>1946</v>
      </c>
      <c r="D38" s="355">
        <v>1887</v>
      </c>
      <c r="E38" s="355">
        <v>1826</v>
      </c>
      <c r="F38" s="501"/>
      <c r="G38" s="355">
        <v>1792</v>
      </c>
      <c r="H38" s="662">
        <v>1873</v>
      </c>
      <c r="I38" s="355">
        <v>1961</v>
      </c>
      <c r="J38" s="355">
        <v>1961</v>
      </c>
      <c r="K38" s="504"/>
      <c r="L38" s="355">
        <v>1970</v>
      </c>
    </row>
    <row r="39" spans="2:12" ht="12" customHeight="1">
      <c r="B39" s="114"/>
    </row>
    <row r="40" spans="2:12" ht="12.5">
      <c r="B40" s="126" t="s">
        <v>190</v>
      </c>
    </row>
    <row r="41" spans="2:12" ht="12" customHeight="1">
      <c r="B41" s="111" t="s">
        <v>59</v>
      </c>
      <c r="C41" s="511">
        <v>3</v>
      </c>
      <c r="D41" s="512">
        <v>-26</v>
      </c>
      <c r="E41" s="512">
        <v>-14</v>
      </c>
      <c r="F41" s="501"/>
      <c r="G41" s="512">
        <v>35</v>
      </c>
      <c r="H41" s="660">
        <v>-85</v>
      </c>
      <c r="I41" s="512">
        <v>-92</v>
      </c>
      <c r="J41" s="512">
        <v>-28</v>
      </c>
      <c r="K41" s="540"/>
      <c r="L41" s="512">
        <v>-120</v>
      </c>
    </row>
    <row r="42" spans="2:12" ht="12.5">
      <c r="B42" s="114" t="s">
        <v>117</v>
      </c>
      <c r="C42" s="344">
        <v>-15</v>
      </c>
      <c r="D42" s="346">
        <v>-25</v>
      </c>
      <c r="E42" s="346">
        <v>-38</v>
      </c>
      <c r="F42" s="501"/>
      <c r="G42" s="346">
        <v>-73</v>
      </c>
      <c r="H42" s="627">
        <v>29</v>
      </c>
      <c r="I42" s="346">
        <v>-35</v>
      </c>
      <c r="J42" s="346">
        <v>-83</v>
      </c>
      <c r="K42" s="377"/>
      <c r="L42" s="346">
        <v>-12</v>
      </c>
    </row>
    <row r="43" spans="2:12" ht="12" customHeight="1">
      <c r="B43" s="116" t="s">
        <v>61</v>
      </c>
      <c r="C43" s="349">
        <v>-4</v>
      </c>
      <c r="D43" s="358">
        <v>43</v>
      </c>
      <c r="E43" s="358">
        <v>-6</v>
      </c>
      <c r="F43" s="501"/>
      <c r="G43" s="358">
        <v>1</v>
      </c>
      <c r="H43" s="661">
        <v>-3</v>
      </c>
      <c r="I43" s="358">
        <v>32</v>
      </c>
      <c r="J43" s="358">
        <v>-2</v>
      </c>
      <c r="K43" s="360"/>
      <c r="L43" s="358">
        <v>-25</v>
      </c>
    </row>
    <row r="44" spans="2:12" ht="11.9" customHeight="1">
      <c r="B44" s="115" t="s">
        <v>121</v>
      </c>
      <c r="C44" s="354">
        <v>-16</v>
      </c>
      <c r="D44" s="355">
        <v>-8</v>
      </c>
      <c r="E44" s="355">
        <v>-58</v>
      </c>
      <c r="F44" s="501"/>
      <c r="G44" s="355">
        <v>-37</v>
      </c>
      <c r="H44" s="662">
        <v>-59</v>
      </c>
      <c r="I44" s="355">
        <v>-95</v>
      </c>
      <c r="J44" s="355">
        <v>-113</v>
      </c>
      <c r="K44" s="504"/>
      <c r="L44" s="355">
        <v>-157</v>
      </c>
    </row>
    <row r="45" spans="2:12" ht="12" customHeight="1">
      <c r="B45" s="114"/>
      <c r="C45" s="550"/>
      <c r="D45" s="551"/>
      <c r="E45" s="551"/>
      <c r="F45" s="501"/>
      <c r="G45" s="551"/>
      <c r="H45" s="551"/>
      <c r="I45" s="551"/>
      <c r="J45" s="551"/>
      <c r="K45" s="551"/>
      <c r="L45" s="551"/>
    </row>
    <row r="46" spans="2:12" ht="12.5">
      <c r="B46" s="126" t="s">
        <v>62</v>
      </c>
      <c r="C46" s="382" t="s">
        <v>43</v>
      </c>
      <c r="D46" s="445" t="s">
        <v>43</v>
      </c>
      <c r="E46" s="445" t="s">
        <v>43</v>
      </c>
      <c r="F46" s="501"/>
      <c r="G46" s="445" t="s">
        <v>43</v>
      </c>
      <c r="H46" s="445" t="s">
        <v>43</v>
      </c>
      <c r="I46" s="445" t="s">
        <v>43</v>
      </c>
      <c r="J46" s="445" t="s">
        <v>43</v>
      </c>
      <c r="K46" s="445"/>
      <c r="L46" s="445" t="s">
        <v>43</v>
      </c>
    </row>
    <row r="47" spans="2:12" ht="12.5">
      <c r="B47" s="111" t="s">
        <v>59</v>
      </c>
      <c r="C47" s="606">
        <v>168.1</v>
      </c>
      <c r="D47" s="607">
        <v>167.3</v>
      </c>
      <c r="E47" s="607">
        <v>169</v>
      </c>
      <c r="F47" s="608"/>
      <c r="G47" s="607">
        <v>170.1</v>
      </c>
      <c r="H47" s="743">
        <v>172.3</v>
      </c>
      <c r="I47" s="746">
        <v>173.3</v>
      </c>
      <c r="J47" s="607">
        <v>173.6</v>
      </c>
      <c r="K47" s="607"/>
      <c r="L47" s="607">
        <v>169.7</v>
      </c>
    </row>
    <row r="48" spans="2:12" ht="12.75" customHeight="1">
      <c r="B48" s="114" t="s">
        <v>117</v>
      </c>
      <c r="C48" s="593">
        <v>10.6</v>
      </c>
      <c r="D48" s="594">
        <v>10.199999999999999</v>
      </c>
      <c r="E48" s="594">
        <v>9.8000000000000007</v>
      </c>
      <c r="F48" s="608"/>
      <c r="G48" s="594">
        <v>9.6999999999999993</v>
      </c>
      <c r="H48" s="671">
        <v>9.6</v>
      </c>
      <c r="I48" s="675">
        <v>9.3000000000000007</v>
      </c>
      <c r="J48" s="594">
        <v>9</v>
      </c>
      <c r="K48" s="594"/>
      <c r="L48" s="594">
        <v>9.1999999999999993</v>
      </c>
    </row>
    <row r="49" spans="2:12" ht="12" customHeight="1">
      <c r="B49" s="116" t="s">
        <v>61</v>
      </c>
      <c r="C49" s="614">
        <v>20.6</v>
      </c>
      <c r="D49" s="615">
        <v>21.2</v>
      </c>
      <c r="E49" s="615">
        <v>22</v>
      </c>
      <c r="F49" s="608"/>
      <c r="G49" s="615">
        <v>23</v>
      </c>
      <c r="H49" s="750">
        <v>23</v>
      </c>
      <c r="I49" s="748">
        <v>24.2</v>
      </c>
      <c r="J49" s="615">
        <v>25.6</v>
      </c>
      <c r="K49" s="615"/>
      <c r="L49" s="615">
        <v>26.2</v>
      </c>
    </row>
    <row r="50" spans="2:12" ht="12.5">
      <c r="B50" s="115" t="s">
        <v>63</v>
      </c>
      <c r="C50" s="616">
        <v>199.3</v>
      </c>
      <c r="D50" s="617">
        <v>198.7</v>
      </c>
      <c r="E50" s="617">
        <v>200.8</v>
      </c>
      <c r="F50" s="608"/>
      <c r="G50" s="617">
        <v>202.8</v>
      </c>
      <c r="H50" s="751">
        <v>204.9</v>
      </c>
      <c r="I50" s="749">
        <v>206.8</v>
      </c>
      <c r="J50" s="617">
        <v>208.2</v>
      </c>
      <c r="K50" s="617"/>
      <c r="L50" s="617">
        <v>205.1</v>
      </c>
    </row>
    <row r="51" spans="2:12" ht="12" customHeight="1">
      <c r="B51" s="114"/>
      <c r="C51" s="330"/>
      <c r="D51" s="393"/>
      <c r="E51" s="393"/>
      <c r="F51" s="501"/>
      <c r="G51" s="393"/>
      <c r="H51" s="393"/>
      <c r="I51" s="393"/>
      <c r="J51" s="393"/>
      <c r="K51" s="393"/>
      <c r="L51" s="393"/>
    </row>
    <row r="52" spans="2:12" ht="12.5">
      <c r="B52" s="126" t="s">
        <v>64</v>
      </c>
      <c r="C52" s="357"/>
      <c r="D52" s="535"/>
      <c r="E52" s="535"/>
      <c r="F52" s="501"/>
      <c r="G52" s="535"/>
      <c r="H52" s="535"/>
      <c r="I52" s="535"/>
      <c r="J52" s="535"/>
      <c r="K52" s="535"/>
      <c r="L52" s="535"/>
    </row>
    <row r="53" spans="2:12" ht="12" customHeight="1">
      <c r="B53" s="111" t="s">
        <v>59</v>
      </c>
      <c r="C53" s="606">
        <v>182.9</v>
      </c>
      <c r="D53" s="607">
        <v>183.3</v>
      </c>
      <c r="E53" s="607">
        <v>183.4</v>
      </c>
      <c r="F53" s="608"/>
      <c r="G53" s="607">
        <v>185.4</v>
      </c>
      <c r="H53" s="743">
        <v>186.1</v>
      </c>
      <c r="I53" s="746">
        <v>191.1</v>
      </c>
      <c r="J53" s="607">
        <v>194.3</v>
      </c>
      <c r="K53" s="607"/>
      <c r="L53" s="607">
        <v>195.6</v>
      </c>
    </row>
    <row r="54" spans="2:12" ht="12" customHeight="1">
      <c r="B54" s="114" t="s">
        <v>117</v>
      </c>
      <c r="C54" s="593">
        <v>0</v>
      </c>
      <c r="D54" s="594">
        <v>0</v>
      </c>
      <c r="E54" s="594">
        <v>0</v>
      </c>
      <c r="F54" s="608"/>
      <c r="G54" s="594">
        <v>0</v>
      </c>
      <c r="H54" s="671">
        <v>0</v>
      </c>
      <c r="I54" s="675">
        <v>0</v>
      </c>
      <c r="J54" s="594">
        <v>0</v>
      </c>
      <c r="K54" s="594"/>
      <c r="L54" s="594">
        <v>0</v>
      </c>
    </row>
    <row r="55" spans="2:12" ht="12" customHeight="1">
      <c r="B55" s="116" t="s">
        <v>61</v>
      </c>
      <c r="C55" s="614">
        <v>53.4</v>
      </c>
      <c r="D55" s="615">
        <v>53.5</v>
      </c>
      <c r="E55" s="615">
        <v>53.8</v>
      </c>
      <c r="F55" s="608"/>
      <c r="G55" s="615">
        <v>55.7</v>
      </c>
      <c r="H55" s="750">
        <v>57.1</v>
      </c>
      <c r="I55" s="748">
        <v>58.7</v>
      </c>
      <c r="J55" s="615">
        <v>60</v>
      </c>
      <c r="K55" s="615"/>
      <c r="L55" s="615">
        <v>62.4</v>
      </c>
    </row>
    <row r="56" spans="2:12" ht="21" customHeight="1">
      <c r="B56" s="115" t="s">
        <v>65</v>
      </c>
      <c r="C56" s="616">
        <v>236.3</v>
      </c>
      <c r="D56" s="617">
        <v>236.8</v>
      </c>
      <c r="E56" s="617">
        <v>237.2</v>
      </c>
      <c r="F56" s="608"/>
      <c r="G56" s="617">
        <v>241.1</v>
      </c>
      <c r="H56" s="751">
        <v>243.2</v>
      </c>
      <c r="I56" s="749">
        <v>249.8</v>
      </c>
      <c r="J56" s="617">
        <v>254.3</v>
      </c>
      <c r="K56" s="617"/>
      <c r="L56" s="617">
        <v>258</v>
      </c>
    </row>
  </sheetData>
  <pageMargins left="0.75" right="0.75" top="1" bottom="1" header="0.5" footer="0.5"/>
  <pageSetup paperSize="9" scale="9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3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9.81640625" style="1" bestFit="1" customWidth="1"/>
    <col min="3" max="3" width="7.81640625" style="1" customWidth="1"/>
    <col min="4" max="4" width="7.81640625" style="188" customWidth="1"/>
    <col min="5" max="5" width="8.26953125" style="1" customWidth="1"/>
    <col min="6" max="6" width="1.81640625" style="1" customWidth="1"/>
    <col min="7" max="8" width="7.81640625" style="1" customWidth="1"/>
    <col min="9" max="9" width="7.81640625" style="188" customWidth="1"/>
    <col min="10" max="10" width="7.54296875" style="1" customWidth="1"/>
    <col min="11" max="11" width="2.1796875" style="1" customWidth="1"/>
    <col min="12" max="12" width="7.81640625" style="1" customWidth="1"/>
    <col min="13" max="13" width="2.1796875" style="1" customWidth="1"/>
    <col min="14" max="227" width="8" style="1" customWidth="1"/>
    <col min="228" max="16384" width="9" style="1"/>
  </cols>
  <sheetData>
    <row r="2" spans="1:13" ht="17.25" customHeight="1">
      <c r="B2" s="239" t="s">
        <v>122</v>
      </c>
      <c r="C2" s="231"/>
      <c r="D2" s="282"/>
      <c r="E2" s="239"/>
      <c r="F2" s="231"/>
      <c r="G2" s="231"/>
      <c r="H2" s="231"/>
      <c r="I2" s="282"/>
      <c r="J2" s="239"/>
      <c r="K2" s="231"/>
      <c r="L2" s="231"/>
      <c r="M2" s="239"/>
    </row>
    <row r="3" spans="1:13" ht="12" customHeight="1">
      <c r="B3" s="230"/>
      <c r="C3" s="380" t="s">
        <v>191</v>
      </c>
      <c r="D3" s="380" t="s">
        <v>151</v>
      </c>
      <c r="E3" s="380" t="s">
        <v>130</v>
      </c>
      <c r="F3" s="501"/>
      <c r="G3" s="380" t="s">
        <v>131</v>
      </c>
      <c r="H3" s="380" t="s">
        <v>132</v>
      </c>
      <c r="I3" s="380" t="s">
        <v>133</v>
      </c>
      <c r="J3" s="467" t="s">
        <v>111</v>
      </c>
      <c r="K3" s="501"/>
      <c r="L3" s="380" t="s">
        <v>115</v>
      </c>
      <c r="M3" s="239"/>
    </row>
    <row r="4" spans="1:13" ht="13.5" customHeight="1">
      <c r="B4" s="117" t="s">
        <v>46</v>
      </c>
      <c r="C4" s="268" t="s">
        <v>1</v>
      </c>
      <c r="D4" s="268" t="s">
        <v>1</v>
      </c>
      <c r="E4" s="268" t="s">
        <v>1</v>
      </c>
      <c r="F4" s="141"/>
      <c r="G4" s="141" t="s">
        <v>1</v>
      </c>
      <c r="H4" s="124" t="s">
        <v>1</v>
      </c>
      <c r="I4" s="268" t="s">
        <v>1</v>
      </c>
      <c r="J4" s="268" t="s">
        <v>1</v>
      </c>
      <c r="K4" s="268"/>
      <c r="L4" s="141" t="s">
        <v>1</v>
      </c>
      <c r="M4" s="239"/>
    </row>
    <row r="5" spans="1:13" ht="13.5" customHeight="1">
      <c r="B5" s="111" t="s">
        <v>54</v>
      </c>
      <c r="C5" s="511">
        <v>309</v>
      </c>
      <c r="D5" s="512">
        <v>296</v>
      </c>
      <c r="E5" s="512">
        <v>277</v>
      </c>
      <c r="F5" s="491"/>
      <c r="G5" s="512">
        <v>247</v>
      </c>
      <c r="H5" s="660">
        <v>304</v>
      </c>
      <c r="I5" s="512">
        <v>299</v>
      </c>
      <c r="J5" s="512">
        <v>310</v>
      </c>
      <c r="K5" s="570"/>
      <c r="L5" s="512">
        <v>324</v>
      </c>
      <c r="M5" s="239"/>
    </row>
    <row r="6" spans="1:13" ht="13.5" customHeight="1">
      <c r="B6" s="252" t="s">
        <v>83</v>
      </c>
      <c r="C6" s="542">
        <v>136</v>
      </c>
      <c r="D6" s="543">
        <v>147</v>
      </c>
      <c r="E6" s="554">
        <v>157</v>
      </c>
      <c r="F6" s="491"/>
      <c r="G6" s="554">
        <v>148</v>
      </c>
      <c r="H6" s="676">
        <v>136</v>
      </c>
      <c r="I6" s="543">
        <v>173</v>
      </c>
      <c r="J6" s="543">
        <v>153</v>
      </c>
      <c r="K6" s="570"/>
      <c r="L6" s="543">
        <v>153</v>
      </c>
      <c r="M6" s="239"/>
    </row>
    <row r="7" spans="1:13" ht="12" customHeight="1">
      <c r="B7" s="256" t="s">
        <v>18</v>
      </c>
      <c r="C7" s="544">
        <v>445</v>
      </c>
      <c r="D7" s="545">
        <v>443</v>
      </c>
      <c r="E7" s="545">
        <v>434</v>
      </c>
      <c r="F7" s="491"/>
      <c r="G7" s="545">
        <v>395</v>
      </c>
      <c r="H7" s="677">
        <v>440</v>
      </c>
      <c r="I7" s="545">
        <v>472</v>
      </c>
      <c r="J7" s="545">
        <v>463</v>
      </c>
      <c r="K7" s="570"/>
      <c r="L7" s="545">
        <v>477</v>
      </c>
      <c r="M7" s="239"/>
    </row>
    <row r="8" spans="1:13" ht="15.5">
      <c r="A8" s="4"/>
      <c r="B8" s="114" t="s">
        <v>17</v>
      </c>
      <c r="C8" s="344">
        <v>-229</v>
      </c>
      <c r="D8" s="346">
        <v>-235</v>
      </c>
      <c r="E8" s="346">
        <v>-221</v>
      </c>
      <c r="F8" s="491"/>
      <c r="G8" s="346">
        <v>-258</v>
      </c>
      <c r="H8" s="627">
        <v>-224</v>
      </c>
      <c r="I8" s="346">
        <v>-213</v>
      </c>
      <c r="J8" s="346">
        <v>-210</v>
      </c>
      <c r="K8" s="570"/>
      <c r="L8" s="346">
        <v>-213</v>
      </c>
      <c r="M8" s="239"/>
    </row>
    <row r="9" spans="1:13" ht="12" customHeight="1">
      <c r="A9" s="4"/>
      <c r="B9" s="114" t="s">
        <v>136</v>
      </c>
      <c r="C9" s="344">
        <v>7</v>
      </c>
      <c r="D9" s="346">
        <v>0</v>
      </c>
      <c r="E9" s="346">
        <v>-30</v>
      </c>
      <c r="F9" s="491"/>
      <c r="G9" s="346">
        <v>-8</v>
      </c>
      <c r="H9" s="627">
        <v>0</v>
      </c>
      <c r="I9" s="346">
        <v>0</v>
      </c>
      <c r="J9" s="346">
        <v>0</v>
      </c>
      <c r="K9" s="570"/>
      <c r="L9" s="346">
        <v>-7</v>
      </c>
      <c r="M9" s="239"/>
    </row>
    <row r="10" spans="1:13" ht="12" customHeight="1">
      <c r="A10" s="4"/>
      <c r="B10" s="252" t="s">
        <v>3</v>
      </c>
      <c r="C10" s="542">
        <v>0</v>
      </c>
      <c r="D10" s="543">
        <v>0</v>
      </c>
      <c r="E10" s="543">
        <v>0</v>
      </c>
      <c r="F10" s="491"/>
      <c r="G10" s="543">
        <v>-1</v>
      </c>
      <c r="H10" s="676">
        <v>2</v>
      </c>
      <c r="I10" s="543">
        <v>0</v>
      </c>
      <c r="J10" s="543">
        <v>0</v>
      </c>
      <c r="K10" s="570"/>
      <c r="L10" s="543">
        <v>0</v>
      </c>
      <c r="M10" s="239"/>
    </row>
    <row r="11" spans="1:13" ht="12" customHeight="1">
      <c r="A11" s="4"/>
      <c r="B11" s="256" t="s">
        <v>4</v>
      </c>
      <c r="C11" s="544">
        <v>-222</v>
      </c>
      <c r="D11" s="545">
        <v>-235</v>
      </c>
      <c r="E11" s="545">
        <v>-251</v>
      </c>
      <c r="F11" s="491"/>
      <c r="G11" s="545">
        <v>-267</v>
      </c>
      <c r="H11" s="677">
        <v>-222</v>
      </c>
      <c r="I11" s="545">
        <v>-213</v>
      </c>
      <c r="J11" s="545">
        <v>-210</v>
      </c>
      <c r="K11" s="570"/>
      <c r="L11" s="545">
        <v>-220</v>
      </c>
      <c r="M11" s="239"/>
    </row>
    <row r="12" spans="1:13" ht="12" customHeight="1">
      <c r="A12" s="4"/>
      <c r="B12" s="116" t="s">
        <v>16</v>
      </c>
      <c r="C12" s="349">
        <v>0</v>
      </c>
      <c r="D12" s="358">
        <v>0</v>
      </c>
      <c r="E12" s="358">
        <v>0</v>
      </c>
      <c r="F12" s="491"/>
      <c r="G12" s="358">
        <v>-5</v>
      </c>
      <c r="H12" s="661">
        <v>0</v>
      </c>
      <c r="I12" s="358">
        <v>1</v>
      </c>
      <c r="J12" s="358">
        <v>1</v>
      </c>
      <c r="K12" s="570"/>
      <c r="L12" s="358">
        <v>1</v>
      </c>
      <c r="M12" s="239"/>
    </row>
    <row r="13" spans="1:13" ht="12" customHeight="1">
      <c r="A13" s="4"/>
      <c r="B13" s="110" t="s">
        <v>108</v>
      </c>
      <c r="C13" s="354">
        <v>223</v>
      </c>
      <c r="D13" s="355">
        <v>208</v>
      </c>
      <c r="E13" s="355">
        <v>183</v>
      </c>
      <c r="F13" s="491"/>
      <c r="G13" s="355">
        <v>123</v>
      </c>
      <c r="H13" s="662">
        <v>218</v>
      </c>
      <c r="I13" s="355">
        <v>260</v>
      </c>
      <c r="J13" s="355">
        <v>254</v>
      </c>
      <c r="K13" s="570"/>
      <c r="L13" s="355">
        <v>258</v>
      </c>
      <c r="M13" s="239"/>
    </row>
    <row r="14" spans="1:13" ht="12" customHeight="1">
      <c r="A14" s="4"/>
      <c r="B14" s="114" t="s">
        <v>74</v>
      </c>
      <c r="C14" s="349">
        <v>-13</v>
      </c>
      <c r="D14" s="358">
        <v>-8</v>
      </c>
      <c r="E14" s="358">
        <v>-15</v>
      </c>
      <c r="F14" s="491"/>
      <c r="G14" s="358">
        <v>-18</v>
      </c>
      <c r="H14" s="661">
        <v>-15</v>
      </c>
      <c r="I14" s="358">
        <v>84</v>
      </c>
      <c r="J14" s="358">
        <v>-24</v>
      </c>
      <c r="K14" s="570"/>
      <c r="L14" s="358">
        <v>-52</v>
      </c>
      <c r="M14" s="239"/>
    </row>
    <row r="15" spans="1:13" s="3" customFormat="1" ht="12" customHeight="1">
      <c r="A15" s="200"/>
      <c r="B15" s="115" t="s">
        <v>88</v>
      </c>
      <c r="C15" s="354">
        <v>210</v>
      </c>
      <c r="D15" s="355">
        <v>200</v>
      </c>
      <c r="E15" s="355">
        <v>168</v>
      </c>
      <c r="F15" s="491"/>
      <c r="G15" s="355">
        <v>105</v>
      </c>
      <c r="H15" s="662">
        <v>203</v>
      </c>
      <c r="I15" s="355">
        <v>344</v>
      </c>
      <c r="J15" s="355">
        <v>230</v>
      </c>
      <c r="K15" s="570"/>
      <c r="L15" s="355">
        <v>206</v>
      </c>
      <c r="M15" s="239"/>
    </row>
    <row r="16" spans="1:13" ht="15.5">
      <c r="A16" s="4"/>
      <c r="B16" s="114" t="s">
        <v>50</v>
      </c>
      <c r="C16" s="487">
        <v>144</v>
      </c>
      <c r="D16" s="345">
        <v>135</v>
      </c>
      <c r="E16" s="345">
        <v>113</v>
      </c>
      <c r="F16" s="491"/>
      <c r="G16" s="345">
        <v>59</v>
      </c>
      <c r="H16" s="678">
        <v>129</v>
      </c>
      <c r="I16" s="345">
        <v>239</v>
      </c>
      <c r="J16" s="345">
        <v>157</v>
      </c>
      <c r="K16" s="570"/>
      <c r="L16" s="345">
        <v>131</v>
      </c>
      <c r="M16" s="239"/>
    </row>
    <row r="17" spans="1:13" ht="12" customHeight="1">
      <c r="A17" s="4"/>
      <c r="B17" s="110"/>
      <c r="C17" s="491"/>
      <c r="D17" s="491"/>
      <c r="E17"/>
      <c r="F17" s="491"/>
      <c r="G17" s="491"/>
      <c r="H17" s="491"/>
      <c r="I17" s="491"/>
      <c r="J17" s="491"/>
      <c r="K17" s="491"/>
      <c r="L17" s="377"/>
      <c r="M17" s="239"/>
    </row>
    <row r="18" spans="1:13" s="3" customFormat="1" ht="12" customHeight="1">
      <c r="A18" s="200"/>
      <c r="B18" s="255" t="s">
        <v>56</v>
      </c>
      <c r="C18" s="382" t="s">
        <v>43</v>
      </c>
      <c r="D18" s="445" t="s">
        <v>43</v>
      </c>
      <c r="E18" s="555" t="s">
        <v>43</v>
      </c>
      <c r="F18" s="491"/>
      <c r="G18" s="555" t="s">
        <v>43</v>
      </c>
      <c r="H18" s="555" t="s">
        <v>43</v>
      </c>
      <c r="I18" s="445" t="s">
        <v>43</v>
      </c>
      <c r="J18" s="445" t="s">
        <v>43</v>
      </c>
      <c r="K18" s="491"/>
      <c r="L18" s="555" t="s">
        <v>43</v>
      </c>
      <c r="M18" s="239"/>
    </row>
    <row r="19" spans="1:13" s="3" customFormat="1" ht="15" customHeight="1">
      <c r="A19" s="200"/>
      <c r="B19" s="11" t="s">
        <v>42</v>
      </c>
      <c r="C19" s="498">
        <v>24.8</v>
      </c>
      <c r="D19" s="499">
        <v>25.7</v>
      </c>
      <c r="E19" s="556">
        <v>25.7</v>
      </c>
      <c r="F19" s="491"/>
      <c r="G19" s="556">
        <v>26.4</v>
      </c>
      <c r="H19" s="679">
        <v>26.9</v>
      </c>
      <c r="I19" s="499">
        <v>26.9</v>
      </c>
      <c r="J19" s="499">
        <v>27.2</v>
      </c>
      <c r="K19" s="491"/>
      <c r="L19" s="556">
        <v>26.9</v>
      </c>
      <c r="M19" s="239"/>
    </row>
    <row r="20" spans="1:13" ht="12" customHeight="1">
      <c r="A20" s="4"/>
      <c r="B20" s="114" t="s">
        <v>36</v>
      </c>
      <c r="C20" s="391">
        <v>82.3</v>
      </c>
      <c r="D20" s="392">
        <v>84.9</v>
      </c>
      <c r="E20" s="571">
        <v>81.7</v>
      </c>
      <c r="F20" s="491"/>
      <c r="G20" s="571">
        <v>84.9</v>
      </c>
      <c r="H20" s="680">
        <v>82.7</v>
      </c>
      <c r="I20" s="392">
        <v>82.6</v>
      </c>
      <c r="J20" s="392">
        <v>83.6</v>
      </c>
      <c r="K20" s="491"/>
      <c r="L20" s="571">
        <v>84.4</v>
      </c>
      <c r="M20" s="239"/>
    </row>
    <row r="21" spans="1:13" ht="12" customHeight="1">
      <c r="A21" s="4"/>
      <c r="B21" s="114" t="s">
        <v>28</v>
      </c>
      <c r="C21" s="391">
        <v>22.1</v>
      </c>
      <c r="D21" s="392">
        <v>21.9</v>
      </c>
      <c r="E21" s="370">
        <v>21.4</v>
      </c>
      <c r="F21" s="491"/>
      <c r="G21" s="370">
        <v>20.9</v>
      </c>
      <c r="H21" s="681">
        <v>19.5</v>
      </c>
      <c r="I21" s="392">
        <v>20.6</v>
      </c>
      <c r="J21" s="392">
        <v>20.2</v>
      </c>
      <c r="K21" s="491"/>
      <c r="L21" s="370">
        <v>21.1</v>
      </c>
      <c r="M21" s="239"/>
    </row>
    <row r="22" spans="1:13" ht="12" customHeight="1">
      <c r="B22" s="114" t="s">
        <v>29</v>
      </c>
      <c r="C22" s="391">
        <v>3</v>
      </c>
      <c r="D22" s="392">
        <v>3</v>
      </c>
      <c r="E22" s="571">
        <v>3</v>
      </c>
      <c r="F22" s="491"/>
      <c r="G22" s="571">
        <v>3</v>
      </c>
      <c r="H22" s="680">
        <v>2.8</v>
      </c>
      <c r="I22" s="392">
        <v>2.9</v>
      </c>
      <c r="J22" s="392">
        <v>2.9</v>
      </c>
      <c r="K22" s="491"/>
      <c r="L22" s="571">
        <v>3</v>
      </c>
      <c r="M22" s="239"/>
    </row>
    <row r="23" spans="1:13" ht="12" customHeight="1">
      <c r="A23" s="4"/>
      <c r="B23" s="114"/>
      <c r="C23" s="491"/>
      <c r="D23" s="491"/>
      <c r="E23"/>
      <c r="F23" s="491"/>
      <c r="G23" s="491"/>
      <c r="H23" s="491"/>
      <c r="I23" s="491"/>
      <c r="J23" s="491"/>
      <c r="K23" s="491"/>
      <c r="L23" s="491"/>
      <c r="M23" s="239"/>
    </row>
    <row r="24" spans="1:13" ht="12" customHeight="1">
      <c r="A24" s="4"/>
      <c r="B24" s="255" t="s">
        <v>51</v>
      </c>
      <c r="C24" s="357"/>
      <c r="D24" s="535"/>
      <c r="E24"/>
      <c r="F24" s="491"/>
      <c r="G24" s="535"/>
      <c r="H24" s="535"/>
      <c r="I24" s="535"/>
      <c r="J24" s="535"/>
      <c r="K24" s="491"/>
      <c r="L24" s="535"/>
      <c r="M24" s="239"/>
    </row>
    <row r="25" spans="1:13" ht="12" customHeight="1">
      <c r="B25" s="254" t="s">
        <v>13</v>
      </c>
      <c r="C25" s="546">
        <v>0.188</v>
      </c>
      <c r="D25" s="547">
        <v>0.18</v>
      </c>
      <c r="E25" s="547">
        <v>0.152</v>
      </c>
      <c r="F25" s="491"/>
      <c r="G25" s="547">
        <v>8.4000000000000005E-2</v>
      </c>
      <c r="H25" s="682">
        <v>0.18300000000000002</v>
      </c>
      <c r="I25" s="547">
        <v>0.32900000000000001</v>
      </c>
      <c r="J25" s="547">
        <v>0.217</v>
      </c>
      <c r="K25" s="491"/>
      <c r="L25" s="547">
        <v>0.17800000000000002</v>
      </c>
      <c r="M25" s="239"/>
    </row>
    <row r="26" spans="1:13" ht="12" customHeight="1">
      <c r="B26" s="119" t="s">
        <v>57</v>
      </c>
      <c r="C26" s="369">
        <v>3.1</v>
      </c>
      <c r="D26" s="370">
        <v>3</v>
      </c>
      <c r="E26" s="370">
        <v>3</v>
      </c>
      <c r="F26" s="491"/>
      <c r="G26" s="370">
        <v>2.8</v>
      </c>
      <c r="H26" s="681">
        <v>2.8</v>
      </c>
      <c r="I26" s="370">
        <v>2.9</v>
      </c>
      <c r="J26" s="370">
        <v>2.9</v>
      </c>
      <c r="K26" s="491"/>
      <c r="L26" s="370">
        <v>2.9</v>
      </c>
      <c r="M26" s="239"/>
    </row>
    <row r="27" spans="1:13" ht="12" customHeight="1">
      <c r="B27" s="119" t="s">
        <v>119</v>
      </c>
      <c r="C27" s="1081">
        <v>0.5</v>
      </c>
      <c r="D27" s="1082">
        <v>0.53</v>
      </c>
      <c r="E27" s="1077">
        <v>0.57999999999999996</v>
      </c>
      <c r="F27" s="1084"/>
      <c r="G27" s="1077">
        <v>0.68</v>
      </c>
      <c r="H27" s="1078">
        <v>0.5</v>
      </c>
      <c r="I27" s="1082">
        <v>0.45</v>
      </c>
      <c r="J27" s="1082">
        <v>0.45</v>
      </c>
      <c r="K27" s="1084"/>
      <c r="L27" s="1077">
        <v>0.46</v>
      </c>
      <c r="M27" s="239"/>
    </row>
    <row r="28" spans="1:13" ht="12" customHeight="1">
      <c r="B28" s="119" t="s">
        <v>53</v>
      </c>
      <c r="C28" s="344">
        <v>21</v>
      </c>
      <c r="D28" s="346">
        <v>12</v>
      </c>
      <c r="E28" s="346">
        <v>23</v>
      </c>
      <c r="F28" s="491"/>
      <c r="G28" s="346">
        <v>27</v>
      </c>
      <c r="H28" s="627">
        <v>21</v>
      </c>
      <c r="I28" s="346">
        <v>-123</v>
      </c>
      <c r="J28" s="346">
        <v>36</v>
      </c>
      <c r="K28" s="491"/>
      <c r="L28" s="346">
        <v>74</v>
      </c>
      <c r="M28" s="239"/>
    </row>
    <row r="29" spans="1:13" ht="12" customHeight="1">
      <c r="A29" s="4"/>
      <c r="B29" s="253"/>
      <c r="C29" s="330"/>
      <c r="D29" s="393"/>
      <c r="E29"/>
      <c r="F29" s="491"/>
      <c r="G29" s="393"/>
      <c r="H29" s="393"/>
      <c r="I29" s="393"/>
      <c r="J29" s="393"/>
      <c r="K29" s="491"/>
      <c r="L29" s="393"/>
      <c r="M29" s="239"/>
    </row>
    <row r="30" spans="1:13" ht="12" customHeight="1">
      <c r="A30" s="4"/>
      <c r="B30" s="255" t="s">
        <v>47</v>
      </c>
      <c r="C30" s="382" t="s">
        <v>1</v>
      </c>
      <c r="D30" s="445" t="s">
        <v>1</v>
      </c>
      <c r="E30" s="382" t="s">
        <v>1</v>
      </c>
      <c r="F30" s="491"/>
      <c r="G30" s="382" t="s">
        <v>1</v>
      </c>
      <c r="H30" s="382" t="s">
        <v>1</v>
      </c>
      <c r="I30" s="445" t="s">
        <v>1</v>
      </c>
      <c r="J30" s="445" t="s">
        <v>1</v>
      </c>
      <c r="K30" s="491"/>
      <c r="L30" s="445" t="s">
        <v>1</v>
      </c>
      <c r="M30" s="239"/>
    </row>
    <row r="31" spans="1:13" ht="12" customHeight="1">
      <c r="B31" s="11" t="s">
        <v>72</v>
      </c>
      <c r="C31" s="511">
        <v>67</v>
      </c>
      <c r="D31" s="512">
        <v>57</v>
      </c>
      <c r="E31" s="512">
        <v>72</v>
      </c>
      <c r="F31" s="618"/>
      <c r="G31" s="512">
        <v>64</v>
      </c>
      <c r="H31" s="660">
        <v>69</v>
      </c>
      <c r="I31" s="512">
        <v>68</v>
      </c>
      <c r="J31" s="512">
        <v>61</v>
      </c>
      <c r="K31" s="618"/>
      <c r="L31" s="469">
        <v>66</v>
      </c>
      <c r="M31" s="239"/>
    </row>
    <row r="32" spans="1:13" ht="12" customHeight="1">
      <c r="B32" s="116" t="s">
        <v>73</v>
      </c>
      <c r="C32" s="349">
        <v>378</v>
      </c>
      <c r="D32" s="358">
        <v>386</v>
      </c>
      <c r="E32" s="543">
        <v>362</v>
      </c>
      <c r="F32" s="618"/>
      <c r="G32" s="543">
        <v>331</v>
      </c>
      <c r="H32" s="676">
        <v>371</v>
      </c>
      <c r="I32" s="358">
        <v>404</v>
      </c>
      <c r="J32" s="358">
        <v>402</v>
      </c>
      <c r="K32" s="619"/>
      <c r="L32" s="557" t="s">
        <v>141</v>
      </c>
      <c r="M32" s="239"/>
    </row>
    <row r="33" spans="2:13" ht="12" customHeight="1">
      <c r="B33" s="115" t="s">
        <v>18</v>
      </c>
      <c r="C33" s="354">
        <v>445</v>
      </c>
      <c r="D33" s="355">
        <v>443</v>
      </c>
      <c r="E33" s="545">
        <v>434</v>
      </c>
      <c r="F33" s="491"/>
      <c r="G33" s="545">
        <v>395</v>
      </c>
      <c r="H33" s="677">
        <v>440</v>
      </c>
      <c r="I33" s="355">
        <v>472</v>
      </c>
      <c r="J33" s="355">
        <v>463</v>
      </c>
      <c r="K33" s="491"/>
      <c r="L33" s="558">
        <v>477</v>
      </c>
      <c r="M33" s="239"/>
    </row>
    <row r="34" spans="2:13" ht="12" customHeight="1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239"/>
    </row>
    <row r="35" spans="2:13" ht="12" customHeight="1">
      <c r="B35" s="41"/>
      <c r="C35" s="241"/>
      <c r="D35" s="294"/>
      <c r="E35" s="241"/>
      <c r="F35" s="241"/>
      <c r="G35" s="241"/>
      <c r="H35" s="241"/>
      <c r="I35" s="294"/>
      <c r="J35" s="241"/>
      <c r="K35" s="241"/>
      <c r="L35" s="241"/>
      <c r="M35" s="239"/>
    </row>
    <row r="36" spans="2:13" ht="14.25" customHeight="1">
      <c r="B36" s="19"/>
      <c r="C36" s="240"/>
      <c r="D36" s="297"/>
      <c r="E36" s="240"/>
      <c r="F36" s="240"/>
      <c r="G36" s="240"/>
      <c r="H36" s="240"/>
      <c r="I36" s="297"/>
      <c r="J36" s="240"/>
      <c r="K36" s="240"/>
      <c r="L36" s="240"/>
      <c r="M36" s="239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ignoredErrors>
    <ignoredError sqref="L3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2:L31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1.453125" style="1" bestFit="1" customWidth="1"/>
    <col min="3" max="3" width="7.7265625" style="1" customWidth="1"/>
    <col min="4" max="4" width="7.7265625" style="188" customWidth="1"/>
    <col min="5" max="5" width="7.7265625" style="1" customWidth="1"/>
    <col min="6" max="6" width="2.453125" style="1" customWidth="1"/>
    <col min="7" max="8" width="8.453125" style="1" customWidth="1"/>
    <col min="9" max="9" width="8.453125" style="188" customWidth="1"/>
    <col min="10" max="10" width="8.453125" style="1" customWidth="1"/>
    <col min="11" max="11" width="2.453125" style="1" customWidth="1"/>
    <col min="12" max="12" width="7.81640625" style="1" customWidth="1"/>
    <col min="13" max="227" width="8" style="1" customWidth="1"/>
    <col min="228" max="16384" width="9" style="1"/>
  </cols>
  <sheetData>
    <row r="2" spans="1:12" ht="31">
      <c r="B2" s="239" t="s">
        <v>126</v>
      </c>
      <c r="C2" s="231"/>
      <c r="D2" s="282"/>
      <c r="E2" s="239"/>
      <c r="F2" s="231"/>
      <c r="G2" s="231"/>
      <c r="H2" s="231"/>
      <c r="I2" s="282"/>
      <c r="J2" s="239"/>
      <c r="K2" s="231"/>
      <c r="L2" s="231"/>
    </row>
    <row r="3" spans="1:12" ht="12" customHeight="1">
      <c r="B3" s="230"/>
      <c r="C3" s="267" t="s">
        <v>191</v>
      </c>
      <c r="D3" s="267" t="s">
        <v>151</v>
      </c>
      <c r="E3" s="620" t="s">
        <v>130</v>
      </c>
      <c r="F3" s="123"/>
      <c r="G3" s="123" t="s">
        <v>131</v>
      </c>
      <c r="H3" s="123" t="s">
        <v>132</v>
      </c>
      <c r="I3" s="267" t="s">
        <v>133</v>
      </c>
      <c r="J3" s="620" t="s">
        <v>111</v>
      </c>
      <c r="K3" s="140"/>
      <c r="L3" s="140" t="s">
        <v>115</v>
      </c>
    </row>
    <row r="4" spans="1:12" ht="13.5" customHeight="1">
      <c r="B4" s="117" t="s">
        <v>46</v>
      </c>
      <c r="C4" s="268" t="s">
        <v>1</v>
      </c>
      <c r="D4" s="268" t="s">
        <v>1</v>
      </c>
      <c r="E4" s="268" t="s">
        <v>1</v>
      </c>
      <c r="F4" s="123"/>
      <c r="G4" s="141" t="s">
        <v>1</v>
      </c>
      <c r="H4" s="124" t="s">
        <v>1</v>
      </c>
      <c r="I4" s="268" t="s">
        <v>1</v>
      </c>
      <c r="J4" s="268" t="s">
        <v>1</v>
      </c>
      <c r="K4" s="734"/>
      <c r="L4" s="141" t="s">
        <v>1</v>
      </c>
    </row>
    <row r="5" spans="1:12" ht="13.5" customHeight="1">
      <c r="B5" s="111" t="s">
        <v>54</v>
      </c>
      <c r="C5" s="511">
        <v>189</v>
      </c>
      <c r="D5" s="512">
        <v>187</v>
      </c>
      <c r="E5" s="512">
        <v>175</v>
      </c>
      <c r="F5" s="123"/>
      <c r="G5" s="512">
        <v>182</v>
      </c>
      <c r="H5" s="683">
        <v>219</v>
      </c>
      <c r="I5" s="512">
        <v>186</v>
      </c>
      <c r="J5" s="512">
        <v>181</v>
      </c>
      <c r="K5" s="570"/>
      <c r="L5" s="512">
        <v>205</v>
      </c>
    </row>
    <row r="6" spans="1:12" ht="13.5" customHeight="1">
      <c r="B6" s="252" t="s">
        <v>55</v>
      </c>
      <c r="C6" s="542">
        <v>137</v>
      </c>
      <c r="D6" s="554">
        <v>133</v>
      </c>
      <c r="E6" s="554">
        <v>137</v>
      </c>
      <c r="F6" s="491"/>
      <c r="G6" s="554">
        <v>131</v>
      </c>
      <c r="H6" s="684">
        <v>118</v>
      </c>
      <c r="I6" s="543">
        <v>113</v>
      </c>
      <c r="J6" s="543">
        <v>78</v>
      </c>
      <c r="K6" s="570"/>
      <c r="L6" s="543">
        <v>81</v>
      </c>
    </row>
    <row r="7" spans="1:12" ht="12" customHeight="1">
      <c r="B7" s="256" t="s">
        <v>18</v>
      </c>
      <c r="C7" s="544">
        <v>326</v>
      </c>
      <c r="D7" s="545">
        <v>320</v>
      </c>
      <c r="E7" s="545">
        <v>312</v>
      </c>
      <c r="F7" s="491"/>
      <c r="G7" s="545">
        <v>313</v>
      </c>
      <c r="H7" s="685">
        <v>337</v>
      </c>
      <c r="I7" s="545">
        <v>299</v>
      </c>
      <c r="J7" s="545">
        <v>259</v>
      </c>
      <c r="K7" s="570"/>
      <c r="L7" s="545">
        <v>286</v>
      </c>
    </row>
    <row r="8" spans="1:12" ht="12.5">
      <c r="A8" s="4"/>
      <c r="B8" s="114" t="s">
        <v>17</v>
      </c>
      <c r="C8" s="344">
        <v>-222</v>
      </c>
      <c r="D8" s="346">
        <v>-220</v>
      </c>
      <c r="E8" s="346">
        <v>-214</v>
      </c>
      <c r="F8" s="491"/>
      <c r="G8" s="346">
        <v>-255</v>
      </c>
      <c r="H8" s="633">
        <v>-214</v>
      </c>
      <c r="I8" s="346">
        <v>-182</v>
      </c>
      <c r="J8" s="346">
        <v>-144</v>
      </c>
      <c r="K8" s="570"/>
      <c r="L8" s="346">
        <v>-153</v>
      </c>
    </row>
    <row r="9" spans="1:12" ht="12" customHeight="1">
      <c r="A9" s="4"/>
      <c r="B9" s="114" t="s">
        <v>136</v>
      </c>
      <c r="C9" s="344">
        <v>1</v>
      </c>
      <c r="D9" s="346">
        <v>0</v>
      </c>
      <c r="E9" s="346">
        <v>-3</v>
      </c>
      <c r="F9" s="491"/>
      <c r="G9" s="346">
        <v>-4</v>
      </c>
      <c r="H9" s="633">
        <v>0</v>
      </c>
      <c r="I9" s="346">
        <v>0</v>
      </c>
      <c r="J9" s="346">
        <v>0</v>
      </c>
      <c r="K9" s="570"/>
      <c r="L9" s="346">
        <v>-4</v>
      </c>
    </row>
    <row r="10" spans="1:12" ht="12" customHeight="1">
      <c r="A10" s="4"/>
      <c r="B10" s="252" t="s">
        <v>3</v>
      </c>
      <c r="C10" s="542">
        <v>0</v>
      </c>
      <c r="D10" s="543">
        <v>1</v>
      </c>
      <c r="E10" s="543">
        <v>0</v>
      </c>
      <c r="F10" s="491"/>
      <c r="G10" s="543">
        <v>2</v>
      </c>
      <c r="H10" s="684">
        <v>0</v>
      </c>
      <c r="I10" s="543">
        <v>0</v>
      </c>
      <c r="J10" s="543">
        <v>0</v>
      </c>
      <c r="K10" s="570"/>
      <c r="L10" s="543">
        <v>0</v>
      </c>
    </row>
    <row r="11" spans="1:12" ht="12" customHeight="1">
      <c r="A11" s="4"/>
      <c r="B11" s="256" t="s">
        <v>4</v>
      </c>
      <c r="C11" s="544">
        <v>-221</v>
      </c>
      <c r="D11" s="545">
        <v>-219</v>
      </c>
      <c r="E11" s="545">
        <v>-217</v>
      </c>
      <c r="F11" s="491"/>
      <c r="G11" s="545">
        <v>-257</v>
      </c>
      <c r="H11" s="685">
        <v>-214</v>
      </c>
      <c r="I11" s="545">
        <v>-182</v>
      </c>
      <c r="J11" s="545">
        <v>-144</v>
      </c>
      <c r="K11" s="570"/>
      <c r="L11" s="545">
        <v>-157</v>
      </c>
    </row>
    <row r="12" spans="1:12" ht="12" customHeight="1">
      <c r="A12" s="4"/>
      <c r="B12" s="116" t="s">
        <v>49</v>
      </c>
      <c r="C12" s="349">
        <v>0</v>
      </c>
      <c r="D12" s="358">
        <v>0</v>
      </c>
      <c r="E12" s="358">
        <v>0</v>
      </c>
      <c r="F12" s="491"/>
      <c r="G12" s="358">
        <v>0</v>
      </c>
      <c r="H12" s="686">
        <v>0</v>
      </c>
      <c r="I12" s="358">
        <v>0</v>
      </c>
      <c r="J12" s="358">
        <v>0</v>
      </c>
      <c r="K12" s="570"/>
      <c r="L12" s="358">
        <v>0</v>
      </c>
    </row>
    <row r="13" spans="1:12" ht="12" customHeight="1">
      <c r="A13" s="4"/>
      <c r="B13" s="110" t="s">
        <v>108</v>
      </c>
      <c r="C13" s="354">
        <v>105</v>
      </c>
      <c r="D13" s="355">
        <v>101</v>
      </c>
      <c r="E13" s="355">
        <v>95</v>
      </c>
      <c r="F13" s="491"/>
      <c r="G13" s="355">
        <v>56</v>
      </c>
      <c r="H13" s="687">
        <v>123</v>
      </c>
      <c r="I13" s="355">
        <v>117</v>
      </c>
      <c r="J13" s="355">
        <v>115</v>
      </c>
      <c r="K13" s="570"/>
      <c r="L13" s="355">
        <v>129</v>
      </c>
    </row>
    <row r="14" spans="1:12" ht="12" customHeight="1">
      <c r="A14" s="4"/>
      <c r="B14" s="114" t="s">
        <v>74</v>
      </c>
      <c r="C14" s="349">
        <v>-7</v>
      </c>
      <c r="D14" s="358">
        <v>3</v>
      </c>
      <c r="E14" s="358">
        <v>0</v>
      </c>
      <c r="F14" s="491"/>
      <c r="G14" s="358">
        <v>4</v>
      </c>
      <c r="H14" s="686">
        <v>2</v>
      </c>
      <c r="I14" s="358">
        <v>-7</v>
      </c>
      <c r="J14" s="358">
        <v>-3</v>
      </c>
      <c r="K14" s="570"/>
      <c r="L14" s="358">
        <v>-10</v>
      </c>
    </row>
    <row r="15" spans="1:12" s="3" customFormat="1" ht="12" customHeight="1">
      <c r="A15" s="200"/>
      <c r="B15" s="115" t="s">
        <v>19</v>
      </c>
      <c r="C15" s="354">
        <v>98</v>
      </c>
      <c r="D15" s="355">
        <v>104</v>
      </c>
      <c r="E15" s="355">
        <v>95</v>
      </c>
      <c r="F15" s="491"/>
      <c r="G15" s="355">
        <v>60</v>
      </c>
      <c r="H15" s="687">
        <v>125</v>
      </c>
      <c r="I15" s="355">
        <v>110</v>
      </c>
      <c r="J15" s="355">
        <v>112</v>
      </c>
      <c r="K15" s="570"/>
      <c r="L15" s="355">
        <v>119</v>
      </c>
    </row>
    <row r="16" spans="1:12" ht="12.5">
      <c r="A16" s="4"/>
      <c r="B16" s="114" t="s">
        <v>50</v>
      </c>
      <c r="C16" s="487">
        <v>74</v>
      </c>
      <c r="D16" s="345">
        <v>77</v>
      </c>
      <c r="E16" s="345">
        <v>74</v>
      </c>
      <c r="F16" s="491"/>
      <c r="G16" s="345">
        <v>47</v>
      </c>
      <c r="H16" s="688">
        <v>102</v>
      </c>
      <c r="I16" s="345">
        <v>91</v>
      </c>
      <c r="J16" s="345">
        <v>90</v>
      </c>
      <c r="K16" s="570"/>
      <c r="L16" s="345">
        <v>92</v>
      </c>
    </row>
    <row r="17" spans="1:12" ht="12" customHeight="1">
      <c r="A17" s="4"/>
      <c r="B17" s="110"/>
      <c r="C17" s="491"/>
      <c r="D17" s="491"/>
      <c r="E17"/>
      <c r="F17" s="491"/>
      <c r="G17" s="491"/>
      <c r="H17" s="491"/>
      <c r="I17" s="491"/>
      <c r="J17" s="491"/>
      <c r="K17" s="735"/>
      <c r="L17" s="377"/>
    </row>
    <row r="18" spans="1:12" s="3" customFormat="1" ht="12" customHeight="1">
      <c r="A18" s="200"/>
      <c r="B18" s="255" t="s">
        <v>56</v>
      </c>
      <c r="C18" s="382" t="s">
        <v>43</v>
      </c>
      <c r="D18" s="555" t="s">
        <v>43</v>
      </c>
      <c r="E18" s="555" t="s">
        <v>43</v>
      </c>
      <c r="F18" s="491"/>
      <c r="G18" s="555" t="s">
        <v>43</v>
      </c>
      <c r="H18" s="555" t="s">
        <v>43</v>
      </c>
      <c r="I18" s="445" t="s">
        <v>43</v>
      </c>
      <c r="J18" s="445" t="s">
        <v>43</v>
      </c>
      <c r="K18" s="735"/>
      <c r="L18" s="555" t="s">
        <v>43</v>
      </c>
    </row>
    <row r="19" spans="1:12" s="3" customFormat="1" ht="12" customHeight="1">
      <c r="A19" s="200"/>
      <c r="B19" s="11" t="s">
        <v>42</v>
      </c>
      <c r="C19" s="498">
        <v>14</v>
      </c>
      <c r="D19" s="556">
        <v>13.9</v>
      </c>
      <c r="E19" s="556">
        <v>13.7</v>
      </c>
      <c r="F19" s="491"/>
      <c r="G19" s="556">
        <v>13.6</v>
      </c>
      <c r="H19" s="689">
        <v>13.4</v>
      </c>
      <c r="I19" s="499">
        <v>13.8</v>
      </c>
      <c r="J19" s="499">
        <v>14.3</v>
      </c>
      <c r="K19" s="735"/>
      <c r="L19" s="556">
        <v>14.4</v>
      </c>
    </row>
    <row r="20" spans="1:12" ht="12" customHeight="1">
      <c r="A20" s="4"/>
      <c r="B20" s="114" t="s">
        <v>36</v>
      </c>
      <c r="C20" s="391">
        <v>64.8</v>
      </c>
      <c r="D20" s="571">
        <v>64.599999999999994</v>
      </c>
      <c r="E20" s="571">
        <v>61.9</v>
      </c>
      <c r="F20" s="491"/>
      <c r="G20" s="571">
        <v>60.3</v>
      </c>
      <c r="H20" s="690">
        <v>59.7</v>
      </c>
      <c r="I20" s="392">
        <v>59.2</v>
      </c>
      <c r="J20" s="392">
        <v>60.8</v>
      </c>
      <c r="K20" s="735"/>
      <c r="L20" s="571">
        <v>62.3</v>
      </c>
    </row>
    <row r="21" spans="1:12" ht="12" customHeight="1">
      <c r="A21" s="4"/>
      <c r="B21" s="114" t="s">
        <v>9</v>
      </c>
      <c r="C21" s="391">
        <v>7.3</v>
      </c>
      <c r="D21" s="392">
        <v>7</v>
      </c>
      <c r="E21" s="392">
        <v>7.2</v>
      </c>
      <c r="F21" s="491"/>
      <c r="G21" s="392">
        <v>7.2</v>
      </c>
      <c r="H21" s="651">
        <v>7.2</v>
      </c>
      <c r="I21" s="392">
        <v>7.2</v>
      </c>
      <c r="J21" s="392">
        <v>7.5</v>
      </c>
      <c r="K21" s="735"/>
      <c r="L21" s="392">
        <v>7.8</v>
      </c>
    </row>
    <row r="22" spans="1:12" ht="12" customHeight="1">
      <c r="B22" s="114" t="s">
        <v>29</v>
      </c>
      <c r="C22" s="391">
        <v>1</v>
      </c>
      <c r="D22" s="370">
        <v>1</v>
      </c>
      <c r="E22" s="370">
        <v>1</v>
      </c>
      <c r="F22" s="491"/>
      <c r="G22" s="370">
        <v>1</v>
      </c>
      <c r="H22" s="691">
        <v>1</v>
      </c>
      <c r="I22" s="392">
        <v>1</v>
      </c>
      <c r="J22" s="392">
        <v>1</v>
      </c>
      <c r="K22" s="735"/>
      <c r="L22" s="370">
        <v>1.1000000000000001</v>
      </c>
    </row>
    <row r="23" spans="1:12" ht="12" customHeight="1">
      <c r="A23" s="4"/>
      <c r="B23" s="114" t="s">
        <v>137</v>
      </c>
      <c r="C23" s="391">
        <v>201.5</v>
      </c>
      <c r="D23" s="571">
        <v>198.5</v>
      </c>
      <c r="E23" s="571">
        <v>189.1</v>
      </c>
      <c r="F23" s="491"/>
      <c r="G23" s="571">
        <v>182.9</v>
      </c>
      <c r="H23" s="690">
        <v>178.7</v>
      </c>
      <c r="I23" s="392">
        <v>174.1</v>
      </c>
      <c r="J23" s="392">
        <v>141.5</v>
      </c>
      <c r="K23" s="735"/>
      <c r="L23" s="571">
        <v>139.4</v>
      </c>
    </row>
    <row r="24" spans="1:12" ht="12" customHeight="1">
      <c r="A24" s="4"/>
      <c r="B24" s="114"/>
      <c r="C24" s="377"/>
      <c r="D24" s="377"/>
      <c r="E24"/>
      <c r="F24" s="491"/>
      <c r="G24" s="377"/>
      <c r="H24" s="377"/>
      <c r="I24" s="377"/>
      <c r="J24" s="377"/>
      <c r="K24" s="735"/>
      <c r="L24" s="377"/>
    </row>
    <row r="25" spans="1:12" ht="12" customHeight="1">
      <c r="A25" s="4"/>
      <c r="B25" s="255" t="s">
        <v>51</v>
      </c>
      <c r="C25" s="572"/>
      <c r="D25" s="364"/>
      <c r="E25" s="364"/>
      <c r="F25" s="491"/>
      <c r="G25" s="364"/>
      <c r="H25" s="572"/>
      <c r="I25" s="572"/>
      <c r="J25" s="572"/>
      <c r="K25" s="735"/>
      <c r="L25" s="572"/>
    </row>
    <row r="26" spans="1:12" ht="12" customHeight="1">
      <c r="B26" s="254" t="s">
        <v>13</v>
      </c>
      <c r="C26" s="546">
        <v>0.28999999999999998</v>
      </c>
      <c r="D26" s="547">
        <v>0.308</v>
      </c>
      <c r="E26" s="547">
        <v>0.28699999999999998</v>
      </c>
      <c r="F26" s="491"/>
      <c r="G26" s="547">
        <v>0.19100000000000003</v>
      </c>
      <c r="H26" s="692">
        <v>0.41200000000000003</v>
      </c>
      <c r="I26" s="547">
        <v>0.35899999999999999</v>
      </c>
      <c r="J26" s="547">
        <v>0.34500000000000003</v>
      </c>
      <c r="K26" s="735"/>
      <c r="L26" s="547">
        <v>0.34899999999999998</v>
      </c>
    </row>
    <row r="27" spans="1:12" ht="12" customHeight="1">
      <c r="B27" s="119" t="s">
        <v>57</v>
      </c>
      <c r="C27" s="369">
        <v>1</v>
      </c>
      <c r="D27" s="370">
        <v>1</v>
      </c>
      <c r="E27" s="370">
        <v>1</v>
      </c>
      <c r="F27" s="491"/>
      <c r="G27" s="370">
        <v>1</v>
      </c>
      <c r="H27" s="691">
        <v>1</v>
      </c>
      <c r="I27" s="370">
        <v>1</v>
      </c>
      <c r="J27" s="370">
        <v>1</v>
      </c>
      <c r="K27" s="735"/>
      <c r="L27" s="370">
        <v>1.1000000000000001</v>
      </c>
    </row>
    <row r="28" spans="1:12" ht="12" customHeight="1">
      <c r="B28" s="119" t="s">
        <v>44</v>
      </c>
      <c r="C28" s="1081">
        <v>0.68</v>
      </c>
      <c r="D28" s="1082">
        <v>0.68</v>
      </c>
      <c r="E28" s="1082">
        <v>0.70000000000000007</v>
      </c>
      <c r="F28" s="1084"/>
      <c r="G28" s="1082">
        <v>0.82000000000000006</v>
      </c>
      <c r="H28" s="1085">
        <v>0.63</v>
      </c>
      <c r="I28" s="1077">
        <v>0.61</v>
      </c>
      <c r="J28" s="1077">
        <v>0.56000000000000005</v>
      </c>
      <c r="K28" s="1086"/>
      <c r="L28" s="1082">
        <v>0.55000000000000004</v>
      </c>
    </row>
    <row r="29" spans="1:12" ht="12" customHeight="1">
      <c r="B29" s="119" t="s">
        <v>53</v>
      </c>
      <c r="C29" s="344">
        <v>19</v>
      </c>
      <c r="D29" s="346">
        <v>-9</v>
      </c>
      <c r="E29" s="346">
        <v>0</v>
      </c>
      <c r="F29" s="491"/>
      <c r="G29" s="346">
        <v>-10</v>
      </c>
      <c r="H29" s="633">
        <v>-7</v>
      </c>
      <c r="I29" s="346">
        <v>20</v>
      </c>
      <c r="J29" s="346">
        <v>7</v>
      </c>
      <c r="K29" s="735"/>
      <c r="L29" s="346">
        <v>26</v>
      </c>
    </row>
    <row r="30" spans="1:12" ht="12" customHeight="1">
      <c r="A30" s="4"/>
      <c r="B30" s="253"/>
      <c r="C30"/>
      <c r="D30"/>
      <c r="E30"/>
      <c r="F30"/>
      <c r="G30"/>
      <c r="H30"/>
      <c r="I30"/>
      <c r="J30"/>
      <c r="K30"/>
      <c r="L30"/>
    </row>
    <row r="31" spans="1:12" ht="12" customHeight="1">
      <c r="A31" s="4"/>
      <c r="C31"/>
      <c r="D31"/>
      <c r="E31"/>
      <c r="F31"/>
      <c r="G31"/>
      <c r="H31"/>
      <c r="I31"/>
      <c r="J31"/>
      <c r="K31"/>
      <c r="L31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2:M52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6.26953125" style="1" customWidth="1"/>
    <col min="3" max="3" width="7" style="1" customWidth="1"/>
    <col min="4" max="5" width="9.453125" style="188" bestFit="1" customWidth="1"/>
    <col min="6" max="6" width="1.453125" customWidth="1"/>
    <col min="7" max="8" width="7.81640625" style="1" customWidth="1"/>
    <col min="9" max="9" width="7.81640625" style="188" customWidth="1"/>
    <col min="10" max="10" width="9.453125" style="188" bestFit="1" customWidth="1"/>
    <col min="11" max="11" width="1.453125" customWidth="1"/>
    <col min="12" max="12" width="7.81640625" style="1" customWidth="1"/>
    <col min="13" max="13" width="2.1796875" style="1" customWidth="1"/>
    <col min="14" max="228" width="8" style="1" customWidth="1"/>
    <col min="229" max="16384" width="9" style="1"/>
  </cols>
  <sheetData>
    <row r="2" spans="1:13" ht="17.25" customHeight="1">
      <c r="B2" s="239" t="s">
        <v>124</v>
      </c>
      <c r="C2" s="231"/>
      <c r="D2" s="282"/>
      <c r="E2" s="282"/>
      <c r="G2" s="231"/>
      <c r="H2" s="231"/>
      <c r="I2" s="282"/>
      <c r="J2" s="282"/>
      <c r="L2" s="231"/>
      <c r="M2" s="239"/>
    </row>
    <row r="3" spans="1:13" ht="12" customHeight="1">
      <c r="B3" s="230"/>
      <c r="C3" s="267" t="s">
        <v>191</v>
      </c>
      <c r="D3" s="267" t="s">
        <v>151</v>
      </c>
      <c r="E3" s="267" t="s">
        <v>130</v>
      </c>
      <c r="G3" s="123" t="s">
        <v>131</v>
      </c>
      <c r="H3" s="123" t="s">
        <v>132</v>
      </c>
      <c r="I3" s="267" t="s">
        <v>133</v>
      </c>
      <c r="J3" s="267" t="s">
        <v>111</v>
      </c>
      <c r="L3" s="140" t="s">
        <v>115</v>
      </c>
      <c r="M3" s="20"/>
    </row>
    <row r="4" spans="1:13" ht="13.5" customHeight="1">
      <c r="B4" s="117" t="s">
        <v>46</v>
      </c>
      <c r="C4" s="268" t="s">
        <v>1</v>
      </c>
      <c r="D4" s="268" t="s">
        <v>1</v>
      </c>
      <c r="E4" s="268" t="s">
        <v>1</v>
      </c>
      <c r="G4" s="141" t="s">
        <v>1</v>
      </c>
      <c r="H4" s="124" t="s">
        <v>1</v>
      </c>
      <c r="I4" s="268" t="s">
        <v>1</v>
      </c>
      <c r="J4" s="268" t="s">
        <v>1</v>
      </c>
      <c r="L4" s="141" t="s">
        <v>1</v>
      </c>
      <c r="M4" s="82"/>
    </row>
    <row r="5" spans="1:13" ht="13.5" customHeight="1">
      <c r="B5" s="111" t="s">
        <v>54</v>
      </c>
      <c r="C5" s="112">
        <v>282</v>
      </c>
      <c r="D5" s="286">
        <v>268</v>
      </c>
      <c r="E5" s="286">
        <v>197</v>
      </c>
      <c r="G5" s="113">
        <v>282</v>
      </c>
      <c r="H5" s="112">
        <v>397</v>
      </c>
      <c r="I5" s="286">
        <v>555</v>
      </c>
      <c r="J5" s="286">
        <v>159</v>
      </c>
      <c r="L5" s="113">
        <v>228</v>
      </c>
      <c r="M5" s="66"/>
    </row>
    <row r="6" spans="1:13" ht="13.5" customHeight="1">
      <c r="B6" s="114" t="s">
        <v>66</v>
      </c>
      <c r="C6" s="209">
        <v>1512</v>
      </c>
      <c r="D6" s="269">
        <v>1485</v>
      </c>
      <c r="E6" s="269">
        <v>1982</v>
      </c>
      <c r="G6" s="208">
        <v>757</v>
      </c>
      <c r="H6" s="209">
        <v>1497</v>
      </c>
      <c r="I6" s="269">
        <v>1351</v>
      </c>
      <c r="J6" s="269">
        <v>2435</v>
      </c>
      <c r="L6" s="208">
        <v>1197</v>
      </c>
      <c r="M6" s="66"/>
    </row>
    <row r="7" spans="1:13" ht="13.5" customHeight="1">
      <c r="B7" s="252" t="s">
        <v>55</v>
      </c>
      <c r="C7" s="260">
        <v>1057</v>
      </c>
      <c r="D7" s="287">
        <v>1266</v>
      </c>
      <c r="E7" s="287">
        <v>1149</v>
      </c>
      <c r="G7" s="259">
        <v>998</v>
      </c>
      <c r="H7" s="260">
        <v>792</v>
      </c>
      <c r="I7" s="287">
        <v>837</v>
      </c>
      <c r="J7" s="287">
        <v>975</v>
      </c>
      <c r="L7" s="259">
        <v>731</v>
      </c>
      <c r="M7" s="66"/>
    </row>
    <row r="8" spans="1:13" ht="12" customHeight="1">
      <c r="B8" s="256" t="s">
        <v>18</v>
      </c>
      <c r="C8" s="258">
        <v>2851</v>
      </c>
      <c r="D8" s="288">
        <v>3019</v>
      </c>
      <c r="E8" s="288">
        <v>3328</v>
      </c>
      <c r="G8" s="257">
        <v>2037</v>
      </c>
      <c r="H8" s="258">
        <v>2686</v>
      </c>
      <c r="I8" s="288">
        <v>2743</v>
      </c>
      <c r="J8" s="288">
        <v>3569</v>
      </c>
      <c r="L8" s="257">
        <v>2156</v>
      </c>
      <c r="M8" s="106"/>
    </row>
    <row r="9" spans="1:13" ht="12.5">
      <c r="A9" s="4"/>
      <c r="B9" s="114" t="s">
        <v>17</v>
      </c>
      <c r="C9" s="209">
        <v>-1906</v>
      </c>
      <c r="D9" s="269">
        <v>-1900</v>
      </c>
      <c r="E9" s="269">
        <v>-1957</v>
      </c>
      <c r="G9" s="208">
        <v>-1934</v>
      </c>
      <c r="H9" s="209">
        <v>-1840</v>
      </c>
      <c r="I9" s="269">
        <v>-1813</v>
      </c>
      <c r="J9" s="269">
        <v>-2032</v>
      </c>
      <c r="L9" s="208">
        <v>-1619</v>
      </c>
      <c r="M9" s="66"/>
    </row>
    <row r="10" spans="1:13" ht="12" customHeight="1">
      <c r="A10" s="4"/>
      <c r="B10" s="114" t="s">
        <v>136</v>
      </c>
      <c r="C10" s="209">
        <v>7</v>
      </c>
      <c r="D10" s="269">
        <v>0</v>
      </c>
      <c r="E10" s="269">
        <v>-33</v>
      </c>
      <c r="G10" s="208">
        <v>-123</v>
      </c>
      <c r="H10" s="209">
        <v>0</v>
      </c>
      <c r="I10" s="269">
        <v>0</v>
      </c>
      <c r="J10" s="269">
        <v>0</v>
      </c>
      <c r="L10" s="208">
        <v>-119</v>
      </c>
      <c r="M10" s="66"/>
    </row>
    <row r="11" spans="1:13" ht="12" customHeight="1">
      <c r="A11" s="4"/>
      <c r="B11" s="252" t="s">
        <v>3</v>
      </c>
      <c r="C11" s="260">
        <v>-17</v>
      </c>
      <c r="D11" s="287">
        <v>-3</v>
      </c>
      <c r="E11" s="287">
        <v>-9</v>
      </c>
      <c r="G11" s="259">
        <v>-2</v>
      </c>
      <c r="H11" s="260">
        <v>6</v>
      </c>
      <c r="I11" s="287">
        <v>-1</v>
      </c>
      <c r="J11" s="287">
        <v>2</v>
      </c>
      <c r="L11" s="259">
        <v>-55</v>
      </c>
      <c r="M11" s="66"/>
    </row>
    <row r="12" spans="1:13" ht="12" customHeight="1">
      <c r="A12" s="4"/>
      <c r="B12" s="256" t="s">
        <v>4</v>
      </c>
      <c r="C12" s="258">
        <v>-1916</v>
      </c>
      <c r="D12" s="288">
        <v>-1903</v>
      </c>
      <c r="E12" s="288">
        <v>-1999</v>
      </c>
      <c r="G12" s="257">
        <v>-2059</v>
      </c>
      <c r="H12" s="258">
        <v>-1834</v>
      </c>
      <c r="I12" s="288">
        <v>-1814</v>
      </c>
      <c r="J12" s="288">
        <v>-2030</v>
      </c>
      <c r="L12" s="257">
        <v>-1793</v>
      </c>
      <c r="M12" s="106"/>
    </row>
    <row r="13" spans="1:13" ht="12" customHeight="1">
      <c r="A13" s="4"/>
      <c r="B13" s="116" t="s">
        <v>16</v>
      </c>
      <c r="C13" s="243">
        <v>0</v>
      </c>
      <c r="D13" s="289">
        <v>0</v>
      </c>
      <c r="E13" s="289">
        <v>0</v>
      </c>
      <c r="G13" s="242">
        <v>-1</v>
      </c>
      <c r="H13" s="243">
        <v>2</v>
      </c>
      <c r="I13" s="289">
        <v>0</v>
      </c>
      <c r="J13" s="289">
        <v>-1</v>
      </c>
      <c r="L13" s="242">
        <v>1</v>
      </c>
      <c r="M13" s="66"/>
    </row>
    <row r="14" spans="1:13" ht="12" customHeight="1">
      <c r="A14" s="4"/>
      <c r="B14" s="110" t="s">
        <v>152</v>
      </c>
      <c r="C14" s="317">
        <v>935</v>
      </c>
      <c r="D14" s="318">
        <v>1116</v>
      </c>
      <c r="E14" s="318">
        <v>1329</v>
      </c>
      <c r="G14" s="319">
        <v>-23</v>
      </c>
      <c r="H14" s="317">
        <v>854</v>
      </c>
      <c r="I14" s="318">
        <v>929</v>
      </c>
      <c r="J14" s="318">
        <v>1538</v>
      </c>
      <c r="L14" s="319">
        <v>364</v>
      </c>
      <c r="M14" s="66"/>
    </row>
    <row r="15" spans="1:13" ht="12" customHeight="1">
      <c r="A15" s="4"/>
      <c r="B15" s="114" t="s">
        <v>74</v>
      </c>
      <c r="C15" s="209">
        <v>-43</v>
      </c>
      <c r="D15" s="269">
        <v>-44</v>
      </c>
      <c r="E15" s="269">
        <v>10</v>
      </c>
      <c r="G15" s="208">
        <v>-23</v>
      </c>
      <c r="H15" s="209">
        <v>23</v>
      </c>
      <c r="I15" s="269">
        <v>-77</v>
      </c>
      <c r="J15" s="269">
        <v>-25</v>
      </c>
      <c r="L15" s="208">
        <v>-22</v>
      </c>
      <c r="M15" s="66"/>
    </row>
    <row r="16" spans="1:13" s="3" customFormat="1" ht="12" customHeight="1">
      <c r="A16" s="200"/>
      <c r="B16" s="115" t="s">
        <v>7</v>
      </c>
      <c r="C16" s="245">
        <v>892</v>
      </c>
      <c r="D16" s="290">
        <v>1072</v>
      </c>
      <c r="E16" s="290">
        <v>1339</v>
      </c>
      <c r="F16"/>
      <c r="G16" s="244">
        <v>-46</v>
      </c>
      <c r="H16" s="245">
        <v>877</v>
      </c>
      <c r="I16" s="290">
        <v>852</v>
      </c>
      <c r="J16" s="290">
        <v>1513</v>
      </c>
      <c r="K16"/>
      <c r="L16" s="244">
        <v>342</v>
      </c>
      <c r="M16" s="106"/>
    </row>
    <row r="17" spans="1:13" ht="12.5">
      <c r="A17" s="4"/>
      <c r="B17" s="114" t="s">
        <v>6</v>
      </c>
      <c r="C17" s="209">
        <v>652</v>
      </c>
      <c r="D17" s="269">
        <v>715</v>
      </c>
      <c r="E17" s="269">
        <v>899</v>
      </c>
      <c r="G17" s="208">
        <v>-149</v>
      </c>
      <c r="H17" s="209">
        <v>580</v>
      </c>
      <c r="I17" s="269">
        <v>562</v>
      </c>
      <c r="J17" s="269">
        <v>1048</v>
      </c>
      <c r="L17" s="208">
        <v>313</v>
      </c>
      <c r="M17" s="66"/>
    </row>
    <row r="18" spans="1:13" ht="12" customHeight="1">
      <c r="A18" s="4"/>
      <c r="B18" s="110"/>
      <c r="C18" s="224"/>
      <c r="D18" s="283"/>
      <c r="E18" s="283"/>
      <c r="G18" s="223"/>
      <c r="H18" s="224"/>
      <c r="I18" s="283"/>
      <c r="J18" s="283"/>
      <c r="L18" s="223"/>
      <c r="M18" s="66"/>
    </row>
    <row r="19" spans="1:13" s="3" customFormat="1" ht="12" customHeight="1">
      <c r="A19" s="200"/>
      <c r="B19" s="255" t="s">
        <v>56</v>
      </c>
      <c r="C19" s="268" t="s">
        <v>43</v>
      </c>
      <c r="D19" s="268" t="s">
        <v>43</v>
      </c>
      <c r="E19" s="268" t="s">
        <v>43</v>
      </c>
      <c r="F19"/>
      <c r="G19" s="141" t="s">
        <v>43</v>
      </c>
      <c r="H19" s="124" t="s">
        <v>43</v>
      </c>
      <c r="I19" s="268" t="s">
        <v>43</v>
      </c>
      <c r="J19" s="268" t="s">
        <v>43</v>
      </c>
      <c r="K19"/>
      <c r="L19" s="141" t="s">
        <v>43</v>
      </c>
      <c r="M19" s="82"/>
    </row>
    <row r="20" spans="1:13" s="3" customFormat="1" ht="12.5">
      <c r="A20" s="200"/>
      <c r="B20" s="11" t="s">
        <v>42</v>
      </c>
      <c r="C20" s="143">
        <v>64.5</v>
      </c>
      <c r="D20" s="184">
        <v>66.599999999999994</v>
      </c>
      <c r="E20" s="184">
        <v>64.599999999999994</v>
      </c>
      <c r="F20"/>
      <c r="G20" s="147">
        <v>62.7</v>
      </c>
      <c r="H20" s="143">
        <v>62.3</v>
      </c>
      <c r="I20" s="184">
        <v>59.1</v>
      </c>
      <c r="J20" s="184">
        <v>63.1</v>
      </c>
      <c r="K20"/>
      <c r="L20" s="147">
        <v>64.599999999999994</v>
      </c>
      <c r="M20" s="82"/>
    </row>
    <row r="21" spans="1:13" s="3" customFormat="1" ht="12" customHeight="1">
      <c r="A21" s="200"/>
      <c r="B21" s="11" t="s">
        <v>109</v>
      </c>
      <c r="C21" s="203">
        <v>6.7</v>
      </c>
      <c r="D21" s="271">
        <v>6.6</v>
      </c>
      <c r="E21" s="271">
        <v>7.6</v>
      </c>
      <c r="F21"/>
      <c r="G21" s="147">
        <v>7.3</v>
      </c>
      <c r="H21" s="203">
        <v>9.5</v>
      </c>
      <c r="I21" s="271">
        <v>9</v>
      </c>
      <c r="J21" s="271">
        <v>9.1</v>
      </c>
      <c r="K21"/>
      <c r="L21" s="147">
        <v>8.1</v>
      </c>
      <c r="M21" s="82"/>
    </row>
    <row r="22" spans="1:13" s="3" customFormat="1" ht="12" customHeight="1">
      <c r="A22" s="200"/>
      <c r="B22" s="11" t="s">
        <v>110</v>
      </c>
      <c r="C22" s="203">
        <v>44.8</v>
      </c>
      <c r="D22" s="271">
        <v>41.7</v>
      </c>
      <c r="E22" s="271">
        <v>40.4</v>
      </c>
      <c r="F22"/>
      <c r="G22" s="147">
        <v>38.9</v>
      </c>
      <c r="H22" s="203">
        <v>36.299999999999997</v>
      </c>
      <c r="I22" s="271">
        <v>35.1</v>
      </c>
      <c r="J22" s="271">
        <v>30.7</v>
      </c>
      <c r="K22"/>
      <c r="L22" s="147">
        <v>27.2</v>
      </c>
      <c r="M22" s="82"/>
    </row>
    <row r="23" spans="1:13" ht="12.5">
      <c r="A23" s="4"/>
      <c r="B23" s="320" t="s">
        <v>30</v>
      </c>
      <c r="C23" s="145">
        <v>116</v>
      </c>
      <c r="D23" s="185">
        <v>114.9</v>
      </c>
      <c r="E23" s="185">
        <v>112.6</v>
      </c>
      <c r="G23" s="220">
        <v>108.9</v>
      </c>
      <c r="H23" s="145">
        <v>108.1</v>
      </c>
      <c r="I23" s="185">
        <v>103.2</v>
      </c>
      <c r="J23" s="185">
        <v>102.9</v>
      </c>
      <c r="L23" s="220">
        <v>99.9</v>
      </c>
      <c r="M23" s="66"/>
    </row>
    <row r="24" spans="1:13" ht="13.5" customHeight="1">
      <c r="A24" s="4"/>
      <c r="B24" s="114" t="s">
        <v>37</v>
      </c>
      <c r="C24" s="203">
        <v>185.8</v>
      </c>
      <c r="D24" s="271">
        <v>197.2</v>
      </c>
      <c r="E24" s="271">
        <v>195.3</v>
      </c>
      <c r="G24" s="202">
        <v>174.5</v>
      </c>
      <c r="H24" s="203">
        <v>155.30000000000001</v>
      </c>
      <c r="I24" s="271">
        <v>165</v>
      </c>
      <c r="J24" s="271">
        <v>137.6</v>
      </c>
      <c r="L24" s="202">
        <v>133.69999999999999</v>
      </c>
      <c r="M24" s="66"/>
    </row>
    <row r="25" spans="1:13" ht="12" customHeight="1">
      <c r="A25" s="4"/>
      <c r="B25" s="114" t="s">
        <v>38</v>
      </c>
      <c r="C25" s="203">
        <v>256.7</v>
      </c>
      <c r="D25" s="271">
        <v>251.4</v>
      </c>
      <c r="E25" s="271">
        <v>248.9</v>
      </c>
      <c r="G25" s="202">
        <v>255.1</v>
      </c>
      <c r="H25" s="203">
        <v>280.39999999999998</v>
      </c>
      <c r="I25" s="271">
        <v>264.8</v>
      </c>
      <c r="J25" s="271">
        <v>256.5</v>
      </c>
      <c r="L25" s="202">
        <v>301.60000000000002</v>
      </c>
      <c r="M25" s="66"/>
    </row>
    <row r="26" spans="1:13" ht="22.4" customHeight="1">
      <c r="A26" s="4"/>
      <c r="B26" s="114" t="s">
        <v>34</v>
      </c>
      <c r="C26" s="203">
        <v>210.8</v>
      </c>
      <c r="D26" s="271">
        <v>211.7</v>
      </c>
      <c r="E26" s="271">
        <v>225.1</v>
      </c>
      <c r="G26" s="202">
        <v>202.5</v>
      </c>
      <c r="H26" s="203">
        <v>237.2</v>
      </c>
      <c r="I26" s="271">
        <v>231.1</v>
      </c>
      <c r="J26" s="271">
        <v>243.8</v>
      </c>
      <c r="L26" s="202">
        <v>209.4</v>
      </c>
      <c r="M26" s="66"/>
    </row>
    <row r="27" spans="1:13" ht="12.5">
      <c r="A27" s="4"/>
      <c r="B27" s="114" t="s">
        <v>31</v>
      </c>
      <c r="C27" s="203">
        <v>134.69999999999999</v>
      </c>
      <c r="D27" s="271">
        <v>139.80000000000001</v>
      </c>
      <c r="E27" s="271">
        <v>129.80000000000001</v>
      </c>
      <c r="G27" s="202">
        <v>102.3</v>
      </c>
      <c r="H27" s="203">
        <v>134.6</v>
      </c>
      <c r="I27" s="271">
        <v>122.1</v>
      </c>
      <c r="J27" s="271">
        <v>124.3</v>
      </c>
      <c r="L27" s="202">
        <v>106.2</v>
      </c>
      <c r="M27" s="66"/>
    </row>
    <row r="28" spans="1:13" ht="12" customHeight="1">
      <c r="A28" s="4"/>
      <c r="B28" s="114" t="s">
        <v>36</v>
      </c>
      <c r="C28" s="203">
        <v>139.80000000000001</v>
      </c>
      <c r="D28" s="271">
        <v>151.30000000000001</v>
      </c>
      <c r="E28" s="271">
        <v>151.1</v>
      </c>
      <c r="G28" s="202">
        <v>132.69999999999999</v>
      </c>
      <c r="H28" s="203">
        <v>154.19999999999999</v>
      </c>
      <c r="I28" s="271">
        <v>142.9</v>
      </c>
      <c r="J28" s="271">
        <v>137.30000000000001</v>
      </c>
      <c r="L28" s="202">
        <v>121.5</v>
      </c>
      <c r="M28" s="66"/>
    </row>
    <row r="29" spans="1:13" ht="12" customHeight="1">
      <c r="A29" s="4"/>
      <c r="B29" s="114" t="s">
        <v>35</v>
      </c>
      <c r="C29" s="203">
        <v>249.4</v>
      </c>
      <c r="D29" s="271">
        <v>241.8</v>
      </c>
      <c r="E29" s="271">
        <v>241.5</v>
      </c>
      <c r="G29" s="202">
        <v>249.7</v>
      </c>
      <c r="H29" s="203">
        <v>268.3</v>
      </c>
      <c r="I29" s="271">
        <v>254.5</v>
      </c>
      <c r="J29" s="271">
        <v>246.7</v>
      </c>
      <c r="L29" s="202">
        <v>288.89999999999998</v>
      </c>
      <c r="M29" s="66"/>
    </row>
    <row r="30" spans="1:13" ht="12" customHeight="1">
      <c r="A30" s="4"/>
      <c r="B30" s="114" t="s">
        <v>9</v>
      </c>
      <c r="C30" s="203">
        <v>194.2</v>
      </c>
      <c r="D30" s="271">
        <v>203.3</v>
      </c>
      <c r="E30" s="271">
        <v>200.4</v>
      </c>
      <c r="G30" s="202">
        <v>197.3</v>
      </c>
      <c r="H30" s="203">
        <v>201.1</v>
      </c>
      <c r="I30" s="271">
        <v>197.2</v>
      </c>
      <c r="J30" s="271">
        <v>198</v>
      </c>
      <c r="L30" s="202">
        <v>195.9</v>
      </c>
      <c r="M30" s="66"/>
    </row>
    <row r="31" spans="1:13" ht="12" customHeight="1">
      <c r="B31" s="114" t="s">
        <v>29</v>
      </c>
      <c r="C31" s="203">
        <v>28.4</v>
      </c>
      <c r="D31" s="271">
        <v>29.7</v>
      </c>
      <c r="E31" s="271">
        <v>29.6</v>
      </c>
      <c r="G31" s="202">
        <v>29</v>
      </c>
      <c r="H31" s="203">
        <v>29</v>
      </c>
      <c r="I31" s="271">
        <v>28.7</v>
      </c>
      <c r="J31" s="271">
        <v>28.9</v>
      </c>
      <c r="L31" s="202">
        <v>28.6</v>
      </c>
      <c r="M31" s="66"/>
    </row>
    <row r="32" spans="1:13" ht="12" customHeight="1">
      <c r="A32" s="4"/>
      <c r="B32" s="114"/>
      <c r="C32" s="114"/>
      <c r="D32" s="190"/>
      <c r="E32" s="190"/>
      <c r="G32" s="119"/>
      <c r="H32" s="114"/>
      <c r="I32" s="190"/>
      <c r="J32" s="190"/>
      <c r="L32" s="119"/>
      <c r="M32" s="66"/>
    </row>
    <row r="33" spans="1:13" ht="12" customHeight="1">
      <c r="A33" s="4"/>
      <c r="B33" s="255" t="s">
        <v>51</v>
      </c>
      <c r="C33" s="116"/>
      <c r="D33" s="284"/>
      <c r="E33" s="284"/>
      <c r="G33" s="222"/>
      <c r="H33" s="116"/>
      <c r="I33" s="284"/>
      <c r="J33" s="284"/>
      <c r="L33" s="222"/>
      <c r="M33" s="11"/>
    </row>
    <row r="34" spans="1:13" ht="12" customHeight="1">
      <c r="B34" s="254" t="s">
        <v>13</v>
      </c>
      <c r="C34" s="251">
        <v>8.8000000000000009E-2</v>
      </c>
      <c r="D34" s="291">
        <v>9.6000000000000002E-2</v>
      </c>
      <c r="E34" s="291">
        <v>0.12</v>
      </c>
      <c r="G34" s="752">
        <v>-2.1000000000000001E-2</v>
      </c>
      <c r="H34" s="251">
        <v>0.08</v>
      </c>
      <c r="I34" s="291">
        <v>7.6999999999999999E-2</v>
      </c>
      <c r="J34" s="291">
        <v>0.14400000000000002</v>
      </c>
      <c r="L34" s="250">
        <v>0.04</v>
      </c>
      <c r="M34" s="238"/>
    </row>
    <row r="35" spans="1:13" ht="12" customHeight="1">
      <c r="B35" s="119" t="s">
        <v>57</v>
      </c>
      <c r="C35" s="120">
        <v>29.5</v>
      </c>
      <c r="D35" s="271">
        <v>29.9</v>
      </c>
      <c r="E35" s="271">
        <v>30</v>
      </c>
      <c r="G35" s="202">
        <v>28.9</v>
      </c>
      <c r="H35" s="203">
        <v>28.8</v>
      </c>
      <c r="I35" s="271">
        <v>29</v>
      </c>
      <c r="J35" s="271">
        <v>29.1</v>
      </c>
      <c r="L35" s="202">
        <v>30.9</v>
      </c>
      <c r="M35" s="66"/>
    </row>
    <row r="36" spans="1:13" ht="12" customHeight="1">
      <c r="B36" s="119" t="s">
        <v>44</v>
      </c>
      <c r="C36" s="237">
        <v>0.67</v>
      </c>
      <c r="D36" s="292">
        <v>0.63</v>
      </c>
      <c r="E36" s="292">
        <v>0.6</v>
      </c>
      <c r="G36" s="236">
        <v>1.01</v>
      </c>
      <c r="H36" s="237">
        <v>0.68</v>
      </c>
      <c r="I36" s="292">
        <v>0.66</v>
      </c>
      <c r="J36" s="292">
        <v>0.57000000000000006</v>
      </c>
      <c r="L36" s="236">
        <v>0.83000000000000007</v>
      </c>
      <c r="M36" s="235"/>
    </row>
    <row r="37" spans="1:13" ht="12" customHeight="1">
      <c r="B37" s="119" t="s">
        <v>53</v>
      </c>
      <c r="C37" s="122">
        <v>15</v>
      </c>
      <c r="D37" s="270">
        <v>15</v>
      </c>
      <c r="E37" s="270">
        <v>-4</v>
      </c>
      <c r="G37" s="205">
        <v>8</v>
      </c>
      <c r="H37" s="122">
        <v>-8</v>
      </c>
      <c r="I37" s="270">
        <v>30</v>
      </c>
      <c r="J37" s="270">
        <v>10</v>
      </c>
      <c r="L37" s="205">
        <v>9</v>
      </c>
      <c r="M37" s="66"/>
    </row>
    <row r="38" spans="1:13" ht="12.5">
      <c r="B38" s="119"/>
      <c r="C38" s="241"/>
      <c r="D38" s="294"/>
      <c r="E38" s="294"/>
      <c r="G38" s="241"/>
      <c r="H38" s="241"/>
      <c r="I38" s="294"/>
      <c r="J38" s="294"/>
      <c r="L38" s="241"/>
      <c r="M38" s="241"/>
    </row>
    <row r="39" spans="1:13" ht="12" customHeight="1">
      <c r="B39" s="117" t="s">
        <v>92</v>
      </c>
      <c r="C39" s="268" t="s">
        <v>1</v>
      </c>
      <c r="D39" s="268" t="s">
        <v>1</v>
      </c>
      <c r="E39" s="268" t="s">
        <v>1</v>
      </c>
      <c r="G39" s="141" t="s">
        <v>1</v>
      </c>
      <c r="H39" s="124" t="s">
        <v>1</v>
      </c>
      <c r="I39" s="268" t="s">
        <v>1</v>
      </c>
      <c r="J39" s="268" t="s">
        <v>1</v>
      </c>
      <c r="L39" s="141" t="s">
        <v>1</v>
      </c>
      <c r="M39" s="82"/>
    </row>
    <row r="40" spans="1:13" ht="12" customHeight="1">
      <c r="B40" s="695" t="s">
        <v>67</v>
      </c>
      <c r="C40" s="249">
        <v>1180</v>
      </c>
      <c r="D40" s="295">
        <v>1149</v>
      </c>
      <c r="E40" s="295">
        <v>1404</v>
      </c>
      <c r="G40" s="248">
        <v>724</v>
      </c>
      <c r="H40" s="249">
        <v>1147</v>
      </c>
      <c r="I40" s="295">
        <v>1186</v>
      </c>
      <c r="J40" s="295">
        <v>1788</v>
      </c>
      <c r="L40" s="248">
        <v>976</v>
      </c>
      <c r="M40" s="11"/>
    </row>
    <row r="41" spans="1:13" ht="12" customHeight="1">
      <c r="B41" s="696" t="s">
        <v>68</v>
      </c>
      <c r="C41" s="247">
        <v>692</v>
      </c>
      <c r="D41" s="296">
        <v>696</v>
      </c>
      <c r="E41" s="296">
        <v>883</v>
      </c>
      <c r="G41" s="246">
        <v>431</v>
      </c>
      <c r="H41" s="247">
        <v>675</v>
      </c>
      <c r="I41" s="296">
        <v>563</v>
      </c>
      <c r="J41" s="296">
        <v>704</v>
      </c>
      <c r="L41" s="246">
        <v>440</v>
      </c>
      <c r="M41" s="11"/>
    </row>
    <row r="42" spans="1:13" ht="12" customHeight="1">
      <c r="B42" s="115" t="s">
        <v>99</v>
      </c>
      <c r="C42" s="245">
        <v>1872</v>
      </c>
      <c r="D42" s="290">
        <v>1845</v>
      </c>
      <c r="E42" s="290">
        <v>2287</v>
      </c>
      <c r="G42" s="244">
        <v>1155</v>
      </c>
      <c r="H42" s="245">
        <v>1822</v>
      </c>
      <c r="I42" s="290">
        <v>1749</v>
      </c>
      <c r="J42" s="290">
        <v>2492</v>
      </c>
      <c r="L42" s="244">
        <v>1416</v>
      </c>
      <c r="M42" s="105"/>
    </row>
    <row r="43" spans="1:13" ht="12" customHeight="1">
      <c r="B43" s="693" t="s">
        <v>70</v>
      </c>
      <c r="C43" s="209">
        <v>186</v>
      </c>
      <c r="D43" s="269">
        <v>138</v>
      </c>
      <c r="E43" s="269">
        <v>148</v>
      </c>
      <c r="G43" s="208">
        <v>171</v>
      </c>
      <c r="H43" s="209">
        <v>80</v>
      </c>
      <c r="I43" s="269">
        <v>130</v>
      </c>
      <c r="J43" s="269">
        <v>212</v>
      </c>
      <c r="L43" s="208">
        <v>197</v>
      </c>
      <c r="M43" s="11"/>
    </row>
    <row r="44" spans="1:13" ht="12" customHeight="1">
      <c r="B44" s="693" t="s">
        <v>71</v>
      </c>
      <c r="C44" s="209">
        <v>64</v>
      </c>
      <c r="D44" s="269">
        <v>121</v>
      </c>
      <c r="E44" s="269">
        <v>68</v>
      </c>
      <c r="G44" s="208">
        <v>38</v>
      </c>
      <c r="H44" s="209">
        <v>62</v>
      </c>
      <c r="I44" s="269">
        <v>69</v>
      </c>
      <c r="J44" s="269">
        <v>50</v>
      </c>
      <c r="L44" s="208">
        <v>40</v>
      </c>
      <c r="M44" s="11"/>
    </row>
    <row r="45" spans="1:13" ht="12" customHeight="1">
      <c r="B45" s="694" t="s">
        <v>69</v>
      </c>
      <c r="C45" s="243">
        <v>344</v>
      </c>
      <c r="D45" s="289">
        <v>420</v>
      </c>
      <c r="E45" s="289">
        <v>401</v>
      </c>
      <c r="G45" s="242">
        <v>301</v>
      </c>
      <c r="H45" s="243">
        <v>233</v>
      </c>
      <c r="I45" s="289">
        <v>273</v>
      </c>
      <c r="J45" s="289">
        <v>341</v>
      </c>
      <c r="L45" s="242">
        <v>243</v>
      </c>
      <c r="M45" s="11"/>
    </row>
    <row r="46" spans="1:13" ht="12" customHeight="1">
      <c r="B46" s="115" t="s">
        <v>161</v>
      </c>
      <c r="C46" s="245">
        <v>594</v>
      </c>
      <c r="D46" s="290">
        <v>679</v>
      </c>
      <c r="E46" s="290">
        <v>617</v>
      </c>
      <c r="G46" s="244">
        <v>510</v>
      </c>
      <c r="H46" s="245">
        <v>375</v>
      </c>
      <c r="I46" s="290">
        <v>472</v>
      </c>
      <c r="J46" s="290">
        <v>603</v>
      </c>
      <c r="L46" s="244">
        <v>480</v>
      </c>
      <c r="M46" s="105"/>
    </row>
    <row r="47" spans="1:13" ht="12" customHeight="1">
      <c r="B47" s="693" t="s">
        <v>72</v>
      </c>
      <c r="C47" s="209">
        <v>-21</v>
      </c>
      <c r="D47" s="269">
        <v>87</v>
      </c>
      <c r="E47" s="269">
        <v>42</v>
      </c>
      <c r="G47" s="208">
        <v>-23</v>
      </c>
      <c r="H47" s="209">
        <v>103</v>
      </c>
      <c r="I47" s="269">
        <v>100</v>
      </c>
      <c r="J47" s="269">
        <v>33</v>
      </c>
      <c r="L47" s="208">
        <v>-194</v>
      </c>
      <c r="M47" s="11"/>
    </row>
    <row r="48" spans="1:13" ht="12" customHeight="1">
      <c r="B48" s="694" t="s">
        <v>73</v>
      </c>
      <c r="C48" s="243">
        <v>406</v>
      </c>
      <c r="D48" s="289">
        <v>408</v>
      </c>
      <c r="E48" s="289">
        <v>382</v>
      </c>
      <c r="G48" s="242">
        <v>395</v>
      </c>
      <c r="H48" s="243">
        <v>386</v>
      </c>
      <c r="I48" s="289">
        <v>422</v>
      </c>
      <c r="J48" s="289">
        <v>441</v>
      </c>
      <c r="L48" s="242">
        <v>454</v>
      </c>
      <c r="M48" s="11"/>
    </row>
    <row r="49" spans="2:13" ht="12" customHeight="1">
      <c r="B49" s="693" t="s">
        <v>140</v>
      </c>
      <c r="C49" s="209">
        <v>385</v>
      </c>
      <c r="D49" s="269">
        <v>495</v>
      </c>
      <c r="E49" s="269">
        <v>424</v>
      </c>
      <c r="G49" s="208">
        <v>372</v>
      </c>
      <c r="H49" s="209">
        <v>489</v>
      </c>
      <c r="I49" s="269">
        <v>522</v>
      </c>
      <c r="J49" s="269">
        <v>474</v>
      </c>
      <c r="L49" s="208">
        <v>260</v>
      </c>
      <c r="M49" s="11"/>
    </row>
    <row r="50" spans="2:13" ht="12" customHeight="1">
      <c r="B50" s="110" t="s">
        <v>139</v>
      </c>
      <c r="C50" s="317">
        <v>979</v>
      </c>
      <c r="D50" s="318">
        <v>1174</v>
      </c>
      <c r="E50" s="318">
        <v>1041</v>
      </c>
      <c r="F50" s="559"/>
      <c r="G50" s="319">
        <v>882</v>
      </c>
      <c r="H50" s="317">
        <v>864</v>
      </c>
      <c r="I50" s="318">
        <v>994</v>
      </c>
      <c r="J50" s="318">
        <v>1077</v>
      </c>
      <c r="K50" s="559"/>
      <c r="L50" s="319">
        <v>740</v>
      </c>
      <c r="M50" s="11"/>
    </row>
    <row r="51" spans="2:13" ht="12" customHeight="1">
      <c r="B51" s="115" t="s">
        <v>18</v>
      </c>
      <c r="C51" s="234">
        <v>2851</v>
      </c>
      <c r="D51" s="293">
        <v>3019</v>
      </c>
      <c r="E51" s="293">
        <v>3328</v>
      </c>
      <c r="G51" s="233">
        <v>2037</v>
      </c>
      <c r="H51" s="234">
        <v>2686</v>
      </c>
      <c r="I51" s="293">
        <v>2743</v>
      </c>
      <c r="J51" s="293">
        <v>3569</v>
      </c>
      <c r="L51" s="233">
        <v>2156</v>
      </c>
      <c r="M51" s="105"/>
    </row>
    <row r="52" spans="2:13" ht="12" customHeight="1">
      <c r="B52" s="41"/>
      <c r="C52" s="241"/>
      <c r="D52" s="294"/>
      <c r="E52" s="294"/>
      <c r="G52" s="241"/>
      <c r="H52" s="241"/>
      <c r="I52" s="294"/>
      <c r="J52" s="294"/>
      <c r="L52" s="241"/>
      <c r="M52" s="241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2:M30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7.81640625" style="1" customWidth="1"/>
    <col min="3" max="5" width="7.81640625" style="1" customWidth="1"/>
    <col min="6" max="6" width="2.7265625" style="1" customWidth="1"/>
    <col min="7" max="10" width="7.81640625" style="1" customWidth="1"/>
    <col min="11" max="11" width="2.7265625" style="1" customWidth="1"/>
    <col min="12" max="12" width="7.81640625" style="1" customWidth="1"/>
    <col min="13" max="13" width="2.7265625" customWidth="1"/>
    <col min="14" max="228" width="8" style="1" customWidth="1"/>
    <col min="229" max="16384" width="9" style="1"/>
  </cols>
  <sheetData>
    <row r="2" spans="1:13" ht="15.5">
      <c r="B2" s="239" t="s">
        <v>125</v>
      </c>
      <c r="C2" s="231"/>
      <c r="D2" s="231"/>
      <c r="E2" s="231"/>
      <c r="F2" s="231"/>
      <c r="G2" s="231"/>
      <c r="H2" s="231"/>
      <c r="I2" s="231"/>
      <c r="J2" s="231"/>
      <c r="K2" s="231"/>
      <c r="L2" s="231"/>
    </row>
    <row r="3" spans="1:13" ht="12" customHeight="1">
      <c r="B3" s="230"/>
      <c r="C3" s="267" t="s">
        <v>191</v>
      </c>
      <c r="D3" s="267" t="s">
        <v>151</v>
      </c>
      <c r="E3" s="267" t="s">
        <v>130</v>
      </c>
      <c r="F3" s="231"/>
      <c r="G3" s="267" t="s">
        <v>131</v>
      </c>
      <c r="H3" s="267" t="s">
        <v>132</v>
      </c>
      <c r="I3" s="267" t="s">
        <v>133</v>
      </c>
      <c r="J3" s="267" t="s">
        <v>111</v>
      </c>
      <c r="K3" s="231"/>
      <c r="L3" s="267" t="s">
        <v>115</v>
      </c>
    </row>
    <row r="4" spans="1:13" ht="13.5" customHeight="1">
      <c r="B4" s="117" t="s">
        <v>46</v>
      </c>
      <c r="C4" s="268" t="s">
        <v>1</v>
      </c>
      <c r="D4" s="268" t="s">
        <v>1</v>
      </c>
      <c r="E4" s="268" t="s">
        <v>1</v>
      </c>
      <c r="F4" s="231"/>
      <c r="G4" s="268" t="s">
        <v>1</v>
      </c>
      <c r="H4" s="268" t="s">
        <v>1</v>
      </c>
      <c r="I4" s="268" t="s">
        <v>1</v>
      </c>
      <c r="J4" s="268" t="s">
        <v>1</v>
      </c>
      <c r="K4" s="231"/>
      <c r="L4" s="268" t="s">
        <v>1</v>
      </c>
    </row>
    <row r="5" spans="1:13" ht="13.5" customHeight="1">
      <c r="B5" s="111" t="s">
        <v>54</v>
      </c>
      <c r="C5" s="701">
        <v>647</v>
      </c>
      <c r="D5" s="113">
        <v>646</v>
      </c>
      <c r="E5" s="113">
        <v>688</v>
      </c>
      <c r="F5" s="231"/>
      <c r="G5" s="113">
        <v>686</v>
      </c>
      <c r="H5" s="701">
        <v>662</v>
      </c>
      <c r="I5" s="113">
        <v>622</v>
      </c>
      <c r="J5" s="113">
        <v>634</v>
      </c>
      <c r="K5" s="231"/>
      <c r="L5" s="113">
        <v>639</v>
      </c>
    </row>
    <row r="6" spans="1:13" ht="13.5" customHeight="1">
      <c r="B6" s="252" t="s">
        <v>83</v>
      </c>
      <c r="C6" s="702">
        <v>144</v>
      </c>
      <c r="D6" s="259">
        <v>173</v>
      </c>
      <c r="E6" s="259">
        <v>171</v>
      </c>
      <c r="F6" s="231"/>
      <c r="G6" s="259">
        <v>180</v>
      </c>
      <c r="H6" s="702">
        <v>147</v>
      </c>
      <c r="I6" s="259">
        <v>145</v>
      </c>
      <c r="J6" s="259">
        <v>192</v>
      </c>
      <c r="K6" s="231"/>
      <c r="L6" s="259">
        <v>149</v>
      </c>
    </row>
    <row r="7" spans="1:13" ht="12" customHeight="1">
      <c r="B7" s="256" t="s">
        <v>18</v>
      </c>
      <c r="C7" s="703">
        <v>791</v>
      </c>
      <c r="D7" s="257">
        <v>819</v>
      </c>
      <c r="E7" s="257">
        <v>859</v>
      </c>
      <c r="F7" s="231"/>
      <c r="G7" s="257">
        <v>866</v>
      </c>
      <c r="H7" s="703">
        <v>809</v>
      </c>
      <c r="I7" s="257">
        <v>767</v>
      </c>
      <c r="J7" s="257">
        <v>826</v>
      </c>
      <c r="K7" s="231"/>
      <c r="L7" s="257">
        <v>788</v>
      </c>
    </row>
    <row r="8" spans="1:13" ht="12.5">
      <c r="A8" s="4"/>
      <c r="B8" s="114" t="s">
        <v>17</v>
      </c>
      <c r="C8" s="704">
        <v>-384</v>
      </c>
      <c r="D8" s="208">
        <v>-408</v>
      </c>
      <c r="E8" s="208">
        <v>-387</v>
      </c>
      <c r="F8" s="231"/>
      <c r="G8" s="208">
        <v>-418</v>
      </c>
      <c r="H8" s="704">
        <v>-404</v>
      </c>
      <c r="I8" s="208">
        <v>-401</v>
      </c>
      <c r="J8" s="208">
        <v>-427</v>
      </c>
      <c r="K8" s="231"/>
      <c r="L8" s="208">
        <v>-425</v>
      </c>
    </row>
    <row r="9" spans="1:13" ht="12" customHeight="1">
      <c r="A9" s="4"/>
      <c r="B9" s="114" t="s">
        <v>136</v>
      </c>
      <c r="C9" s="704">
        <v>0</v>
      </c>
      <c r="D9" s="208">
        <v>0</v>
      </c>
      <c r="E9" s="208">
        <v>0</v>
      </c>
      <c r="F9" s="231"/>
      <c r="G9" s="208">
        <v>0</v>
      </c>
      <c r="H9" s="704">
        <v>0</v>
      </c>
      <c r="I9" s="208">
        <v>0</v>
      </c>
      <c r="J9" s="208">
        <v>0</v>
      </c>
      <c r="K9" s="231"/>
      <c r="L9" s="208">
        <v>0</v>
      </c>
    </row>
    <row r="10" spans="1:13" ht="12" customHeight="1">
      <c r="A10" s="4"/>
      <c r="B10" s="252" t="s">
        <v>3</v>
      </c>
      <c r="C10" s="702">
        <v>-9</v>
      </c>
      <c r="D10" s="259">
        <v>-2</v>
      </c>
      <c r="E10" s="259">
        <v>-3</v>
      </c>
      <c r="F10" s="231"/>
      <c r="G10" s="259">
        <v>-2</v>
      </c>
      <c r="H10" s="702">
        <v>0</v>
      </c>
      <c r="I10" s="259">
        <v>-4</v>
      </c>
      <c r="J10" s="259">
        <v>0</v>
      </c>
      <c r="K10" s="231"/>
      <c r="L10" s="259">
        <v>-3</v>
      </c>
    </row>
    <row r="11" spans="1:13" ht="12" customHeight="1">
      <c r="A11" s="4"/>
      <c r="B11" s="256" t="s">
        <v>4</v>
      </c>
      <c r="C11" s="703">
        <v>-393</v>
      </c>
      <c r="D11" s="257">
        <v>-410</v>
      </c>
      <c r="E11" s="257">
        <v>-390</v>
      </c>
      <c r="F11" s="231"/>
      <c r="G11" s="257">
        <v>-420</v>
      </c>
      <c r="H11" s="703">
        <v>-404</v>
      </c>
      <c r="I11" s="257">
        <v>-405</v>
      </c>
      <c r="J11" s="257">
        <v>-427</v>
      </c>
      <c r="K11" s="231"/>
      <c r="L11" s="257">
        <v>-428</v>
      </c>
    </row>
    <row r="12" spans="1:13" ht="12" customHeight="1">
      <c r="A12" s="4"/>
      <c r="B12" s="116" t="s">
        <v>49</v>
      </c>
      <c r="C12" s="705">
        <v>0</v>
      </c>
      <c r="D12" s="242">
        <v>0</v>
      </c>
      <c r="E12" s="242">
        <v>0</v>
      </c>
      <c r="F12" s="231"/>
      <c r="G12" s="242">
        <v>0</v>
      </c>
      <c r="H12" s="705">
        <v>0</v>
      </c>
      <c r="I12" s="242">
        <v>0</v>
      </c>
      <c r="J12" s="242">
        <v>0</v>
      </c>
      <c r="K12" s="231"/>
      <c r="L12" s="242">
        <v>0</v>
      </c>
    </row>
    <row r="13" spans="1:13" ht="12" customHeight="1">
      <c r="A13" s="4"/>
      <c r="B13" s="110" t="s">
        <v>108</v>
      </c>
      <c r="C13" s="706">
        <v>398</v>
      </c>
      <c r="D13" s="319">
        <v>409</v>
      </c>
      <c r="E13" s="319">
        <v>469</v>
      </c>
      <c r="F13" s="231"/>
      <c r="G13" s="319">
        <v>446</v>
      </c>
      <c r="H13" s="706">
        <v>405</v>
      </c>
      <c r="I13" s="319">
        <v>362</v>
      </c>
      <c r="J13" s="319">
        <v>399</v>
      </c>
      <c r="K13" s="231"/>
      <c r="L13" s="319">
        <v>360</v>
      </c>
    </row>
    <row r="14" spans="1:13" ht="12" customHeight="1">
      <c r="A14" s="4"/>
      <c r="B14" s="114" t="s">
        <v>48</v>
      </c>
      <c r="C14" s="704">
        <v>-276</v>
      </c>
      <c r="D14" s="208">
        <v>-309</v>
      </c>
      <c r="E14" s="208">
        <v>-410</v>
      </c>
      <c r="F14" s="231"/>
      <c r="G14" s="208">
        <v>-449</v>
      </c>
      <c r="H14" s="704">
        <v>-404</v>
      </c>
      <c r="I14" s="208">
        <v>-264</v>
      </c>
      <c r="J14" s="208">
        <v>-321</v>
      </c>
      <c r="K14" s="231"/>
      <c r="L14" s="208">
        <v>-224</v>
      </c>
    </row>
    <row r="15" spans="1:13" s="3" customFormat="1" ht="12" customHeight="1">
      <c r="A15" s="200"/>
      <c r="B15" s="115" t="s">
        <v>153</v>
      </c>
      <c r="C15" s="707">
        <v>122</v>
      </c>
      <c r="D15" s="244">
        <v>100</v>
      </c>
      <c r="E15" s="244">
        <v>59</v>
      </c>
      <c r="F15" s="231"/>
      <c r="G15" s="244">
        <v>-3</v>
      </c>
      <c r="H15" s="707">
        <v>1</v>
      </c>
      <c r="I15" s="244">
        <v>98</v>
      </c>
      <c r="J15" s="244">
        <v>78</v>
      </c>
      <c r="K15" s="231"/>
      <c r="L15" s="244">
        <v>136</v>
      </c>
      <c r="M15"/>
    </row>
    <row r="16" spans="1:13" ht="12.5">
      <c r="A16" s="4"/>
      <c r="B16" s="114" t="s">
        <v>6</v>
      </c>
      <c r="C16" s="704">
        <v>89</v>
      </c>
      <c r="D16" s="208">
        <v>75</v>
      </c>
      <c r="E16" s="208">
        <v>44</v>
      </c>
      <c r="F16" s="231"/>
      <c r="G16" s="208">
        <v>-3</v>
      </c>
      <c r="H16" s="704">
        <v>3</v>
      </c>
      <c r="I16" s="208">
        <v>72</v>
      </c>
      <c r="J16" s="208">
        <v>59</v>
      </c>
      <c r="K16" s="231"/>
      <c r="L16" s="208">
        <v>101</v>
      </c>
    </row>
    <row r="17" spans="1:13" ht="12" customHeight="1">
      <c r="A17" s="4"/>
      <c r="B17" s="110"/>
      <c r="C17" s="224"/>
      <c r="D17" s="223"/>
      <c r="E17" s="223"/>
      <c r="F17" s="231"/>
      <c r="G17" s="223"/>
      <c r="H17" s="224"/>
      <c r="I17" s="223"/>
      <c r="J17" s="223"/>
      <c r="K17" s="231"/>
      <c r="L17" s="223"/>
    </row>
    <row r="18" spans="1:13" s="3" customFormat="1" ht="12" customHeight="1">
      <c r="A18" s="200"/>
      <c r="B18" s="255" t="s">
        <v>56</v>
      </c>
      <c r="C18" s="268" t="s">
        <v>43</v>
      </c>
      <c r="D18" s="141" t="s">
        <v>43</v>
      </c>
      <c r="E18" s="141" t="s">
        <v>43</v>
      </c>
      <c r="F18" s="231"/>
      <c r="G18" s="141" t="s">
        <v>43</v>
      </c>
      <c r="H18" s="268" t="s">
        <v>43</v>
      </c>
      <c r="I18" s="141" t="s">
        <v>43</v>
      </c>
      <c r="J18" s="141" t="s">
        <v>43</v>
      </c>
      <c r="K18" s="231"/>
      <c r="L18" s="141" t="s">
        <v>43</v>
      </c>
      <c r="M18"/>
    </row>
    <row r="19" spans="1:13" s="3" customFormat="1" ht="12.5">
      <c r="A19" s="200"/>
      <c r="B19" s="11" t="s">
        <v>42</v>
      </c>
      <c r="C19" s="708">
        <v>23.2</v>
      </c>
      <c r="D19" s="697">
        <v>24.3</v>
      </c>
      <c r="E19" s="697">
        <v>23.6</v>
      </c>
      <c r="F19" s="231"/>
      <c r="G19" s="697">
        <v>24.2</v>
      </c>
      <c r="H19" s="708">
        <v>24.3</v>
      </c>
      <c r="I19" s="697">
        <v>22.9</v>
      </c>
      <c r="J19" s="697">
        <v>22.5</v>
      </c>
      <c r="K19" s="231"/>
      <c r="L19" s="697">
        <v>23.6</v>
      </c>
      <c r="M19"/>
    </row>
    <row r="20" spans="1:13" ht="12" customHeight="1">
      <c r="A20" s="4"/>
      <c r="B20" s="114" t="s">
        <v>36</v>
      </c>
      <c r="C20" s="709">
        <v>19.399999999999999</v>
      </c>
      <c r="D20" s="675">
        <v>20</v>
      </c>
      <c r="E20" s="675">
        <v>20.3</v>
      </c>
      <c r="F20" s="231"/>
      <c r="G20" s="675">
        <v>19.7</v>
      </c>
      <c r="H20" s="709">
        <v>19.3</v>
      </c>
      <c r="I20" s="675">
        <v>17.899999999999999</v>
      </c>
      <c r="J20" s="675">
        <v>18.100000000000001</v>
      </c>
      <c r="K20" s="231"/>
      <c r="L20" s="675">
        <v>18.3</v>
      </c>
    </row>
    <row r="21" spans="1:13" ht="12" customHeight="1">
      <c r="A21" s="4"/>
      <c r="B21" s="114" t="s">
        <v>28</v>
      </c>
      <c r="C21" s="709">
        <v>23.2</v>
      </c>
      <c r="D21" s="675">
        <v>24.4</v>
      </c>
      <c r="E21" s="675">
        <v>23.9</v>
      </c>
      <c r="F21" s="231"/>
      <c r="G21" s="675">
        <v>24.8</v>
      </c>
      <c r="H21" s="709">
        <v>24.1</v>
      </c>
      <c r="I21" s="675">
        <v>22.5</v>
      </c>
      <c r="J21" s="675">
        <v>22.5</v>
      </c>
      <c r="K21" s="231"/>
      <c r="L21" s="675">
        <v>23.9</v>
      </c>
    </row>
    <row r="22" spans="1:13" ht="12" customHeight="1">
      <c r="B22" s="114" t="s">
        <v>29</v>
      </c>
      <c r="C22" s="709">
        <v>3.2</v>
      </c>
      <c r="D22" s="675">
        <v>3.3</v>
      </c>
      <c r="E22" s="675">
        <v>3.3</v>
      </c>
      <c r="F22" s="231"/>
      <c r="G22" s="675">
        <v>3.4</v>
      </c>
      <c r="H22" s="709">
        <v>3.3</v>
      </c>
      <c r="I22" s="675">
        <v>3.1</v>
      </c>
      <c r="J22" s="675">
        <v>3.1</v>
      </c>
      <c r="K22" s="231"/>
      <c r="L22" s="675">
        <v>3.3</v>
      </c>
    </row>
    <row r="23" spans="1:13" ht="12" customHeight="1">
      <c r="A23" s="4"/>
      <c r="B23" s="114"/>
      <c r="C23" s="114"/>
      <c r="D23" s="119"/>
      <c r="E23" s="119"/>
      <c r="F23" s="231"/>
      <c r="G23" s="119"/>
      <c r="H23" s="114"/>
      <c r="I23" s="119"/>
      <c r="J23" s="119"/>
      <c r="K23" s="231"/>
      <c r="L23" s="119"/>
    </row>
    <row r="24" spans="1:13" ht="12" customHeight="1">
      <c r="A24" s="4"/>
      <c r="B24" s="255" t="s">
        <v>51</v>
      </c>
      <c r="C24" s="116"/>
      <c r="D24" s="222"/>
      <c r="E24" s="222"/>
      <c r="F24" s="231"/>
      <c r="G24" s="222"/>
      <c r="H24" s="116"/>
      <c r="I24" s="222"/>
      <c r="J24" s="222"/>
      <c r="K24" s="231"/>
      <c r="L24" s="222"/>
    </row>
    <row r="25" spans="1:13" ht="12" customHeight="1">
      <c r="B25" s="254" t="s">
        <v>13</v>
      </c>
      <c r="C25" s="710">
        <v>0.109</v>
      </c>
      <c r="D25" s="698">
        <v>9.1999999999999998E-2</v>
      </c>
      <c r="E25" s="698">
        <v>5.2999999999999999E-2</v>
      </c>
      <c r="F25" s="231"/>
      <c r="G25" s="753">
        <v>-3.0000000000000001E-3</v>
      </c>
      <c r="H25" s="710">
        <v>4.0000000000000001E-3</v>
      </c>
      <c r="I25" s="698">
        <v>9.3000000000000013E-2</v>
      </c>
      <c r="J25" s="698">
        <v>7.4999999999999997E-2</v>
      </c>
      <c r="K25" s="231"/>
      <c r="L25" s="698">
        <v>0.126</v>
      </c>
    </row>
    <row r="26" spans="1:13" ht="12" customHeight="1">
      <c r="B26" s="119" t="s">
        <v>57</v>
      </c>
      <c r="C26" s="657">
        <v>3.3</v>
      </c>
      <c r="D26" s="699">
        <v>3.3</v>
      </c>
      <c r="E26" s="699">
        <v>3.3</v>
      </c>
      <c r="F26" s="231"/>
      <c r="G26" s="699">
        <v>3.3</v>
      </c>
      <c r="H26" s="657">
        <v>3.1</v>
      </c>
      <c r="I26" s="699">
        <v>3.1</v>
      </c>
      <c r="J26" s="699">
        <v>3.1</v>
      </c>
      <c r="K26" s="231"/>
      <c r="L26" s="699">
        <v>3.2</v>
      </c>
    </row>
    <row r="27" spans="1:13" ht="12" customHeight="1">
      <c r="B27" s="119" t="s">
        <v>44</v>
      </c>
      <c r="C27" s="711">
        <v>0.5</v>
      </c>
      <c r="D27" s="236">
        <v>0.5</v>
      </c>
      <c r="E27" s="236">
        <v>0.46</v>
      </c>
      <c r="F27" s="231"/>
      <c r="G27" s="236">
        <v>0.48</v>
      </c>
      <c r="H27" s="711">
        <v>0.5</v>
      </c>
      <c r="I27" s="236">
        <v>0.53</v>
      </c>
      <c r="J27" s="236">
        <v>0.52</v>
      </c>
      <c r="K27" s="231"/>
      <c r="L27" s="236">
        <v>0.54</v>
      </c>
    </row>
    <row r="28" spans="1:13" ht="12" customHeight="1">
      <c r="B28" s="119" t="s">
        <v>53</v>
      </c>
      <c r="C28" s="712">
        <v>411</v>
      </c>
      <c r="D28" s="205">
        <v>438</v>
      </c>
      <c r="E28" s="205">
        <v>610</v>
      </c>
      <c r="F28" s="231"/>
      <c r="G28" s="205">
        <v>636</v>
      </c>
      <c r="H28" s="712">
        <v>582</v>
      </c>
      <c r="I28" s="205">
        <v>411</v>
      </c>
      <c r="J28" s="205">
        <v>515</v>
      </c>
      <c r="K28" s="231"/>
      <c r="L28" s="205">
        <v>337</v>
      </c>
    </row>
    <row r="29" spans="1:13" ht="12" customHeight="1">
      <c r="A29" s="4"/>
      <c r="B29" s="119" t="s">
        <v>58</v>
      </c>
      <c r="C29" s="713">
        <v>0.1038</v>
      </c>
      <c r="D29" s="700">
        <v>0.1043</v>
      </c>
      <c r="E29" s="700">
        <v>0.11119999999999999</v>
      </c>
      <c r="F29" s="231"/>
      <c r="G29" s="700">
        <v>0.10880000000000001</v>
      </c>
      <c r="H29" s="713">
        <v>0.10880000000000001</v>
      </c>
      <c r="I29" s="700">
        <v>0.1066</v>
      </c>
      <c r="J29" s="700">
        <v>0.10970000000000001</v>
      </c>
      <c r="K29" s="231"/>
      <c r="L29" s="700">
        <v>0.10640000000000001</v>
      </c>
    </row>
    <row r="30" spans="1:13" ht="12" customHeight="1">
      <c r="A30" s="4"/>
      <c r="F30" s="231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M33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6.81640625" style="1" customWidth="1"/>
    <col min="3" max="5" width="6.81640625" style="1" customWidth="1"/>
    <col min="6" max="6" width="2.1796875" customWidth="1"/>
    <col min="7" max="10" width="6.81640625" style="1" customWidth="1"/>
    <col min="11" max="11" width="2.1796875" customWidth="1"/>
    <col min="12" max="13" width="6.81640625" style="1" customWidth="1"/>
    <col min="14" max="189" width="8" style="1" customWidth="1"/>
    <col min="190" max="16384" width="9" style="1"/>
  </cols>
  <sheetData>
    <row r="2" spans="1:13" ht="15.75" customHeight="1">
      <c r="B2" s="239" t="s">
        <v>11</v>
      </c>
      <c r="C2" s="231"/>
      <c r="D2" s="231"/>
      <c r="E2" s="231"/>
      <c r="G2" s="231"/>
      <c r="H2" s="231"/>
      <c r="I2" s="231"/>
      <c r="J2" s="231"/>
      <c r="L2" s="231"/>
      <c r="M2" s="23"/>
    </row>
    <row r="3" spans="1:13" ht="12" customHeight="1">
      <c r="B3" s="230"/>
      <c r="C3" s="267" t="s">
        <v>191</v>
      </c>
      <c r="D3" s="267" t="s">
        <v>151</v>
      </c>
      <c r="E3" s="267" t="s">
        <v>130</v>
      </c>
      <c r="G3" s="267" t="s">
        <v>131</v>
      </c>
      <c r="H3" s="267" t="s">
        <v>132</v>
      </c>
      <c r="I3" s="267" t="s">
        <v>133</v>
      </c>
      <c r="J3" s="267" t="s">
        <v>111</v>
      </c>
      <c r="L3" s="267" t="s">
        <v>115</v>
      </c>
      <c r="M3" s="217"/>
    </row>
    <row r="4" spans="1:13" ht="12" customHeight="1">
      <c r="B4" s="117" t="s">
        <v>46</v>
      </c>
      <c r="C4" s="268" t="s">
        <v>1</v>
      </c>
      <c r="D4" s="268" t="s">
        <v>1</v>
      </c>
      <c r="E4" s="268" t="s">
        <v>1</v>
      </c>
      <c r="G4" s="268" t="s">
        <v>1</v>
      </c>
      <c r="H4" s="268" t="s">
        <v>1</v>
      </c>
      <c r="I4" s="268" t="s">
        <v>1</v>
      </c>
      <c r="J4" s="268" t="s">
        <v>1</v>
      </c>
      <c r="L4" s="268" t="s">
        <v>1</v>
      </c>
      <c r="M4" s="215"/>
    </row>
    <row r="5" spans="1:13" ht="12" customHeight="1">
      <c r="B5" s="111" t="s">
        <v>54</v>
      </c>
      <c r="C5" s="714">
        <v>215</v>
      </c>
      <c r="D5" s="727">
        <v>62</v>
      </c>
      <c r="E5" s="727">
        <v>186</v>
      </c>
      <c r="G5" s="727">
        <v>167</v>
      </c>
      <c r="H5" s="714">
        <v>87</v>
      </c>
      <c r="I5" s="727">
        <v>-52</v>
      </c>
      <c r="J5" s="727">
        <v>151</v>
      </c>
      <c r="L5" s="727">
        <v>-255</v>
      </c>
      <c r="M5" s="266"/>
    </row>
    <row r="6" spans="1:13" ht="12" customHeight="1">
      <c r="B6" s="116" t="s">
        <v>55</v>
      </c>
      <c r="C6" s="715">
        <v>-27</v>
      </c>
      <c r="D6" s="580">
        <v>-226</v>
      </c>
      <c r="E6" s="580">
        <v>8</v>
      </c>
      <c r="G6" s="580">
        <v>28</v>
      </c>
      <c r="H6" s="715">
        <v>26</v>
      </c>
      <c r="I6" s="580">
        <v>95</v>
      </c>
      <c r="J6" s="580">
        <v>8</v>
      </c>
      <c r="L6" s="580">
        <v>379</v>
      </c>
      <c r="M6" s="49"/>
    </row>
    <row r="7" spans="1:13" ht="12" customHeight="1">
      <c r="B7" s="115" t="s">
        <v>18</v>
      </c>
      <c r="C7" s="716">
        <v>188</v>
      </c>
      <c r="D7" s="581">
        <v>-164</v>
      </c>
      <c r="E7" s="581">
        <v>194</v>
      </c>
      <c r="G7" s="581">
        <v>195</v>
      </c>
      <c r="H7" s="716">
        <v>113</v>
      </c>
      <c r="I7" s="581">
        <v>43</v>
      </c>
      <c r="J7" s="581">
        <v>159</v>
      </c>
      <c r="L7" s="581">
        <v>124</v>
      </c>
      <c r="M7" s="212"/>
    </row>
    <row r="8" spans="1:13" ht="12.5">
      <c r="A8" s="4"/>
      <c r="B8" s="114" t="s">
        <v>17</v>
      </c>
      <c r="C8" s="712">
        <v>-197</v>
      </c>
      <c r="D8" s="205">
        <v>-195</v>
      </c>
      <c r="E8" s="205">
        <v>-211</v>
      </c>
      <c r="G8" s="205">
        <v>-717</v>
      </c>
      <c r="H8" s="712">
        <v>-210</v>
      </c>
      <c r="I8" s="205">
        <v>-221</v>
      </c>
      <c r="J8" s="205">
        <v>-204</v>
      </c>
      <c r="L8" s="205">
        <v>-229</v>
      </c>
      <c r="M8" s="6"/>
    </row>
    <row r="9" spans="1:13" ht="12" customHeight="1">
      <c r="A9" s="4"/>
      <c r="B9" s="114" t="s">
        <v>136</v>
      </c>
      <c r="C9" s="712">
        <v>0</v>
      </c>
      <c r="D9" s="205">
        <v>0</v>
      </c>
      <c r="E9" s="205">
        <v>0</v>
      </c>
      <c r="G9" s="205">
        <v>-14</v>
      </c>
      <c r="H9" s="712">
        <v>0</v>
      </c>
      <c r="I9" s="205">
        <v>0</v>
      </c>
      <c r="J9" s="205">
        <v>0</v>
      </c>
      <c r="L9" s="205">
        <v>-20</v>
      </c>
      <c r="M9" s="6"/>
    </row>
    <row r="10" spans="1:13" ht="12" customHeight="1">
      <c r="A10" s="4"/>
      <c r="B10" s="116" t="s">
        <v>3</v>
      </c>
      <c r="C10" s="715">
        <v>-7</v>
      </c>
      <c r="D10" s="580">
        <v>1</v>
      </c>
      <c r="E10" s="580">
        <v>-44</v>
      </c>
      <c r="G10" s="580">
        <v>1</v>
      </c>
      <c r="H10" s="715">
        <v>-16</v>
      </c>
      <c r="I10" s="580">
        <v>-32</v>
      </c>
      <c r="J10" s="580">
        <v>-1</v>
      </c>
      <c r="L10" s="580">
        <v>-9</v>
      </c>
      <c r="M10" s="6"/>
    </row>
    <row r="11" spans="1:13" ht="12" customHeight="1">
      <c r="A11" s="4"/>
      <c r="B11" s="115" t="s">
        <v>4</v>
      </c>
      <c r="C11" s="716">
        <v>-204</v>
      </c>
      <c r="D11" s="581">
        <v>-194</v>
      </c>
      <c r="E11" s="581">
        <v>-255</v>
      </c>
      <c r="G11" s="581">
        <v>-730</v>
      </c>
      <c r="H11" s="716">
        <v>-226</v>
      </c>
      <c r="I11" s="581">
        <v>-253</v>
      </c>
      <c r="J11" s="581">
        <v>-205</v>
      </c>
      <c r="L11" s="581">
        <v>-258</v>
      </c>
      <c r="M11" s="212"/>
    </row>
    <row r="12" spans="1:13" ht="12" customHeight="1">
      <c r="A12" s="4"/>
      <c r="B12" s="116" t="s">
        <v>114</v>
      </c>
      <c r="C12" s="715">
        <v>21</v>
      </c>
      <c r="D12" s="580">
        <v>4</v>
      </c>
      <c r="E12" s="580">
        <v>12</v>
      </c>
      <c r="G12" s="580">
        <v>-10</v>
      </c>
      <c r="H12" s="715">
        <v>7</v>
      </c>
      <c r="I12" s="580">
        <v>2</v>
      </c>
      <c r="J12" s="580">
        <v>-5</v>
      </c>
      <c r="L12" s="580">
        <v>7</v>
      </c>
      <c r="M12" s="6"/>
    </row>
    <row r="13" spans="1:13" ht="12" customHeight="1">
      <c r="A13" s="4"/>
      <c r="B13" s="110" t="s">
        <v>152</v>
      </c>
      <c r="C13" s="717">
        <v>5</v>
      </c>
      <c r="D13" s="728">
        <v>-354</v>
      </c>
      <c r="E13" s="728">
        <v>-49</v>
      </c>
      <c r="G13" s="728">
        <v>-545</v>
      </c>
      <c r="H13" s="717">
        <v>-106</v>
      </c>
      <c r="I13" s="728">
        <v>-208</v>
      </c>
      <c r="J13" s="728">
        <v>-51</v>
      </c>
      <c r="L13" s="728">
        <v>-127</v>
      </c>
      <c r="M13" s="6"/>
    </row>
    <row r="14" spans="1:13" ht="12" customHeight="1">
      <c r="A14" s="4"/>
      <c r="B14" s="114" t="s">
        <v>74</v>
      </c>
      <c r="C14" s="712">
        <v>-19</v>
      </c>
      <c r="D14" s="205">
        <v>-18</v>
      </c>
      <c r="E14" s="205">
        <v>-40</v>
      </c>
      <c r="G14" s="205">
        <v>-29</v>
      </c>
      <c r="H14" s="712">
        <v>20</v>
      </c>
      <c r="I14" s="205">
        <v>-13</v>
      </c>
      <c r="J14" s="205">
        <v>-38</v>
      </c>
      <c r="L14" s="205">
        <v>-33</v>
      </c>
      <c r="M14" s="6"/>
    </row>
    <row r="15" spans="1:13" s="3" customFormat="1" ht="12" customHeight="1">
      <c r="A15" s="200"/>
      <c r="B15" s="115" t="s">
        <v>75</v>
      </c>
      <c r="C15" s="716">
        <v>-14</v>
      </c>
      <c r="D15" s="581">
        <v>-372</v>
      </c>
      <c r="E15" s="581">
        <v>-89</v>
      </c>
      <c r="F15"/>
      <c r="G15" s="581">
        <v>-574</v>
      </c>
      <c r="H15" s="716">
        <v>-86</v>
      </c>
      <c r="I15" s="581">
        <v>-221</v>
      </c>
      <c r="J15" s="581">
        <v>-89</v>
      </c>
      <c r="K15"/>
      <c r="L15" s="581">
        <v>-160</v>
      </c>
      <c r="M15" s="212"/>
    </row>
    <row r="16" spans="1:13" ht="12.5">
      <c r="A16" s="4"/>
      <c r="B16" s="114" t="s">
        <v>76</v>
      </c>
      <c r="C16" s="712">
        <v>-16</v>
      </c>
      <c r="D16" s="205">
        <v>-349</v>
      </c>
      <c r="E16" s="205">
        <v>-59</v>
      </c>
      <c r="G16" s="205">
        <v>-447</v>
      </c>
      <c r="H16" s="712">
        <v>-71</v>
      </c>
      <c r="I16" s="205">
        <v>-170</v>
      </c>
      <c r="J16" s="205">
        <v>-86</v>
      </c>
      <c r="L16" s="205">
        <v>-75</v>
      </c>
      <c r="M16" s="6"/>
    </row>
    <row r="17" spans="1:13" ht="12" customHeight="1">
      <c r="A17" s="4"/>
      <c r="B17" s="110"/>
      <c r="C17" s="142"/>
      <c r="D17" s="729"/>
      <c r="E17" s="729"/>
      <c r="G17" s="729"/>
      <c r="H17" s="142"/>
      <c r="I17" s="729"/>
      <c r="J17" s="729"/>
      <c r="L17" s="729"/>
      <c r="M17" s="6"/>
    </row>
    <row r="18" spans="1:13" s="3" customFormat="1" ht="12" customHeight="1">
      <c r="A18" s="200"/>
      <c r="B18" s="265" t="s">
        <v>56</v>
      </c>
      <c r="C18" s="139" t="s">
        <v>43</v>
      </c>
      <c r="D18" s="730" t="s">
        <v>43</v>
      </c>
      <c r="E18" s="730" t="s">
        <v>43</v>
      </c>
      <c r="F18"/>
      <c r="G18" s="730" t="s">
        <v>43</v>
      </c>
      <c r="H18" s="139" t="s">
        <v>43</v>
      </c>
      <c r="I18" s="730" t="s">
        <v>43</v>
      </c>
      <c r="J18" s="730" t="s">
        <v>43</v>
      </c>
      <c r="K18"/>
      <c r="L18" s="730" t="s">
        <v>43</v>
      </c>
      <c r="M18" s="199"/>
    </row>
    <row r="19" spans="1:13" ht="12" customHeight="1">
      <c r="A19" s="4"/>
      <c r="B19" s="114" t="s">
        <v>28</v>
      </c>
      <c r="C19" s="657">
        <v>16.100000000000001</v>
      </c>
      <c r="D19" s="699">
        <v>18.3</v>
      </c>
      <c r="E19" s="699">
        <v>20.2</v>
      </c>
      <c r="G19" s="699">
        <v>19</v>
      </c>
      <c r="H19" s="657">
        <v>16.8</v>
      </c>
      <c r="I19" s="699">
        <v>16.399999999999999</v>
      </c>
      <c r="J19" s="699">
        <v>15.6</v>
      </c>
      <c r="L19" s="699">
        <v>14.7</v>
      </c>
      <c r="M19" s="193"/>
    </row>
    <row r="20" spans="1:13" ht="12" customHeight="1">
      <c r="A20" s="4"/>
      <c r="B20" s="114" t="s">
        <v>29</v>
      </c>
      <c r="C20" s="657">
        <v>4.9000000000000004</v>
      </c>
      <c r="D20" s="699">
        <v>2.7</v>
      </c>
      <c r="E20" s="699">
        <v>3</v>
      </c>
      <c r="G20" s="699">
        <v>3.6</v>
      </c>
      <c r="H20" s="657">
        <v>2</v>
      </c>
      <c r="I20" s="699">
        <v>-0.5</v>
      </c>
      <c r="J20" s="699">
        <v>1.1000000000000001</v>
      </c>
      <c r="L20" s="699">
        <v>0.7</v>
      </c>
      <c r="M20" s="193"/>
    </row>
    <row r="21" spans="1:13" ht="12" customHeight="1">
      <c r="A21" s="4"/>
      <c r="B21" s="114"/>
      <c r="C21" s="142"/>
      <c r="D21" s="729"/>
      <c r="E21" s="729"/>
      <c r="G21" s="729"/>
      <c r="H21" s="142"/>
      <c r="I21" s="729"/>
      <c r="J21" s="729"/>
      <c r="L21" s="729"/>
      <c r="M21" s="264"/>
    </row>
    <row r="22" spans="1:13" ht="12" customHeight="1">
      <c r="A22" s="4"/>
      <c r="B22" s="117" t="s">
        <v>51</v>
      </c>
      <c r="C22" s="116"/>
      <c r="D22" s="222"/>
      <c r="E22" s="222"/>
      <c r="G22" s="222"/>
      <c r="H22" s="116"/>
      <c r="I22" s="222"/>
      <c r="J22" s="222"/>
      <c r="L22" s="222"/>
      <c r="M22" s="211"/>
    </row>
    <row r="23" spans="1:13" ht="12" customHeight="1">
      <c r="A23" s="4"/>
      <c r="B23" s="111" t="s">
        <v>57</v>
      </c>
      <c r="C23" s="718">
        <v>3.5</v>
      </c>
      <c r="D23" s="201">
        <v>2.1</v>
      </c>
      <c r="E23" s="201">
        <v>2.8</v>
      </c>
      <c r="G23" s="201">
        <v>2.7</v>
      </c>
      <c r="H23" s="718">
        <v>0.7</v>
      </c>
      <c r="I23" s="201">
        <v>0.5</v>
      </c>
      <c r="J23" s="201">
        <v>1.2</v>
      </c>
      <c r="L23" s="201">
        <v>-1.6</v>
      </c>
      <c r="M23" s="42"/>
    </row>
    <row r="24" spans="1:13" ht="12" customHeight="1">
      <c r="A24" s="4"/>
      <c r="B24" s="263"/>
      <c r="C24" s="262"/>
      <c r="D24" s="262"/>
      <c r="E24" s="262"/>
      <c r="G24" s="262"/>
      <c r="H24" s="262"/>
      <c r="I24" s="262"/>
      <c r="J24" s="262"/>
      <c r="L24" s="262"/>
      <c r="M24" s="261"/>
    </row>
    <row r="26" spans="1:13" ht="12" customHeight="1">
      <c r="L26" s="1" t="s">
        <v>0</v>
      </c>
    </row>
    <row r="30" spans="1:13" ht="12" customHeight="1">
      <c r="M30" s="8"/>
    </row>
    <row r="31" spans="1:13" ht="12" customHeight="1">
      <c r="M31" s="8"/>
    </row>
    <row r="33" spans="13:13" ht="12" customHeight="1">
      <c r="M33" s="7"/>
    </row>
  </sheetData>
  <pageMargins left="0.75" right="0.75" top="1" bottom="1" header="0.5" footer="0.5"/>
  <pageSetup paperSize="9" scale="86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9AA1-78E3-440D-9AEB-BBFC1DDC5D31}">
  <dimension ref="A1:H37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50.453125" style="500" customWidth="1"/>
    <col min="3" max="8" width="9.81640625" style="500" customWidth="1"/>
    <col min="9" max="16384" width="13.7265625" style="500"/>
  </cols>
  <sheetData>
    <row r="1" spans="1:8">
      <c r="A1" s="789"/>
      <c r="B1" s="789"/>
      <c r="C1" s="789"/>
      <c r="D1" s="789"/>
      <c r="E1" s="789"/>
      <c r="F1" s="789"/>
      <c r="G1" s="789"/>
      <c r="H1" s="789"/>
    </row>
    <row r="2" spans="1:8" ht="14.5">
      <c r="A2" s="789"/>
      <c r="B2" s="807" t="s">
        <v>213</v>
      </c>
      <c r="C2" s="806"/>
      <c r="D2" s="806"/>
      <c r="E2" s="806"/>
      <c r="F2" s="806"/>
      <c r="G2" s="806"/>
      <c r="H2" s="806"/>
    </row>
    <row r="3" spans="1:8" ht="14.5">
      <c r="A3" s="789"/>
      <c r="B3" s="806"/>
      <c r="C3" s="1140" t="s">
        <v>195</v>
      </c>
      <c r="D3" s="1140"/>
      <c r="E3" s="1140"/>
      <c r="F3" s="1140" t="s">
        <v>196</v>
      </c>
      <c r="G3" s="1140"/>
      <c r="H3" s="1140"/>
    </row>
    <row r="4" spans="1:8" ht="31.5">
      <c r="A4" s="789"/>
      <c r="B4" s="805"/>
      <c r="C4" s="786" t="s">
        <v>87</v>
      </c>
      <c r="D4" s="786" t="s">
        <v>209</v>
      </c>
      <c r="E4" s="786" t="s">
        <v>58</v>
      </c>
      <c r="F4" s="786" t="s">
        <v>87</v>
      </c>
      <c r="G4" s="786" t="s">
        <v>209</v>
      </c>
      <c r="H4" s="786" t="s">
        <v>58</v>
      </c>
    </row>
    <row r="5" spans="1:8">
      <c r="A5" s="789"/>
      <c r="B5" s="775"/>
      <c r="C5" s="775" t="s">
        <v>1</v>
      </c>
      <c r="D5" s="775" t="s">
        <v>1</v>
      </c>
      <c r="E5" s="775" t="s">
        <v>208</v>
      </c>
      <c r="F5" s="775" t="s">
        <v>1</v>
      </c>
      <c r="G5" s="775" t="s">
        <v>1</v>
      </c>
      <c r="H5" s="775" t="s">
        <v>208</v>
      </c>
    </row>
    <row r="6" spans="1:8">
      <c r="A6" s="789"/>
      <c r="B6" s="767" t="s">
        <v>15</v>
      </c>
      <c r="C6" s="792">
        <v>4812</v>
      </c>
      <c r="D6" s="792">
        <v>199938</v>
      </c>
      <c r="E6" s="800">
        <v>3.21</v>
      </c>
      <c r="F6" s="780">
        <v>4856</v>
      </c>
      <c r="G6" s="780">
        <v>206338</v>
      </c>
      <c r="H6" s="799">
        <v>3.15</v>
      </c>
    </row>
    <row r="7" spans="1:8">
      <c r="A7" s="789"/>
      <c r="B7" s="773" t="s">
        <v>122</v>
      </c>
      <c r="C7" s="798">
        <v>882</v>
      </c>
      <c r="D7" s="798">
        <v>22552</v>
      </c>
      <c r="E7" s="804">
        <v>5.22</v>
      </c>
      <c r="F7" s="784">
        <v>913</v>
      </c>
      <c r="G7" s="784">
        <v>23157</v>
      </c>
      <c r="H7" s="803">
        <v>5.27</v>
      </c>
    </row>
    <row r="8" spans="1:8">
      <c r="A8" s="789"/>
      <c r="B8" s="773" t="s">
        <v>126</v>
      </c>
      <c r="C8" s="798">
        <v>551</v>
      </c>
      <c r="D8" s="798">
        <v>13862</v>
      </c>
      <c r="E8" s="802">
        <v>5.31</v>
      </c>
      <c r="F8" s="784">
        <v>586</v>
      </c>
      <c r="G8" s="784">
        <v>14071</v>
      </c>
      <c r="H8" s="771">
        <v>5.57</v>
      </c>
    </row>
    <row r="9" spans="1:8">
      <c r="A9" s="789"/>
      <c r="B9" s="770" t="s">
        <v>125</v>
      </c>
      <c r="C9" s="796">
        <v>1981</v>
      </c>
      <c r="D9" s="796">
        <v>24864</v>
      </c>
      <c r="E9" s="801">
        <v>10.64</v>
      </c>
      <c r="F9" s="782">
        <v>1918</v>
      </c>
      <c r="G9" s="782">
        <v>23661</v>
      </c>
      <c r="H9" s="768">
        <v>10.84</v>
      </c>
    </row>
    <row r="10" spans="1:8">
      <c r="A10" s="789"/>
      <c r="B10" s="767" t="s">
        <v>212</v>
      </c>
      <c r="C10" s="792">
        <v>8226</v>
      </c>
      <c r="D10" s="792">
        <v>261216</v>
      </c>
      <c r="E10" s="800">
        <v>4.21</v>
      </c>
      <c r="F10" s="780">
        <v>8273</v>
      </c>
      <c r="G10" s="780">
        <v>267227</v>
      </c>
      <c r="H10" s="799">
        <v>4.1399999999999997</v>
      </c>
    </row>
    <row r="11" spans="1:8">
      <c r="A11" s="789"/>
      <c r="B11" s="773" t="s">
        <v>124</v>
      </c>
      <c r="C11" s="798">
        <v>747</v>
      </c>
      <c r="D11" s="797"/>
      <c r="E11" s="797"/>
      <c r="F11" s="784">
        <v>1111</v>
      </c>
      <c r="G11" s="778"/>
      <c r="H11" s="778"/>
    </row>
    <row r="12" spans="1:8">
      <c r="A12" s="789"/>
      <c r="B12" s="770" t="s">
        <v>11</v>
      </c>
      <c r="C12" s="796">
        <v>463</v>
      </c>
      <c r="D12" s="795"/>
      <c r="E12" s="795"/>
      <c r="F12" s="782">
        <v>185</v>
      </c>
      <c r="G12" s="794"/>
      <c r="H12" s="794"/>
    </row>
    <row r="13" spans="1:8">
      <c r="A13" s="789"/>
      <c r="B13" s="793" t="s">
        <v>211</v>
      </c>
      <c r="C13" s="792">
        <v>9436</v>
      </c>
      <c r="D13" s="791"/>
      <c r="E13" s="791"/>
      <c r="F13" s="780">
        <v>9570</v>
      </c>
      <c r="G13" s="790"/>
      <c r="H13" s="790"/>
    </row>
    <row r="14" spans="1:8">
      <c r="A14" s="789"/>
      <c r="B14" s="789"/>
      <c r="C14" s="789"/>
      <c r="D14" s="789"/>
      <c r="E14" s="789"/>
      <c r="F14" s="789"/>
      <c r="G14" s="789"/>
      <c r="H14" s="789"/>
    </row>
    <row r="15" spans="1:8" ht="13">
      <c r="A15" s="789"/>
      <c r="B15" s="1141" t="s">
        <v>210</v>
      </c>
      <c r="C15" s="1141"/>
      <c r="D15" s="1141"/>
      <c r="E15" s="789"/>
      <c r="F15" s="789"/>
      <c r="G15" s="789"/>
      <c r="H15" s="789"/>
    </row>
    <row r="16" spans="1:8" ht="13">
      <c r="B16" s="788"/>
      <c r="C16" s="788"/>
      <c r="D16" s="788"/>
      <c r="E16" s="788"/>
      <c r="F16" s="788"/>
      <c r="G16" s="788"/>
    </row>
    <row r="17" spans="2:7">
      <c r="B17" s="787"/>
      <c r="C17" s="786" t="s">
        <v>191</v>
      </c>
      <c r="D17" s="786" t="s">
        <v>151</v>
      </c>
      <c r="E17" s="786" t="s">
        <v>130</v>
      </c>
      <c r="F17" s="786" t="s">
        <v>131</v>
      </c>
      <c r="G17" s="786" t="s">
        <v>132</v>
      </c>
    </row>
    <row r="18" spans="2:7">
      <c r="B18" s="776" t="s">
        <v>54</v>
      </c>
      <c r="C18" s="775" t="s">
        <v>1</v>
      </c>
      <c r="D18" s="775" t="s">
        <v>1</v>
      </c>
      <c r="E18" s="775" t="s">
        <v>1</v>
      </c>
      <c r="F18" s="775" t="s">
        <v>1</v>
      </c>
      <c r="G18" s="775" t="s">
        <v>1</v>
      </c>
    </row>
    <row r="19" spans="2:7">
      <c r="B19" s="767" t="s">
        <v>15</v>
      </c>
      <c r="C19" s="781">
        <v>1666</v>
      </c>
      <c r="D19" s="780">
        <v>1597</v>
      </c>
      <c r="E19" s="780">
        <v>1549</v>
      </c>
      <c r="F19" s="780">
        <v>1575</v>
      </c>
      <c r="G19" s="780">
        <v>1578</v>
      </c>
    </row>
    <row r="20" spans="2:7">
      <c r="B20" s="773" t="s">
        <v>122</v>
      </c>
      <c r="C20" s="785">
        <v>309</v>
      </c>
      <c r="D20" s="784">
        <v>296</v>
      </c>
      <c r="E20" s="784">
        <v>277</v>
      </c>
      <c r="F20" s="784">
        <v>247</v>
      </c>
      <c r="G20" s="784">
        <v>304</v>
      </c>
    </row>
    <row r="21" spans="2:7">
      <c r="B21" s="773" t="s">
        <v>126</v>
      </c>
      <c r="C21" s="785">
        <v>189</v>
      </c>
      <c r="D21" s="784">
        <v>187</v>
      </c>
      <c r="E21" s="784">
        <v>175</v>
      </c>
      <c r="F21" s="784">
        <v>182</v>
      </c>
      <c r="G21" s="784">
        <v>219</v>
      </c>
    </row>
    <row r="22" spans="2:7">
      <c r="B22" s="770" t="s">
        <v>125</v>
      </c>
      <c r="C22" s="783">
        <v>647</v>
      </c>
      <c r="D22" s="782">
        <v>646</v>
      </c>
      <c r="E22" s="782">
        <v>688</v>
      </c>
      <c r="F22" s="782">
        <v>686</v>
      </c>
      <c r="G22" s="782">
        <v>662</v>
      </c>
    </row>
    <row r="23" spans="2:7">
      <c r="B23" s="767" t="s">
        <v>207</v>
      </c>
      <c r="C23" s="781">
        <v>2811</v>
      </c>
      <c r="D23" s="780">
        <v>2726</v>
      </c>
      <c r="E23" s="780">
        <v>2689</v>
      </c>
      <c r="F23" s="780">
        <v>2690</v>
      </c>
      <c r="G23" s="780">
        <v>2763</v>
      </c>
    </row>
    <row r="24" spans="2:7">
      <c r="B24" s="779"/>
      <c r="C24" s="778"/>
      <c r="D24" s="778"/>
      <c r="E24" s="778"/>
      <c r="F24" s="778"/>
      <c r="G24" s="777"/>
    </row>
    <row r="25" spans="2:7">
      <c r="B25" s="776" t="s">
        <v>209</v>
      </c>
      <c r="C25" s="775" t="s">
        <v>1</v>
      </c>
      <c r="D25" s="775" t="s">
        <v>1</v>
      </c>
      <c r="E25" s="775" t="s">
        <v>1</v>
      </c>
      <c r="F25" s="775" t="s">
        <v>1</v>
      </c>
      <c r="G25" s="775" t="s">
        <v>1</v>
      </c>
    </row>
    <row r="26" spans="2:7">
      <c r="B26" s="767" t="s">
        <v>15</v>
      </c>
      <c r="C26" s="781">
        <v>198616</v>
      </c>
      <c r="D26" s="780">
        <v>199529</v>
      </c>
      <c r="E26" s="780">
        <v>201669</v>
      </c>
      <c r="F26" s="780">
        <v>203646</v>
      </c>
      <c r="G26" s="780">
        <v>205693</v>
      </c>
    </row>
    <row r="27" spans="2:7">
      <c r="B27" s="773" t="s">
        <v>122</v>
      </c>
      <c r="C27" s="785">
        <v>23049</v>
      </c>
      <c r="D27" s="784">
        <v>22474</v>
      </c>
      <c r="E27" s="784">
        <v>22257</v>
      </c>
      <c r="F27" s="784">
        <v>23354</v>
      </c>
      <c r="G27" s="784">
        <v>23225</v>
      </c>
    </row>
    <row r="28" spans="2:7">
      <c r="B28" s="773" t="s">
        <v>126</v>
      </c>
      <c r="C28" s="785">
        <v>14061</v>
      </c>
      <c r="D28" s="784">
        <v>13931</v>
      </c>
      <c r="E28" s="784">
        <v>13593</v>
      </c>
      <c r="F28" s="784">
        <v>13525</v>
      </c>
      <c r="G28" s="784">
        <v>13594</v>
      </c>
    </row>
    <row r="29" spans="2:7">
      <c r="B29" s="770" t="s">
        <v>125</v>
      </c>
      <c r="C29" s="783">
        <v>24798</v>
      </c>
      <c r="D29" s="782">
        <v>24899</v>
      </c>
      <c r="E29" s="782">
        <v>24880</v>
      </c>
      <c r="F29" s="782">
        <v>25012</v>
      </c>
      <c r="G29" s="782">
        <v>24128</v>
      </c>
    </row>
    <row r="30" spans="2:7">
      <c r="B30" s="767" t="s">
        <v>207</v>
      </c>
      <c r="C30" s="781">
        <v>260524</v>
      </c>
      <c r="D30" s="780">
        <v>260833</v>
      </c>
      <c r="E30" s="780">
        <v>262399</v>
      </c>
      <c r="F30" s="780">
        <v>265537</v>
      </c>
      <c r="G30" s="780">
        <v>266640</v>
      </c>
    </row>
    <row r="31" spans="2:7">
      <c r="B31" s="779"/>
      <c r="C31" s="778"/>
      <c r="D31" s="778"/>
      <c r="E31" s="778"/>
      <c r="F31" s="778"/>
      <c r="G31" s="777"/>
    </row>
    <row r="32" spans="2:7">
      <c r="B32" s="776" t="s">
        <v>58</v>
      </c>
      <c r="C32" s="775" t="s">
        <v>208</v>
      </c>
      <c r="D32" s="775" t="s">
        <v>208</v>
      </c>
      <c r="E32" s="775" t="s">
        <v>208</v>
      </c>
      <c r="F32" s="775" t="s">
        <v>208</v>
      </c>
      <c r="G32" s="775" t="s">
        <v>208</v>
      </c>
    </row>
    <row r="33" spans="2:7">
      <c r="B33" s="767" t="s">
        <v>15</v>
      </c>
      <c r="C33" s="774">
        <v>3.34</v>
      </c>
      <c r="D33" s="765">
        <v>3.22</v>
      </c>
      <c r="E33" s="765">
        <v>3.09</v>
      </c>
      <c r="F33" s="765">
        <v>3.07</v>
      </c>
      <c r="G33" s="765">
        <v>3.04</v>
      </c>
    </row>
    <row r="34" spans="2:7">
      <c r="B34" s="773" t="s">
        <v>122</v>
      </c>
      <c r="C34" s="772">
        <v>5.33</v>
      </c>
      <c r="D34" s="771">
        <v>5.3</v>
      </c>
      <c r="E34" s="771">
        <v>5</v>
      </c>
      <c r="F34" s="771">
        <v>4.1900000000000004</v>
      </c>
      <c r="G34" s="771">
        <v>5.19</v>
      </c>
    </row>
    <row r="35" spans="2:7">
      <c r="B35" s="773" t="s">
        <v>126</v>
      </c>
      <c r="C35" s="772">
        <v>5.35</v>
      </c>
      <c r="D35" s="771">
        <v>5.4</v>
      </c>
      <c r="E35" s="771">
        <v>5.17</v>
      </c>
      <c r="F35" s="771">
        <v>5.33</v>
      </c>
      <c r="G35" s="771">
        <v>6.4</v>
      </c>
    </row>
    <row r="36" spans="2:7">
      <c r="B36" s="770" t="s">
        <v>125</v>
      </c>
      <c r="C36" s="769">
        <v>10.38</v>
      </c>
      <c r="D36" s="768">
        <v>10.43</v>
      </c>
      <c r="E36" s="768">
        <v>11.12</v>
      </c>
      <c r="F36" s="768">
        <v>10.88</v>
      </c>
      <c r="G36" s="768">
        <v>10.88</v>
      </c>
    </row>
    <row r="37" spans="2:7">
      <c r="B37" s="767" t="s">
        <v>207</v>
      </c>
      <c r="C37" s="766">
        <v>4.29</v>
      </c>
      <c r="D37" s="765">
        <v>4.2</v>
      </c>
      <c r="E37" s="765">
        <v>4.12</v>
      </c>
      <c r="F37" s="765">
        <v>4.0199999999999996</v>
      </c>
      <c r="G37" s="765">
        <v>4.1100000000000003</v>
      </c>
    </row>
  </sheetData>
  <mergeCells count="3">
    <mergeCell ref="C3:E3"/>
    <mergeCell ref="F3:H3"/>
    <mergeCell ref="B15:D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A7C1-9DBE-4BA1-AD87-103F4A42B207}">
  <dimension ref="A1:X80"/>
  <sheetViews>
    <sheetView showGridLines="0" showRuler="0" workbookViewId="0"/>
  </sheetViews>
  <sheetFormatPr defaultColWidth="13.7265625" defaultRowHeight="12.5"/>
  <cols>
    <col min="1" max="1" width="9.453125" style="500" customWidth="1"/>
    <col min="2" max="2" width="28.1796875" style="500" customWidth="1"/>
    <col min="3" max="6" width="8.81640625" style="500" customWidth="1"/>
    <col min="7" max="7" width="0" style="500" hidden="1" customWidth="1"/>
    <col min="8" max="11" width="8.81640625" style="500" customWidth="1"/>
    <col min="12" max="12" width="10.1796875" style="500" customWidth="1"/>
    <col min="13" max="13" width="9.26953125" style="500" customWidth="1"/>
    <col min="14" max="14" width="11" style="500" customWidth="1"/>
    <col min="15" max="18" width="10.26953125" style="500" customWidth="1"/>
    <col min="19" max="19" width="9.26953125" style="500" customWidth="1"/>
    <col min="20" max="20" width="10.1796875" style="500" customWidth="1"/>
    <col min="21" max="24" width="9.26953125" style="500" customWidth="1"/>
    <col min="25" max="16384" width="13.7265625" style="500"/>
  </cols>
  <sheetData>
    <row r="1" spans="1:24">
      <c r="A1" s="789"/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</row>
    <row r="2" spans="1:24" ht="15.5">
      <c r="A2" s="789"/>
      <c r="B2" s="1144" t="s">
        <v>233</v>
      </c>
      <c r="C2" s="1144"/>
      <c r="D2" s="1144"/>
      <c r="E2" s="1144"/>
      <c r="F2" s="1144"/>
      <c r="G2" s="1145"/>
      <c r="H2" s="1145"/>
      <c r="I2" s="789"/>
      <c r="J2" s="789"/>
      <c r="K2" s="789"/>
      <c r="L2" s="861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</row>
    <row r="3" spans="1:24">
      <c r="A3" s="789"/>
      <c r="B3" s="836"/>
      <c r="C3" s="855"/>
      <c r="D3" s="855"/>
      <c r="E3" s="855"/>
      <c r="F3" s="855"/>
      <c r="G3" s="836"/>
      <c r="H3" s="855"/>
      <c r="I3" s="855"/>
      <c r="J3" s="855"/>
      <c r="K3" s="855"/>
      <c r="L3" s="854"/>
      <c r="M3" s="789"/>
      <c r="N3" s="789"/>
      <c r="O3" s="789"/>
      <c r="P3" s="789"/>
      <c r="Q3" s="789"/>
      <c r="R3" s="789"/>
      <c r="S3" s="789"/>
      <c r="T3" s="789"/>
      <c r="U3" s="789"/>
      <c r="V3" s="789"/>
      <c r="W3" s="789"/>
      <c r="X3" s="789"/>
    </row>
    <row r="4" spans="1:24">
      <c r="A4" s="789"/>
      <c r="C4" s="1142" t="s">
        <v>232</v>
      </c>
      <c r="D4" s="1143"/>
      <c r="E4" s="1143"/>
      <c r="F4" s="1143"/>
      <c r="H4" s="1142" t="s">
        <v>231</v>
      </c>
      <c r="I4" s="1143"/>
      <c r="J4" s="1143"/>
      <c r="K4" s="1143"/>
      <c r="M4" s="789"/>
      <c r="N4" s="789"/>
      <c r="O4" s="789"/>
      <c r="P4" s="789"/>
      <c r="Q4" s="789"/>
      <c r="R4" s="789"/>
      <c r="S4" s="789"/>
      <c r="T4" s="789"/>
      <c r="U4" s="789"/>
      <c r="V4" s="789"/>
      <c r="W4" s="789"/>
      <c r="X4" s="789"/>
    </row>
    <row r="5" spans="1:24">
      <c r="A5" s="789"/>
      <c r="C5" s="834" t="s">
        <v>227</v>
      </c>
      <c r="D5" s="834" t="s">
        <v>228</v>
      </c>
      <c r="E5" s="834" t="s">
        <v>225</v>
      </c>
      <c r="F5" s="834" t="s">
        <v>214</v>
      </c>
      <c r="H5" s="834" t="s">
        <v>227</v>
      </c>
      <c r="I5" s="834" t="s">
        <v>228</v>
      </c>
      <c r="J5" s="834" t="s">
        <v>225</v>
      </c>
      <c r="K5" s="834" t="s">
        <v>214</v>
      </c>
      <c r="M5" s="789"/>
      <c r="N5" s="789"/>
      <c r="O5" s="789"/>
      <c r="P5" s="789"/>
      <c r="Q5" s="789"/>
      <c r="R5" s="789"/>
      <c r="S5" s="789"/>
      <c r="T5" s="789"/>
      <c r="U5" s="789"/>
      <c r="V5" s="789"/>
      <c r="W5" s="789"/>
      <c r="X5" s="789"/>
    </row>
    <row r="6" spans="1:24">
      <c r="A6" s="789"/>
      <c r="B6" s="832" t="s">
        <v>169</v>
      </c>
      <c r="C6" s="831" t="s">
        <v>1</v>
      </c>
      <c r="D6" s="831" t="s">
        <v>1</v>
      </c>
      <c r="E6" s="831" t="s">
        <v>1</v>
      </c>
      <c r="F6" s="831" t="s">
        <v>1</v>
      </c>
      <c r="H6" s="831" t="s">
        <v>1</v>
      </c>
      <c r="I6" s="831" t="s">
        <v>1</v>
      </c>
      <c r="J6" s="831" t="s">
        <v>1</v>
      </c>
      <c r="K6" s="831" t="s">
        <v>1</v>
      </c>
      <c r="M6" s="789"/>
      <c r="N6" s="789"/>
      <c r="O6" s="789"/>
      <c r="P6" s="789"/>
      <c r="Q6" s="789"/>
      <c r="R6" s="789"/>
      <c r="S6" s="789"/>
      <c r="T6" s="789"/>
      <c r="U6" s="789"/>
      <c r="V6" s="789"/>
      <c r="W6" s="789"/>
      <c r="X6" s="789"/>
    </row>
    <row r="7" spans="1:24">
      <c r="A7" s="789"/>
      <c r="B7" s="830" t="s">
        <v>223</v>
      </c>
      <c r="C7" s="860">
        <v>145587</v>
      </c>
      <c r="D7" s="860">
        <v>18026</v>
      </c>
      <c r="E7" s="860">
        <v>1692</v>
      </c>
      <c r="F7" s="860">
        <v>165305</v>
      </c>
      <c r="H7" s="860">
        <v>31</v>
      </c>
      <c r="I7" s="860">
        <v>60</v>
      </c>
      <c r="J7" s="860">
        <v>105</v>
      </c>
      <c r="K7" s="860">
        <v>196</v>
      </c>
      <c r="M7" s="789"/>
      <c r="N7" s="789"/>
      <c r="O7" s="789"/>
      <c r="P7" s="789"/>
      <c r="Q7" s="789"/>
      <c r="R7" s="789"/>
      <c r="S7" s="789"/>
      <c r="T7" s="789"/>
      <c r="U7" s="789"/>
      <c r="V7" s="789"/>
      <c r="W7" s="789"/>
      <c r="X7" s="789"/>
    </row>
    <row r="8" spans="1:24">
      <c r="A8" s="789"/>
      <c r="B8" s="821" t="s">
        <v>222</v>
      </c>
      <c r="C8" s="785">
        <v>9080</v>
      </c>
      <c r="D8" s="785">
        <v>1993</v>
      </c>
      <c r="E8" s="785">
        <v>186</v>
      </c>
      <c r="F8" s="785">
        <v>11259</v>
      </c>
      <c r="H8" s="785">
        <v>107</v>
      </c>
      <c r="I8" s="785">
        <v>429</v>
      </c>
      <c r="J8" s="785">
        <v>95</v>
      </c>
      <c r="K8" s="785">
        <v>631</v>
      </c>
      <c r="M8" s="789"/>
      <c r="N8" s="789"/>
      <c r="O8" s="789"/>
      <c r="P8" s="789"/>
      <c r="Q8" s="789"/>
      <c r="R8" s="789"/>
      <c r="S8" s="789"/>
      <c r="T8" s="789"/>
      <c r="U8" s="789"/>
      <c r="V8" s="789"/>
      <c r="W8" s="789"/>
      <c r="X8" s="789"/>
    </row>
    <row r="9" spans="1:24">
      <c r="A9" s="789"/>
      <c r="B9" s="821" t="s">
        <v>221</v>
      </c>
      <c r="C9" s="785">
        <v>6605</v>
      </c>
      <c r="D9" s="785">
        <v>1202</v>
      </c>
      <c r="E9" s="785">
        <v>221</v>
      </c>
      <c r="F9" s="785">
        <v>8028</v>
      </c>
      <c r="H9" s="785">
        <v>56</v>
      </c>
      <c r="I9" s="785">
        <v>104</v>
      </c>
      <c r="J9" s="785">
        <v>141</v>
      </c>
      <c r="K9" s="785">
        <v>301</v>
      </c>
      <c r="M9" s="789"/>
      <c r="N9" s="789"/>
      <c r="O9" s="789"/>
      <c r="P9" s="789"/>
      <c r="Q9" s="789"/>
      <c r="R9" s="789"/>
      <c r="S9" s="789"/>
      <c r="T9" s="789"/>
      <c r="U9" s="789"/>
      <c r="V9" s="789"/>
      <c r="W9" s="789"/>
      <c r="X9" s="789"/>
    </row>
    <row r="10" spans="1:24">
      <c r="A10" s="789"/>
      <c r="B10" s="813" t="s">
        <v>220</v>
      </c>
      <c r="C10" s="856">
        <v>52404</v>
      </c>
      <c r="D10" s="856">
        <v>7156</v>
      </c>
      <c r="E10" s="856">
        <v>1789</v>
      </c>
      <c r="F10" s="856">
        <v>61349</v>
      </c>
      <c r="H10" s="856">
        <v>155</v>
      </c>
      <c r="I10" s="856">
        <v>168</v>
      </c>
      <c r="J10" s="856">
        <v>379</v>
      </c>
      <c r="K10" s="856">
        <v>702</v>
      </c>
      <c r="M10" s="789"/>
      <c r="N10" s="789"/>
      <c r="O10" s="789"/>
      <c r="P10" s="789"/>
      <c r="Q10" s="789"/>
      <c r="R10" s="789"/>
      <c r="S10" s="789"/>
      <c r="T10" s="789"/>
      <c r="U10" s="789"/>
      <c r="V10" s="789"/>
      <c r="W10" s="789"/>
      <c r="X10" s="789"/>
    </row>
    <row r="11" spans="1:24">
      <c r="A11" s="789"/>
      <c r="B11" s="825" t="s">
        <v>224</v>
      </c>
      <c r="C11" s="859">
        <v>213676</v>
      </c>
      <c r="D11" s="859">
        <v>28377</v>
      </c>
      <c r="E11" s="859">
        <v>3888</v>
      </c>
      <c r="F11" s="859">
        <v>245941</v>
      </c>
      <c r="H11" s="859">
        <v>349</v>
      </c>
      <c r="I11" s="859">
        <v>761</v>
      </c>
      <c r="J11" s="859">
        <v>720</v>
      </c>
      <c r="K11" s="859">
        <v>1830</v>
      </c>
      <c r="M11" s="789"/>
      <c r="N11" s="789"/>
      <c r="O11" s="789"/>
      <c r="P11" s="789"/>
      <c r="Q11" s="789"/>
      <c r="R11" s="789"/>
      <c r="S11" s="789"/>
      <c r="T11" s="789"/>
      <c r="U11" s="789"/>
      <c r="V11" s="789"/>
      <c r="W11" s="789"/>
      <c r="X11" s="789"/>
    </row>
    <row r="12" spans="1:24">
      <c r="A12" s="789"/>
      <c r="B12" s="823" t="s">
        <v>223</v>
      </c>
      <c r="C12" s="858">
        <v>1701</v>
      </c>
      <c r="D12" s="858">
        <v>29</v>
      </c>
      <c r="E12" s="858">
        <v>494</v>
      </c>
      <c r="F12" s="858">
        <v>2224</v>
      </c>
      <c r="H12" s="858">
        <v>2</v>
      </c>
      <c r="I12" s="858">
        <v>0</v>
      </c>
      <c r="J12" s="858">
        <v>278</v>
      </c>
      <c r="K12" s="858">
        <v>280</v>
      </c>
      <c r="M12" s="789"/>
      <c r="N12" s="789"/>
      <c r="O12" s="789"/>
      <c r="P12" s="789"/>
      <c r="Q12" s="789"/>
      <c r="R12" s="789"/>
      <c r="S12" s="789"/>
      <c r="T12" s="789"/>
      <c r="U12" s="789"/>
      <c r="V12" s="789"/>
      <c r="W12" s="789"/>
      <c r="X12" s="789"/>
    </row>
    <row r="13" spans="1:24">
      <c r="A13" s="789"/>
      <c r="B13" s="821" t="s">
        <v>222</v>
      </c>
      <c r="C13" s="785">
        <v>20427</v>
      </c>
      <c r="D13" s="785">
        <v>3448</v>
      </c>
      <c r="E13" s="785">
        <v>1652</v>
      </c>
      <c r="F13" s="785">
        <v>25527</v>
      </c>
      <c r="H13" s="785">
        <v>358</v>
      </c>
      <c r="I13" s="785">
        <v>960</v>
      </c>
      <c r="J13" s="785">
        <v>1338</v>
      </c>
      <c r="K13" s="785">
        <v>2656</v>
      </c>
      <c r="M13" s="789"/>
      <c r="N13" s="789"/>
      <c r="O13" s="789"/>
      <c r="P13" s="789"/>
      <c r="Q13" s="789"/>
      <c r="R13" s="789"/>
      <c r="S13" s="789"/>
      <c r="T13" s="789"/>
      <c r="U13" s="789"/>
      <c r="V13" s="789"/>
      <c r="W13" s="789"/>
      <c r="X13" s="789"/>
    </row>
    <row r="14" spans="1:24">
      <c r="A14" s="789"/>
      <c r="B14" s="821" t="s">
        <v>221</v>
      </c>
      <c r="C14" s="785">
        <v>1624</v>
      </c>
      <c r="D14" s="785">
        <v>148</v>
      </c>
      <c r="E14" s="785">
        <v>130</v>
      </c>
      <c r="F14" s="785">
        <v>1902</v>
      </c>
      <c r="H14" s="785">
        <v>2</v>
      </c>
      <c r="I14" s="785">
        <v>1</v>
      </c>
      <c r="J14" s="785">
        <v>26</v>
      </c>
      <c r="K14" s="785">
        <v>29</v>
      </c>
      <c r="M14" s="789"/>
      <c r="N14" s="789"/>
      <c r="O14" s="789"/>
      <c r="P14" s="789"/>
      <c r="Q14" s="789"/>
      <c r="R14" s="789"/>
      <c r="S14" s="789"/>
      <c r="T14" s="789"/>
      <c r="U14" s="789"/>
      <c r="V14" s="789"/>
      <c r="W14" s="789"/>
      <c r="X14" s="789"/>
    </row>
    <row r="15" spans="1:24">
      <c r="A15" s="789"/>
      <c r="B15" s="813" t="s">
        <v>220</v>
      </c>
      <c r="C15" s="856">
        <v>59315</v>
      </c>
      <c r="D15" s="856">
        <v>3895</v>
      </c>
      <c r="E15" s="856">
        <v>982</v>
      </c>
      <c r="F15" s="856">
        <v>64192</v>
      </c>
      <c r="H15" s="856">
        <v>78</v>
      </c>
      <c r="I15" s="856">
        <v>141</v>
      </c>
      <c r="J15" s="856">
        <v>225</v>
      </c>
      <c r="K15" s="856">
        <v>444</v>
      </c>
      <c r="M15" s="789"/>
      <c r="N15" s="789"/>
      <c r="O15" s="789"/>
      <c r="P15" s="789"/>
      <c r="Q15" s="789"/>
      <c r="R15" s="789"/>
      <c r="S15" s="789"/>
      <c r="T15" s="789"/>
      <c r="U15" s="789"/>
      <c r="V15" s="789"/>
      <c r="W15" s="789"/>
      <c r="X15" s="789"/>
    </row>
    <row r="16" spans="1:24">
      <c r="A16" s="789"/>
      <c r="B16" s="818" t="s">
        <v>219</v>
      </c>
      <c r="C16" s="857">
        <v>83067</v>
      </c>
      <c r="D16" s="857">
        <v>7520</v>
      </c>
      <c r="E16" s="857">
        <v>3258</v>
      </c>
      <c r="F16" s="857">
        <v>93845</v>
      </c>
      <c r="H16" s="857">
        <v>440</v>
      </c>
      <c r="I16" s="857">
        <v>1102</v>
      </c>
      <c r="J16" s="857">
        <v>1867</v>
      </c>
      <c r="K16" s="857">
        <v>3409</v>
      </c>
      <c r="M16" s="789"/>
      <c r="N16" s="789"/>
      <c r="O16" s="789"/>
      <c r="P16" s="789"/>
      <c r="Q16" s="789"/>
      <c r="R16" s="789"/>
      <c r="S16" s="789"/>
      <c r="T16" s="789"/>
      <c r="U16" s="789"/>
      <c r="V16" s="789"/>
      <c r="W16" s="789"/>
      <c r="X16" s="789"/>
    </row>
    <row r="17" spans="1:24" ht="21">
      <c r="A17" s="789"/>
      <c r="B17" s="810" t="s">
        <v>218</v>
      </c>
      <c r="C17" s="842">
        <v>296743</v>
      </c>
      <c r="D17" s="842">
        <v>35897</v>
      </c>
      <c r="E17" s="842">
        <v>7146</v>
      </c>
      <c r="F17" s="842">
        <v>339786</v>
      </c>
      <c r="H17" s="842">
        <v>789</v>
      </c>
      <c r="I17" s="842">
        <v>1863</v>
      </c>
      <c r="J17" s="842">
        <v>2587</v>
      </c>
      <c r="K17" s="842">
        <v>5239</v>
      </c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</row>
    <row r="18" spans="1:24">
      <c r="A18" s="789"/>
      <c r="B18" s="813" t="s">
        <v>217</v>
      </c>
      <c r="C18" s="856">
        <v>61342</v>
      </c>
      <c r="D18" s="856">
        <v>3316</v>
      </c>
      <c r="E18" s="856">
        <v>0</v>
      </c>
      <c r="F18" s="856">
        <v>64658</v>
      </c>
      <c r="H18" s="856">
        <v>10</v>
      </c>
      <c r="I18" s="856">
        <v>11</v>
      </c>
      <c r="J18" s="856">
        <v>0</v>
      </c>
      <c r="K18" s="856">
        <v>21</v>
      </c>
      <c r="M18" s="789"/>
      <c r="N18" s="835"/>
      <c r="O18" s="835"/>
      <c r="P18" s="835"/>
      <c r="Q18" s="835"/>
      <c r="R18" s="833"/>
      <c r="S18" s="835"/>
      <c r="T18" s="833"/>
      <c r="U18" s="833"/>
      <c r="V18" s="833"/>
      <c r="W18" s="833"/>
      <c r="X18" s="833"/>
    </row>
    <row r="19" spans="1:24" ht="21">
      <c r="A19" s="789"/>
      <c r="B19" s="810" t="s">
        <v>216</v>
      </c>
      <c r="C19" s="842">
        <v>358085</v>
      </c>
      <c r="D19" s="842">
        <v>39213</v>
      </c>
      <c r="E19" s="842">
        <v>7146</v>
      </c>
      <c r="F19" s="842">
        <v>404444</v>
      </c>
      <c r="H19" s="842">
        <v>799</v>
      </c>
      <c r="I19" s="842">
        <v>1874</v>
      </c>
      <c r="J19" s="842">
        <v>2587</v>
      </c>
      <c r="K19" s="842">
        <v>5260</v>
      </c>
      <c r="M19" s="789"/>
      <c r="N19" s="835"/>
      <c r="O19" s="835"/>
      <c r="P19" s="835"/>
      <c r="Q19" s="835"/>
      <c r="R19" s="833"/>
      <c r="S19" s="835"/>
      <c r="T19" s="833"/>
      <c r="U19" s="833"/>
      <c r="V19" s="833"/>
      <c r="W19" s="833"/>
      <c r="X19" s="833"/>
    </row>
    <row r="20" spans="1:24" ht="21">
      <c r="A20" s="789"/>
      <c r="B20" s="813" t="s">
        <v>215</v>
      </c>
      <c r="C20" s="856">
        <v>378879</v>
      </c>
      <c r="D20" s="856">
        <v>17441</v>
      </c>
      <c r="E20" s="856">
        <v>1046</v>
      </c>
      <c r="F20" s="856">
        <v>397366</v>
      </c>
      <c r="H20" s="856">
        <v>171</v>
      </c>
      <c r="I20" s="856">
        <v>231</v>
      </c>
      <c r="J20" s="856">
        <v>28</v>
      </c>
      <c r="K20" s="856">
        <v>430</v>
      </c>
      <c r="M20" s="789"/>
      <c r="N20" s="789"/>
      <c r="O20" s="789"/>
      <c r="P20" s="789"/>
      <c r="Q20" s="789"/>
      <c r="R20" s="789"/>
      <c r="S20" s="789"/>
      <c r="T20" s="789"/>
      <c r="U20" s="789"/>
      <c r="V20" s="789"/>
      <c r="W20" s="789"/>
      <c r="X20" s="855"/>
    </row>
    <row r="21" spans="1:24">
      <c r="A21" s="789"/>
      <c r="B21" s="810" t="s">
        <v>214</v>
      </c>
      <c r="C21" s="842">
        <v>736964</v>
      </c>
      <c r="D21" s="842">
        <v>56654</v>
      </c>
      <c r="E21" s="842">
        <v>8192</v>
      </c>
      <c r="F21" s="842">
        <v>801810</v>
      </c>
      <c r="H21" s="842">
        <v>970</v>
      </c>
      <c r="I21" s="842">
        <v>2105</v>
      </c>
      <c r="J21" s="842">
        <v>2615</v>
      </c>
      <c r="K21" s="842">
        <v>5690</v>
      </c>
      <c r="M21" s="789"/>
      <c r="N21" s="789"/>
      <c r="O21" s="789"/>
      <c r="P21" s="789"/>
      <c r="Q21" s="789"/>
      <c r="R21" s="789"/>
      <c r="S21" s="789"/>
      <c r="T21" s="789"/>
      <c r="U21" s="789"/>
      <c r="V21" s="789"/>
      <c r="W21" s="789"/>
      <c r="X21" s="855"/>
    </row>
    <row r="22" spans="1:24">
      <c r="A22" s="789"/>
      <c r="M22" s="789"/>
      <c r="N22" s="789"/>
      <c r="O22" s="789"/>
      <c r="P22" s="789"/>
      <c r="Q22" s="789"/>
      <c r="R22" s="789"/>
      <c r="S22" s="789"/>
      <c r="T22" s="789"/>
      <c r="U22" s="789"/>
      <c r="V22" s="789"/>
      <c r="W22" s="789"/>
      <c r="X22" s="854"/>
    </row>
    <row r="23" spans="1:24">
      <c r="A23" s="789"/>
      <c r="C23" s="1143"/>
      <c r="D23" s="1143"/>
      <c r="E23" s="1143"/>
      <c r="F23" s="1143"/>
      <c r="H23" s="1143"/>
      <c r="I23" s="1143"/>
      <c r="J23" s="1143"/>
      <c r="K23" s="1143"/>
      <c r="M23" s="789"/>
      <c r="N23" s="789"/>
      <c r="O23" s="789"/>
      <c r="P23" s="789"/>
      <c r="Q23" s="789"/>
      <c r="R23" s="789"/>
      <c r="S23" s="789"/>
      <c r="T23" s="789"/>
      <c r="U23" s="789"/>
      <c r="V23" s="789"/>
      <c r="W23" s="789"/>
      <c r="X23" s="805"/>
    </row>
    <row r="24" spans="1:24">
      <c r="A24" s="789"/>
      <c r="C24" s="1142" t="s">
        <v>230</v>
      </c>
      <c r="D24" s="1143"/>
      <c r="E24" s="1143"/>
      <c r="F24" s="1143"/>
      <c r="H24" s="1142" t="s">
        <v>229</v>
      </c>
      <c r="I24" s="1143"/>
      <c r="J24" s="1143"/>
      <c r="K24" s="1143"/>
      <c r="M24" s="789"/>
      <c r="N24" s="789"/>
      <c r="O24" s="789"/>
      <c r="P24" s="789"/>
      <c r="Q24" s="789"/>
      <c r="R24" s="789"/>
      <c r="S24" s="789"/>
      <c r="T24" s="789"/>
      <c r="U24" s="789"/>
      <c r="V24" s="789"/>
      <c r="W24" s="789"/>
      <c r="X24" s="851"/>
    </row>
    <row r="25" spans="1:24">
      <c r="A25" s="789"/>
      <c r="C25" s="834" t="s">
        <v>227</v>
      </c>
      <c r="D25" s="834" t="s">
        <v>228</v>
      </c>
      <c r="E25" s="834" t="s">
        <v>225</v>
      </c>
      <c r="F25" s="834" t="s">
        <v>214</v>
      </c>
      <c r="H25" s="834" t="s">
        <v>227</v>
      </c>
      <c r="I25" s="834" t="s">
        <v>226</v>
      </c>
      <c r="J25" s="834" t="s">
        <v>225</v>
      </c>
      <c r="K25" s="834" t="s">
        <v>214</v>
      </c>
      <c r="M25" s="789"/>
      <c r="N25" s="789"/>
      <c r="O25" s="789"/>
      <c r="P25" s="789"/>
      <c r="Q25" s="789"/>
      <c r="R25" s="789"/>
      <c r="S25" s="789"/>
      <c r="T25" s="789"/>
      <c r="U25" s="789"/>
      <c r="V25" s="789"/>
      <c r="W25" s="789"/>
      <c r="X25" s="851"/>
    </row>
    <row r="26" spans="1:24">
      <c r="A26" s="789"/>
      <c r="B26" s="832" t="s">
        <v>169</v>
      </c>
      <c r="C26" s="831" t="s">
        <v>1</v>
      </c>
      <c r="D26" s="831" t="s">
        <v>1</v>
      </c>
      <c r="E26" s="831" t="s">
        <v>1</v>
      </c>
      <c r="F26" s="831" t="s">
        <v>1</v>
      </c>
      <c r="H26" s="831" t="s">
        <v>208</v>
      </c>
      <c r="I26" s="831" t="s">
        <v>208</v>
      </c>
      <c r="J26" s="831" t="s">
        <v>208</v>
      </c>
      <c r="K26" s="831" t="s">
        <v>208</v>
      </c>
      <c r="M26" s="789"/>
      <c r="N26" s="789"/>
      <c r="O26" s="789"/>
      <c r="P26" s="789"/>
      <c r="Q26" s="789"/>
      <c r="R26" s="789"/>
      <c r="S26" s="789"/>
      <c r="T26" s="789"/>
      <c r="U26" s="789"/>
      <c r="V26" s="789"/>
      <c r="W26" s="789"/>
      <c r="X26" s="851"/>
    </row>
    <row r="27" spans="1:24">
      <c r="A27" s="789"/>
      <c r="B27" s="830" t="s">
        <v>223</v>
      </c>
      <c r="C27" s="853">
        <v>145556</v>
      </c>
      <c r="D27" s="853">
        <v>17966</v>
      </c>
      <c r="E27" s="853">
        <v>1587</v>
      </c>
      <c r="F27" s="853">
        <v>165109</v>
      </c>
      <c r="H27" s="852">
        <v>0</v>
      </c>
      <c r="I27" s="852">
        <v>0.3</v>
      </c>
      <c r="J27" s="852">
        <v>6.2</v>
      </c>
      <c r="K27" s="852">
        <v>0.1</v>
      </c>
      <c r="M27" s="789"/>
      <c r="N27" s="789"/>
      <c r="O27" s="789"/>
      <c r="P27" s="789"/>
      <c r="Q27" s="789"/>
      <c r="R27" s="789"/>
      <c r="S27" s="789"/>
      <c r="T27" s="789"/>
      <c r="U27" s="789"/>
      <c r="V27" s="789"/>
      <c r="W27" s="789"/>
      <c r="X27" s="833"/>
    </row>
    <row r="28" spans="1:24">
      <c r="A28" s="789"/>
      <c r="B28" s="821" t="s">
        <v>222</v>
      </c>
      <c r="C28" s="848">
        <v>8973</v>
      </c>
      <c r="D28" s="848">
        <v>1564</v>
      </c>
      <c r="E28" s="848">
        <v>91</v>
      </c>
      <c r="F28" s="848">
        <v>10628</v>
      </c>
      <c r="H28" s="847">
        <v>1.2</v>
      </c>
      <c r="I28" s="847">
        <v>21.5</v>
      </c>
      <c r="J28" s="847">
        <v>51.1</v>
      </c>
      <c r="K28" s="847">
        <v>5.6</v>
      </c>
      <c r="M28" s="789"/>
      <c r="N28" s="789"/>
      <c r="O28" s="789"/>
      <c r="P28" s="789"/>
      <c r="Q28" s="789"/>
      <c r="R28" s="789"/>
      <c r="S28" s="789"/>
      <c r="T28" s="789"/>
      <c r="U28" s="789"/>
      <c r="V28" s="789"/>
      <c r="W28" s="789"/>
      <c r="X28" s="851"/>
    </row>
    <row r="29" spans="1:24">
      <c r="A29" s="789"/>
      <c r="B29" s="821" t="s">
        <v>221</v>
      </c>
      <c r="C29" s="848">
        <v>6549</v>
      </c>
      <c r="D29" s="848">
        <v>1098</v>
      </c>
      <c r="E29" s="848">
        <v>80</v>
      </c>
      <c r="F29" s="848">
        <v>7727</v>
      </c>
      <c r="H29" s="847">
        <v>0.8</v>
      </c>
      <c r="I29" s="847">
        <v>8.6999999999999993</v>
      </c>
      <c r="J29" s="847">
        <v>63.8</v>
      </c>
      <c r="K29" s="847">
        <v>3.7</v>
      </c>
      <c r="M29" s="789"/>
      <c r="N29" s="789"/>
      <c r="O29" s="789"/>
      <c r="P29" s="789"/>
      <c r="Q29" s="789"/>
      <c r="R29" s="789"/>
      <c r="S29" s="789"/>
      <c r="T29" s="789"/>
      <c r="U29" s="789"/>
      <c r="V29" s="789"/>
      <c r="W29" s="789"/>
      <c r="X29" s="851"/>
    </row>
    <row r="30" spans="1:24">
      <c r="A30" s="789"/>
      <c r="B30" s="813" t="s">
        <v>220</v>
      </c>
      <c r="C30" s="841">
        <v>52249</v>
      </c>
      <c r="D30" s="841">
        <v>6988</v>
      </c>
      <c r="E30" s="841">
        <v>1410</v>
      </c>
      <c r="F30" s="841">
        <v>60647</v>
      </c>
      <c r="H30" s="840">
        <v>0.3</v>
      </c>
      <c r="I30" s="840">
        <v>2.2999999999999998</v>
      </c>
      <c r="J30" s="840">
        <v>21.2</v>
      </c>
      <c r="K30" s="840">
        <v>1.1000000000000001</v>
      </c>
      <c r="M30" s="789"/>
      <c r="N30" s="789"/>
      <c r="O30" s="789"/>
      <c r="P30" s="789"/>
      <c r="Q30" s="789"/>
      <c r="R30" s="789"/>
      <c r="S30" s="789"/>
      <c r="T30" s="789"/>
      <c r="U30" s="789"/>
      <c r="V30" s="789"/>
      <c r="W30" s="789"/>
      <c r="X30" s="851"/>
    </row>
    <row r="31" spans="1:24">
      <c r="A31" s="789"/>
      <c r="B31" s="825" t="s">
        <v>224</v>
      </c>
      <c r="C31" s="850">
        <v>213327</v>
      </c>
      <c r="D31" s="850">
        <v>27616</v>
      </c>
      <c r="E31" s="850">
        <v>3168</v>
      </c>
      <c r="F31" s="850">
        <v>244111</v>
      </c>
      <c r="H31" s="844">
        <v>0.2</v>
      </c>
      <c r="I31" s="844">
        <v>2.7</v>
      </c>
      <c r="J31" s="844">
        <v>18.5</v>
      </c>
      <c r="K31" s="844">
        <v>0.7</v>
      </c>
      <c r="M31" s="789"/>
      <c r="N31" s="789"/>
      <c r="O31" s="789"/>
      <c r="P31" s="789"/>
      <c r="Q31" s="789"/>
      <c r="R31" s="789"/>
      <c r="S31" s="789"/>
      <c r="T31" s="789"/>
      <c r="U31" s="789"/>
      <c r="V31" s="789"/>
      <c r="W31" s="789"/>
      <c r="X31" s="833"/>
    </row>
    <row r="32" spans="1:24">
      <c r="A32" s="789"/>
      <c r="B32" s="823" t="s">
        <v>223</v>
      </c>
      <c r="C32" s="849">
        <v>1699</v>
      </c>
      <c r="D32" s="849">
        <v>29</v>
      </c>
      <c r="E32" s="849">
        <v>216</v>
      </c>
      <c r="F32" s="849">
        <v>1944</v>
      </c>
      <c r="H32" s="843">
        <v>0.1</v>
      </c>
      <c r="I32" s="843">
        <v>0</v>
      </c>
      <c r="J32" s="843">
        <v>56.3</v>
      </c>
      <c r="K32" s="843">
        <v>12.6</v>
      </c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833"/>
    </row>
    <row r="33" spans="1:24">
      <c r="A33" s="789"/>
      <c r="B33" s="821" t="s">
        <v>222</v>
      </c>
      <c r="C33" s="848">
        <v>20069</v>
      </c>
      <c r="D33" s="848">
        <v>2488</v>
      </c>
      <c r="E33" s="848">
        <v>314</v>
      </c>
      <c r="F33" s="848">
        <v>22871</v>
      </c>
      <c r="H33" s="847">
        <v>1.8</v>
      </c>
      <c r="I33" s="847">
        <v>27.8</v>
      </c>
      <c r="J33" s="847">
        <v>81</v>
      </c>
      <c r="K33" s="847">
        <v>10.4</v>
      </c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833"/>
    </row>
    <row r="34" spans="1:24">
      <c r="A34" s="789"/>
      <c r="B34" s="821" t="s">
        <v>221</v>
      </c>
      <c r="C34" s="848">
        <v>1622</v>
      </c>
      <c r="D34" s="848">
        <v>147</v>
      </c>
      <c r="E34" s="848">
        <v>104</v>
      </c>
      <c r="F34" s="848">
        <v>1873</v>
      </c>
      <c r="H34" s="847">
        <v>0.1</v>
      </c>
      <c r="I34" s="847">
        <v>0.7</v>
      </c>
      <c r="J34" s="847">
        <v>20</v>
      </c>
      <c r="K34" s="847">
        <v>1.5</v>
      </c>
      <c r="M34" s="789"/>
      <c r="N34" s="789"/>
      <c r="O34" s="789"/>
      <c r="P34" s="789"/>
      <c r="Q34" s="789"/>
      <c r="R34" s="789"/>
      <c r="S34" s="789"/>
      <c r="T34" s="789"/>
      <c r="U34" s="789"/>
      <c r="V34" s="789"/>
      <c r="W34" s="789"/>
      <c r="X34" s="833"/>
    </row>
    <row r="35" spans="1:24">
      <c r="A35" s="789"/>
      <c r="B35" s="813" t="s">
        <v>220</v>
      </c>
      <c r="C35" s="841">
        <v>59237</v>
      </c>
      <c r="D35" s="841">
        <v>3754</v>
      </c>
      <c r="E35" s="841">
        <v>757</v>
      </c>
      <c r="F35" s="841">
        <v>63748</v>
      </c>
      <c r="H35" s="840">
        <v>0.1</v>
      </c>
      <c r="I35" s="840">
        <v>3.6</v>
      </c>
      <c r="J35" s="840">
        <v>22.9</v>
      </c>
      <c r="K35" s="840">
        <v>0.7</v>
      </c>
      <c r="M35" s="789"/>
      <c r="N35" s="789"/>
      <c r="O35" s="789"/>
      <c r="P35" s="789"/>
      <c r="Q35" s="789"/>
      <c r="R35" s="789"/>
      <c r="S35" s="789"/>
      <c r="T35" s="789"/>
      <c r="U35" s="789"/>
      <c r="V35" s="789"/>
      <c r="W35" s="789"/>
      <c r="X35" s="846"/>
    </row>
    <row r="36" spans="1:24">
      <c r="A36" s="789"/>
      <c r="B36" s="818" t="s">
        <v>219</v>
      </c>
      <c r="C36" s="845">
        <v>82627</v>
      </c>
      <c r="D36" s="845">
        <v>6418</v>
      </c>
      <c r="E36" s="845">
        <v>1391</v>
      </c>
      <c r="F36" s="845">
        <v>90436</v>
      </c>
      <c r="H36" s="844">
        <v>0.5</v>
      </c>
      <c r="I36" s="844">
        <v>14.7</v>
      </c>
      <c r="J36" s="844">
        <v>57.3</v>
      </c>
      <c r="K36" s="844">
        <v>3.6</v>
      </c>
      <c r="M36" s="789"/>
      <c r="N36" s="789"/>
      <c r="O36" s="789"/>
      <c r="P36" s="789"/>
      <c r="Q36" s="789"/>
      <c r="R36" s="789"/>
      <c r="S36" s="789"/>
      <c r="T36" s="789"/>
      <c r="U36" s="789"/>
      <c r="V36" s="789"/>
      <c r="W36" s="789"/>
      <c r="X36" s="789"/>
    </row>
    <row r="37" spans="1:24" ht="21">
      <c r="A37" s="789"/>
      <c r="B37" s="810" t="s">
        <v>218</v>
      </c>
      <c r="C37" s="839">
        <v>295954</v>
      </c>
      <c r="D37" s="839">
        <v>34034</v>
      </c>
      <c r="E37" s="839">
        <v>4559</v>
      </c>
      <c r="F37" s="839">
        <v>334547</v>
      </c>
      <c r="H37" s="843">
        <v>0.3</v>
      </c>
      <c r="I37" s="843">
        <v>5.2</v>
      </c>
      <c r="J37" s="843">
        <v>36.200000000000003</v>
      </c>
      <c r="K37" s="843">
        <v>1.5</v>
      </c>
      <c r="M37" s="789"/>
      <c r="N37" s="789"/>
      <c r="O37" s="789"/>
      <c r="P37" s="789"/>
      <c r="Q37" s="789"/>
      <c r="R37" s="789"/>
      <c r="S37" s="789"/>
      <c r="T37" s="789"/>
      <c r="U37" s="789"/>
      <c r="V37" s="789"/>
      <c r="W37" s="789"/>
      <c r="X37" s="789"/>
    </row>
    <row r="38" spans="1:24">
      <c r="A38" s="789"/>
      <c r="B38" s="813" t="s">
        <v>217</v>
      </c>
      <c r="C38" s="841">
        <v>61332</v>
      </c>
      <c r="D38" s="841">
        <v>3305</v>
      </c>
      <c r="E38" s="841">
        <v>0</v>
      </c>
      <c r="F38" s="841">
        <v>64637</v>
      </c>
      <c r="H38" s="840">
        <v>0</v>
      </c>
      <c r="I38" s="840">
        <v>0.3</v>
      </c>
      <c r="J38" s="840">
        <v>0</v>
      </c>
      <c r="K38" s="840">
        <v>0</v>
      </c>
      <c r="M38" s="789"/>
      <c r="N38" s="789"/>
      <c r="O38" s="789"/>
      <c r="P38" s="789"/>
      <c r="Q38" s="789"/>
      <c r="R38" s="789"/>
      <c r="S38" s="789"/>
      <c r="T38" s="789"/>
      <c r="U38" s="789"/>
      <c r="V38" s="789"/>
      <c r="W38" s="789"/>
      <c r="X38" s="789"/>
    </row>
    <row r="39" spans="1:24" ht="21">
      <c r="A39" s="789"/>
      <c r="B39" s="810" t="s">
        <v>216</v>
      </c>
      <c r="C39" s="842">
        <v>357286</v>
      </c>
      <c r="D39" s="842">
        <v>37339</v>
      </c>
      <c r="E39" s="842">
        <v>4559</v>
      </c>
      <c r="F39" s="842">
        <v>399184</v>
      </c>
      <c r="H39" s="838">
        <v>0.2</v>
      </c>
      <c r="I39" s="838">
        <v>4.8</v>
      </c>
      <c r="J39" s="838">
        <v>36.200000000000003</v>
      </c>
      <c r="K39" s="838">
        <v>1.3</v>
      </c>
      <c r="M39" s="789"/>
      <c r="N39" s="789"/>
      <c r="O39" s="789"/>
      <c r="P39" s="789"/>
      <c r="Q39" s="789"/>
      <c r="R39" s="789"/>
      <c r="S39" s="789"/>
      <c r="T39" s="789"/>
      <c r="U39" s="789"/>
      <c r="V39" s="789"/>
      <c r="W39" s="789"/>
      <c r="X39" s="789"/>
    </row>
    <row r="40" spans="1:24" ht="21">
      <c r="A40" s="789"/>
      <c r="B40" s="813" t="s">
        <v>215</v>
      </c>
      <c r="C40" s="841">
        <v>378708</v>
      </c>
      <c r="D40" s="841">
        <v>17210</v>
      </c>
      <c r="E40" s="841">
        <v>1018</v>
      </c>
      <c r="F40" s="841">
        <v>396936</v>
      </c>
      <c r="H40" s="840">
        <v>0</v>
      </c>
      <c r="I40" s="840">
        <v>1.3</v>
      </c>
      <c r="J40" s="840">
        <v>2.7</v>
      </c>
      <c r="K40" s="840">
        <v>0.1</v>
      </c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</row>
    <row r="41" spans="1:24">
      <c r="A41" s="789"/>
      <c r="B41" s="810" t="s">
        <v>214</v>
      </c>
      <c r="C41" s="839">
        <v>735994</v>
      </c>
      <c r="D41" s="839">
        <v>54549</v>
      </c>
      <c r="E41" s="839">
        <v>5577</v>
      </c>
      <c r="F41" s="839">
        <v>796120</v>
      </c>
      <c r="H41" s="838">
        <v>0.1</v>
      </c>
      <c r="I41" s="838">
        <v>3.7</v>
      </c>
      <c r="J41" s="838">
        <v>31.9</v>
      </c>
      <c r="K41" s="838">
        <v>0.7</v>
      </c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</row>
    <row r="42" spans="1:24">
      <c r="A42" s="789"/>
      <c r="M42" s="789"/>
      <c r="N42" s="789"/>
      <c r="O42" s="789"/>
      <c r="P42" s="789"/>
      <c r="Q42" s="789"/>
      <c r="R42" s="789"/>
      <c r="S42" s="789"/>
      <c r="T42" s="789"/>
      <c r="U42" s="789"/>
      <c r="V42" s="789"/>
      <c r="W42" s="789"/>
      <c r="X42" s="789"/>
    </row>
    <row r="43" spans="1:24">
      <c r="A43" s="789"/>
      <c r="C43" s="1142" t="s">
        <v>232</v>
      </c>
      <c r="D43" s="1143"/>
      <c r="E43" s="1143"/>
      <c r="F43" s="1143"/>
      <c r="H43" s="1142" t="s">
        <v>231</v>
      </c>
      <c r="I43" s="1143"/>
      <c r="J43" s="1143"/>
      <c r="K43" s="1143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</row>
    <row r="44" spans="1:24">
      <c r="A44" s="789"/>
      <c r="C44" s="834" t="s">
        <v>227</v>
      </c>
      <c r="D44" s="834" t="s">
        <v>228</v>
      </c>
      <c r="E44" s="834" t="s">
        <v>225</v>
      </c>
      <c r="F44" s="834" t="s">
        <v>214</v>
      </c>
      <c r="H44" s="834" t="s">
        <v>227</v>
      </c>
      <c r="I44" s="834" t="s">
        <v>228</v>
      </c>
      <c r="J44" s="834" t="s">
        <v>225</v>
      </c>
      <c r="K44" s="834" t="s">
        <v>214</v>
      </c>
      <c r="M44" s="789"/>
      <c r="N44" s="789"/>
      <c r="O44" s="789"/>
      <c r="P44" s="789"/>
      <c r="Q44" s="789"/>
      <c r="R44" s="789"/>
      <c r="S44" s="789"/>
      <c r="T44" s="789"/>
      <c r="U44" s="789"/>
      <c r="V44" s="789"/>
      <c r="W44" s="789"/>
      <c r="X44" s="789"/>
    </row>
    <row r="45" spans="1:24">
      <c r="A45" s="789"/>
      <c r="B45" s="832" t="s">
        <v>127</v>
      </c>
      <c r="C45" s="831" t="s">
        <v>1</v>
      </c>
      <c r="D45" s="831" t="s">
        <v>1</v>
      </c>
      <c r="E45" s="831" t="s">
        <v>1</v>
      </c>
      <c r="F45" s="831" t="s">
        <v>1</v>
      </c>
      <c r="H45" s="831" t="s">
        <v>1</v>
      </c>
      <c r="I45" s="831" t="s">
        <v>1</v>
      </c>
      <c r="J45" s="831" t="s">
        <v>1</v>
      </c>
      <c r="K45" s="831" t="s">
        <v>1</v>
      </c>
      <c r="M45" s="789"/>
      <c r="N45" s="789"/>
      <c r="O45" s="789"/>
      <c r="P45" s="789"/>
      <c r="Q45" s="789"/>
      <c r="R45" s="789"/>
      <c r="S45" s="789"/>
      <c r="T45" s="789"/>
      <c r="U45" s="789"/>
      <c r="V45" s="789"/>
      <c r="W45" s="789"/>
      <c r="X45" s="789"/>
    </row>
    <row r="46" spans="1:24">
      <c r="A46" s="789"/>
      <c r="B46" s="830" t="s">
        <v>223</v>
      </c>
      <c r="C46" s="829">
        <v>146001</v>
      </c>
      <c r="D46" s="829">
        <v>19123</v>
      </c>
      <c r="E46" s="829">
        <v>1812</v>
      </c>
      <c r="F46" s="829">
        <v>166936</v>
      </c>
      <c r="H46" s="829">
        <v>43</v>
      </c>
      <c r="I46" s="829">
        <v>77</v>
      </c>
      <c r="J46" s="829">
        <v>112</v>
      </c>
      <c r="K46" s="829">
        <v>232</v>
      </c>
      <c r="M46" s="789"/>
      <c r="N46" s="789"/>
      <c r="O46" s="789"/>
      <c r="P46" s="789"/>
      <c r="Q46" s="789"/>
      <c r="R46" s="789"/>
      <c r="S46" s="789"/>
      <c r="T46" s="789"/>
      <c r="U46" s="789"/>
      <c r="V46" s="789"/>
      <c r="W46" s="789"/>
      <c r="X46" s="789"/>
    </row>
    <row r="47" spans="1:24">
      <c r="A47" s="789"/>
      <c r="B47" s="821" t="s">
        <v>222</v>
      </c>
      <c r="C47" s="820">
        <v>8094</v>
      </c>
      <c r="D47" s="820">
        <v>2128</v>
      </c>
      <c r="E47" s="820">
        <v>198</v>
      </c>
      <c r="F47" s="820">
        <v>10420</v>
      </c>
      <c r="H47" s="820">
        <v>111</v>
      </c>
      <c r="I47" s="820">
        <v>492</v>
      </c>
      <c r="J47" s="820">
        <v>107</v>
      </c>
      <c r="K47" s="820">
        <v>710</v>
      </c>
      <c r="M47" s="789"/>
      <c r="N47" s="789"/>
      <c r="O47" s="789"/>
      <c r="P47" s="789"/>
      <c r="Q47" s="789"/>
      <c r="R47" s="789"/>
      <c r="S47" s="789"/>
      <c r="T47" s="789"/>
      <c r="U47" s="789"/>
      <c r="V47" s="789"/>
      <c r="W47" s="789"/>
      <c r="X47" s="789"/>
    </row>
    <row r="48" spans="1:24">
      <c r="A48" s="789"/>
      <c r="B48" s="821" t="s">
        <v>221</v>
      </c>
      <c r="C48" s="820">
        <v>6832</v>
      </c>
      <c r="D48" s="820">
        <v>1252</v>
      </c>
      <c r="E48" s="820">
        <v>264</v>
      </c>
      <c r="F48" s="820">
        <v>8348</v>
      </c>
      <c r="H48" s="820">
        <v>56</v>
      </c>
      <c r="I48" s="820">
        <v>117</v>
      </c>
      <c r="J48" s="820">
        <v>144</v>
      </c>
      <c r="K48" s="820">
        <v>317</v>
      </c>
      <c r="M48" s="789"/>
      <c r="N48" s="789"/>
      <c r="O48" s="789"/>
      <c r="P48" s="789"/>
      <c r="Q48" s="789"/>
      <c r="R48" s="789"/>
      <c r="S48" s="789"/>
      <c r="T48" s="789"/>
      <c r="U48" s="789"/>
      <c r="V48" s="789"/>
      <c r="W48" s="789"/>
      <c r="X48" s="789"/>
    </row>
    <row r="49" spans="1:24" ht="13">
      <c r="A49" s="789"/>
      <c r="B49" s="813" t="s">
        <v>220</v>
      </c>
      <c r="C49" s="812">
        <v>54257</v>
      </c>
      <c r="D49" s="812">
        <v>8673</v>
      </c>
      <c r="E49" s="812">
        <v>1692</v>
      </c>
      <c r="F49" s="812">
        <v>64622</v>
      </c>
      <c r="H49" s="812">
        <v>191</v>
      </c>
      <c r="I49" s="812">
        <v>214</v>
      </c>
      <c r="J49" s="812">
        <v>346</v>
      </c>
      <c r="K49" s="812">
        <v>751</v>
      </c>
      <c r="M49" s="789"/>
      <c r="N49" s="837"/>
      <c r="O49" s="789"/>
      <c r="P49" s="789"/>
      <c r="Q49" s="789"/>
      <c r="R49" s="789"/>
      <c r="S49" s="789"/>
      <c r="T49" s="789"/>
      <c r="U49" s="789"/>
      <c r="V49" s="789"/>
      <c r="W49" s="789"/>
      <c r="X49" s="789"/>
    </row>
    <row r="50" spans="1:24">
      <c r="A50" s="789"/>
      <c r="B50" s="825" t="s">
        <v>224</v>
      </c>
      <c r="C50" s="824">
        <v>215184</v>
      </c>
      <c r="D50" s="824">
        <v>31176</v>
      </c>
      <c r="E50" s="824">
        <v>3966</v>
      </c>
      <c r="F50" s="824">
        <v>250326</v>
      </c>
      <c r="H50" s="824">
        <v>401</v>
      </c>
      <c r="I50" s="824">
        <v>900</v>
      </c>
      <c r="J50" s="824">
        <v>709</v>
      </c>
      <c r="K50" s="824">
        <v>2010</v>
      </c>
      <c r="M50" s="789"/>
      <c r="N50" s="836"/>
      <c r="O50" s="833"/>
      <c r="P50" s="833"/>
      <c r="Q50" s="833"/>
      <c r="R50" s="833"/>
      <c r="S50" s="833"/>
      <c r="T50" s="833"/>
      <c r="U50" s="833"/>
      <c r="V50" s="833"/>
      <c r="W50" s="833"/>
      <c r="X50" s="833"/>
    </row>
    <row r="51" spans="1:24">
      <c r="A51" s="789"/>
      <c r="B51" s="823" t="s">
        <v>223</v>
      </c>
      <c r="C51" s="822">
        <v>4201</v>
      </c>
      <c r="D51" s="822">
        <v>346</v>
      </c>
      <c r="E51" s="822">
        <v>612</v>
      </c>
      <c r="F51" s="822">
        <v>5159</v>
      </c>
      <c r="H51" s="822">
        <v>7</v>
      </c>
      <c r="I51" s="822">
        <v>28</v>
      </c>
      <c r="J51" s="822">
        <v>316</v>
      </c>
      <c r="K51" s="822">
        <v>351</v>
      </c>
      <c r="M51" s="789"/>
      <c r="N51" s="789"/>
      <c r="O51" s="789"/>
      <c r="P51" s="789"/>
      <c r="Q51" s="789"/>
      <c r="R51" s="789"/>
      <c r="S51" s="835"/>
      <c r="T51" s="833"/>
      <c r="U51" s="833"/>
      <c r="V51" s="833"/>
      <c r="W51" s="833"/>
      <c r="X51" s="833"/>
    </row>
    <row r="52" spans="1:24">
      <c r="A52" s="789"/>
      <c r="B52" s="821" t="s">
        <v>222</v>
      </c>
      <c r="C52" s="820">
        <v>22315</v>
      </c>
      <c r="D52" s="820">
        <v>3450</v>
      </c>
      <c r="E52" s="820">
        <v>1522</v>
      </c>
      <c r="F52" s="820">
        <v>27287</v>
      </c>
      <c r="H52" s="820">
        <v>412</v>
      </c>
      <c r="I52" s="820">
        <v>1138</v>
      </c>
      <c r="J52" s="820">
        <v>1226</v>
      </c>
      <c r="K52" s="820">
        <v>2776</v>
      </c>
      <c r="M52" s="789"/>
      <c r="N52" s="789"/>
      <c r="O52" s="789"/>
      <c r="P52" s="789"/>
      <c r="Q52" s="789"/>
      <c r="R52" s="789"/>
      <c r="S52" s="835"/>
      <c r="T52" s="833"/>
      <c r="U52" s="833"/>
      <c r="V52" s="833"/>
      <c r="W52" s="833"/>
      <c r="X52" s="833"/>
    </row>
    <row r="53" spans="1:24">
      <c r="A53" s="789"/>
      <c r="B53" s="821" t="s">
        <v>221</v>
      </c>
      <c r="C53" s="820">
        <v>1637</v>
      </c>
      <c r="D53" s="820">
        <v>91</v>
      </c>
      <c r="E53" s="820">
        <v>229</v>
      </c>
      <c r="F53" s="820">
        <v>1957</v>
      </c>
      <c r="H53" s="820">
        <v>3</v>
      </c>
      <c r="I53" s="820">
        <v>1</v>
      </c>
      <c r="J53" s="820">
        <v>32</v>
      </c>
      <c r="K53" s="820">
        <v>36</v>
      </c>
      <c r="M53" s="789"/>
      <c r="N53" s="789"/>
      <c r="O53" s="789"/>
      <c r="P53" s="789"/>
      <c r="Q53" s="789"/>
      <c r="R53" s="789"/>
      <c r="S53" s="835"/>
      <c r="T53" s="833"/>
      <c r="U53" s="833"/>
      <c r="V53" s="833"/>
      <c r="W53" s="833"/>
      <c r="X53" s="833"/>
    </row>
    <row r="54" spans="1:24">
      <c r="A54" s="789"/>
      <c r="B54" s="813" t="s">
        <v>220</v>
      </c>
      <c r="C54" s="812">
        <v>58248</v>
      </c>
      <c r="D54" s="812">
        <v>4629</v>
      </c>
      <c r="E54" s="812">
        <v>862</v>
      </c>
      <c r="F54" s="812">
        <v>63739</v>
      </c>
      <c r="H54" s="812">
        <v>96</v>
      </c>
      <c r="I54" s="812">
        <v>200</v>
      </c>
      <c r="J54" s="812">
        <v>252</v>
      </c>
      <c r="K54" s="812">
        <v>548</v>
      </c>
      <c r="M54" s="789"/>
      <c r="N54" s="789"/>
      <c r="O54" s="789"/>
      <c r="P54" s="789"/>
      <c r="Q54" s="789"/>
      <c r="R54" s="789"/>
      <c r="S54" s="835"/>
      <c r="T54" s="833"/>
      <c r="U54" s="833"/>
      <c r="V54" s="833"/>
      <c r="W54" s="833"/>
      <c r="X54" s="833"/>
    </row>
    <row r="55" spans="1:24">
      <c r="A55" s="789"/>
      <c r="B55" s="818" t="s">
        <v>219</v>
      </c>
      <c r="C55" s="817">
        <v>86401</v>
      </c>
      <c r="D55" s="817">
        <v>8516</v>
      </c>
      <c r="E55" s="817">
        <v>3225</v>
      </c>
      <c r="F55" s="817">
        <v>98142</v>
      </c>
      <c r="H55" s="817">
        <v>518</v>
      </c>
      <c r="I55" s="817">
        <v>1367</v>
      </c>
      <c r="J55" s="817">
        <v>1826</v>
      </c>
      <c r="K55" s="817">
        <v>3711</v>
      </c>
      <c r="M55" s="789"/>
      <c r="N55" s="789"/>
      <c r="O55" s="789"/>
      <c r="P55" s="789"/>
      <c r="Q55" s="789"/>
      <c r="R55" s="789"/>
      <c r="S55" s="835"/>
      <c r="T55" s="833"/>
      <c r="U55" s="833"/>
      <c r="V55" s="833"/>
      <c r="W55" s="833"/>
      <c r="X55" s="833"/>
    </row>
    <row r="56" spans="1:24" ht="21">
      <c r="A56" s="789"/>
      <c r="B56" s="810" t="s">
        <v>218</v>
      </c>
      <c r="C56" s="809">
        <v>301585</v>
      </c>
      <c r="D56" s="809">
        <v>39692</v>
      </c>
      <c r="E56" s="809">
        <v>7191</v>
      </c>
      <c r="F56" s="809">
        <v>348468</v>
      </c>
      <c r="H56" s="809">
        <v>919</v>
      </c>
      <c r="I56" s="809">
        <v>2267</v>
      </c>
      <c r="J56" s="809">
        <v>2535</v>
      </c>
      <c r="K56" s="809">
        <v>5721</v>
      </c>
      <c r="M56" s="789"/>
      <c r="N56" s="789"/>
      <c r="O56" s="789"/>
      <c r="P56" s="789"/>
      <c r="Q56" s="789"/>
      <c r="R56" s="789"/>
      <c r="S56" s="833"/>
      <c r="T56" s="833"/>
      <c r="U56" s="833"/>
      <c r="V56" s="833"/>
      <c r="W56" s="833"/>
      <c r="X56" s="833"/>
    </row>
    <row r="57" spans="1:24">
      <c r="A57" s="789"/>
      <c r="B57" s="813" t="s">
        <v>217</v>
      </c>
      <c r="C57" s="812">
        <v>52869</v>
      </c>
      <c r="D57" s="812">
        <v>3907</v>
      </c>
      <c r="E57" s="812">
        <v>0</v>
      </c>
      <c r="F57" s="812">
        <v>56776</v>
      </c>
      <c r="H57" s="812">
        <v>11</v>
      </c>
      <c r="I57" s="812">
        <v>16</v>
      </c>
      <c r="J57" s="812">
        <v>0</v>
      </c>
      <c r="K57" s="812">
        <v>27</v>
      </c>
      <c r="M57" s="789"/>
      <c r="N57" s="789"/>
      <c r="O57" s="789"/>
      <c r="P57" s="789"/>
      <c r="Q57" s="789"/>
      <c r="R57" s="789"/>
      <c r="S57" s="833"/>
      <c r="T57" s="833"/>
      <c r="U57" s="833"/>
      <c r="V57" s="833"/>
      <c r="W57" s="833"/>
      <c r="X57" s="833"/>
    </row>
    <row r="58" spans="1:24" ht="21">
      <c r="A58" s="789"/>
      <c r="B58" s="810" t="s">
        <v>216</v>
      </c>
      <c r="C58" s="809">
        <v>354454</v>
      </c>
      <c r="D58" s="809">
        <v>43599</v>
      </c>
      <c r="E58" s="809">
        <v>7191</v>
      </c>
      <c r="F58" s="809">
        <v>405244</v>
      </c>
      <c r="H58" s="809">
        <v>930</v>
      </c>
      <c r="I58" s="809">
        <v>2283</v>
      </c>
      <c r="J58" s="809">
        <v>2535</v>
      </c>
      <c r="K58" s="809">
        <v>5748</v>
      </c>
      <c r="M58" s="789"/>
      <c r="N58" s="789"/>
      <c r="O58" s="789"/>
      <c r="P58" s="789"/>
      <c r="Q58" s="789"/>
      <c r="R58" s="789"/>
      <c r="S58" s="833"/>
      <c r="T58" s="833"/>
      <c r="U58" s="833"/>
      <c r="V58" s="833"/>
      <c r="W58" s="833"/>
      <c r="X58" s="833"/>
    </row>
    <row r="59" spans="1:24" ht="21">
      <c r="A59" s="789"/>
      <c r="B59" s="813" t="s">
        <v>215</v>
      </c>
      <c r="C59" s="812">
        <v>374063</v>
      </c>
      <c r="D59" s="812">
        <v>24208</v>
      </c>
      <c r="E59" s="812">
        <v>1037</v>
      </c>
      <c r="F59" s="812">
        <v>399308</v>
      </c>
      <c r="H59" s="812">
        <v>173</v>
      </c>
      <c r="I59" s="812">
        <v>287</v>
      </c>
      <c r="J59" s="812">
        <v>44</v>
      </c>
      <c r="K59" s="812">
        <v>504</v>
      </c>
      <c r="M59" s="789"/>
      <c r="N59" s="789"/>
      <c r="O59" s="789"/>
      <c r="P59" s="789"/>
      <c r="Q59" s="789"/>
      <c r="R59" s="789"/>
      <c r="S59" s="833"/>
      <c r="T59" s="833"/>
      <c r="U59" s="833"/>
      <c r="V59" s="833"/>
      <c r="W59" s="833"/>
      <c r="X59" s="833"/>
    </row>
    <row r="60" spans="1:24">
      <c r="A60" s="789"/>
      <c r="B60" s="810" t="s">
        <v>214</v>
      </c>
      <c r="C60" s="809">
        <v>728517</v>
      </c>
      <c r="D60" s="809">
        <v>67807</v>
      </c>
      <c r="E60" s="809">
        <v>8228</v>
      </c>
      <c r="F60" s="809">
        <v>804552</v>
      </c>
      <c r="H60" s="809">
        <v>1103</v>
      </c>
      <c r="I60" s="809">
        <v>2570</v>
      </c>
      <c r="J60" s="809">
        <v>2579</v>
      </c>
      <c r="K60" s="809">
        <v>6252</v>
      </c>
      <c r="M60" s="789"/>
      <c r="N60" s="789"/>
      <c r="O60" s="789"/>
      <c r="P60" s="789"/>
      <c r="Q60" s="789"/>
      <c r="R60" s="789"/>
      <c r="S60" s="833"/>
      <c r="T60" s="833"/>
      <c r="U60" s="833"/>
      <c r="V60" s="833"/>
      <c r="W60" s="833"/>
      <c r="X60" s="833"/>
    </row>
    <row r="61" spans="1:24">
      <c r="A61" s="789"/>
      <c r="M61" s="789"/>
      <c r="N61" s="789"/>
      <c r="O61" s="789"/>
      <c r="P61" s="789"/>
      <c r="Q61" s="789"/>
      <c r="R61" s="789"/>
      <c r="S61" s="833"/>
      <c r="T61" s="833"/>
      <c r="U61" s="833"/>
      <c r="V61" s="833"/>
      <c r="W61" s="833"/>
      <c r="X61" s="833"/>
    </row>
    <row r="62" spans="1:24">
      <c r="A62" s="789"/>
      <c r="C62" s="1143"/>
      <c r="D62" s="1143"/>
      <c r="E62" s="1143"/>
      <c r="F62" s="1143"/>
      <c r="H62" s="1143"/>
      <c r="I62" s="1143"/>
      <c r="J62" s="1143"/>
      <c r="K62" s="1143"/>
      <c r="M62" s="789"/>
      <c r="N62" s="789"/>
      <c r="O62" s="789"/>
      <c r="P62" s="789"/>
      <c r="Q62" s="789"/>
      <c r="R62" s="789"/>
      <c r="S62" s="833"/>
      <c r="T62" s="833"/>
      <c r="U62" s="833"/>
      <c r="V62" s="833"/>
      <c r="W62" s="833"/>
      <c r="X62" s="833"/>
    </row>
    <row r="63" spans="1:24">
      <c r="A63" s="789"/>
      <c r="C63" s="1142" t="s">
        <v>230</v>
      </c>
      <c r="D63" s="1143"/>
      <c r="E63" s="1143"/>
      <c r="F63" s="1143"/>
      <c r="H63" s="1142" t="s">
        <v>229</v>
      </c>
      <c r="I63" s="1143"/>
      <c r="J63" s="1143"/>
      <c r="K63" s="1143"/>
      <c r="M63" s="789"/>
      <c r="N63" s="789"/>
      <c r="O63" s="789"/>
      <c r="P63" s="789"/>
      <c r="Q63" s="789"/>
      <c r="R63" s="789"/>
      <c r="S63" s="833"/>
      <c r="T63" s="833"/>
      <c r="U63" s="833"/>
      <c r="V63" s="833"/>
      <c r="W63" s="833"/>
      <c r="X63" s="833"/>
    </row>
    <row r="64" spans="1:24">
      <c r="A64" s="789"/>
      <c r="C64" s="834" t="s">
        <v>227</v>
      </c>
      <c r="D64" s="834" t="s">
        <v>228</v>
      </c>
      <c r="E64" s="834" t="s">
        <v>225</v>
      </c>
      <c r="F64" s="834" t="s">
        <v>214</v>
      </c>
      <c r="H64" s="834" t="s">
        <v>227</v>
      </c>
      <c r="I64" s="834" t="s">
        <v>226</v>
      </c>
      <c r="J64" s="834" t="s">
        <v>225</v>
      </c>
      <c r="K64" s="834" t="s">
        <v>214</v>
      </c>
      <c r="M64" s="789"/>
      <c r="N64" s="789"/>
      <c r="O64" s="789"/>
      <c r="P64" s="789"/>
      <c r="Q64" s="789"/>
      <c r="R64" s="789"/>
      <c r="S64" s="833"/>
      <c r="T64" s="833"/>
      <c r="U64" s="833"/>
      <c r="V64" s="833"/>
      <c r="W64" s="833"/>
      <c r="X64" s="833"/>
    </row>
    <row r="65" spans="1:24" ht="14.5">
      <c r="A65" s="789"/>
      <c r="B65" s="832" t="s">
        <v>127</v>
      </c>
      <c r="C65" s="831" t="s">
        <v>1</v>
      </c>
      <c r="D65" s="831" t="s">
        <v>1</v>
      </c>
      <c r="E65" s="831" t="s">
        <v>1</v>
      </c>
      <c r="F65" s="831" t="s">
        <v>1</v>
      </c>
      <c r="H65" s="831" t="s">
        <v>208</v>
      </c>
      <c r="I65" s="831" t="s">
        <v>208</v>
      </c>
      <c r="J65" s="831" t="s">
        <v>208</v>
      </c>
      <c r="K65" s="831" t="s">
        <v>208</v>
      </c>
      <c r="M65" s="789"/>
      <c r="N65" s="826"/>
      <c r="O65" s="826"/>
      <c r="P65" s="826"/>
      <c r="Q65" s="826"/>
      <c r="R65" s="826"/>
      <c r="S65" s="826"/>
      <c r="T65" s="826"/>
      <c r="U65" s="826"/>
      <c r="V65" s="826"/>
      <c r="W65" s="826"/>
      <c r="X65" s="826"/>
    </row>
    <row r="66" spans="1:24" ht="14.5">
      <c r="A66" s="789"/>
      <c r="B66" s="830" t="s">
        <v>223</v>
      </c>
      <c r="C66" s="829">
        <v>145958</v>
      </c>
      <c r="D66" s="829">
        <v>19046</v>
      </c>
      <c r="E66" s="829">
        <v>1700</v>
      </c>
      <c r="F66" s="829">
        <v>166704</v>
      </c>
      <c r="H66" s="828">
        <v>0</v>
      </c>
      <c r="I66" s="827">
        <v>0.4</v>
      </c>
      <c r="J66" s="827">
        <v>6.2</v>
      </c>
      <c r="K66" s="827">
        <v>0.1</v>
      </c>
      <c r="M66" s="789"/>
      <c r="N66" s="826"/>
      <c r="O66" s="826"/>
      <c r="P66" s="826"/>
      <c r="Q66" s="826"/>
      <c r="R66" s="826"/>
      <c r="S66" s="826"/>
      <c r="T66" s="826"/>
      <c r="U66" s="826"/>
      <c r="V66" s="826"/>
      <c r="W66" s="826"/>
      <c r="X66" s="826"/>
    </row>
    <row r="67" spans="1:24" ht="14.5">
      <c r="A67" s="789"/>
      <c r="B67" s="821" t="s">
        <v>222</v>
      </c>
      <c r="C67" s="820">
        <v>7983</v>
      </c>
      <c r="D67" s="820">
        <v>1636</v>
      </c>
      <c r="E67" s="820">
        <v>91</v>
      </c>
      <c r="F67" s="820">
        <v>9710</v>
      </c>
      <c r="H67" s="819">
        <v>1.4</v>
      </c>
      <c r="I67" s="819">
        <v>23.1</v>
      </c>
      <c r="J67" s="819">
        <v>54</v>
      </c>
      <c r="K67" s="819">
        <v>6.8</v>
      </c>
      <c r="M67" s="789"/>
      <c r="N67" s="826"/>
      <c r="O67" s="826"/>
      <c r="P67" s="826"/>
      <c r="Q67" s="826"/>
      <c r="R67" s="826"/>
      <c r="S67" s="826"/>
      <c r="T67" s="826"/>
      <c r="U67" s="826"/>
      <c r="V67" s="826"/>
      <c r="W67" s="826"/>
      <c r="X67" s="826"/>
    </row>
    <row r="68" spans="1:24">
      <c r="A68" s="789"/>
      <c r="B68" s="821" t="s">
        <v>221</v>
      </c>
      <c r="C68" s="820">
        <v>6776</v>
      </c>
      <c r="D68" s="820">
        <v>1135</v>
      </c>
      <c r="E68" s="820">
        <v>120</v>
      </c>
      <c r="F68" s="820">
        <v>8031</v>
      </c>
      <c r="H68" s="819">
        <v>0.8</v>
      </c>
      <c r="I68" s="819">
        <v>9.3000000000000007</v>
      </c>
      <c r="J68" s="819">
        <v>54.5</v>
      </c>
      <c r="K68" s="819">
        <v>3.8</v>
      </c>
      <c r="M68" s="789"/>
      <c r="N68" s="789"/>
      <c r="O68" s="789"/>
      <c r="P68" s="789"/>
      <c r="Q68" s="789"/>
      <c r="R68" s="789"/>
      <c r="S68" s="789"/>
      <c r="T68" s="789"/>
      <c r="U68" s="789"/>
      <c r="V68" s="789"/>
      <c r="W68" s="789"/>
      <c r="X68" s="789"/>
    </row>
    <row r="69" spans="1:24">
      <c r="A69" s="789"/>
      <c r="B69" s="813" t="s">
        <v>220</v>
      </c>
      <c r="C69" s="812">
        <v>54066</v>
      </c>
      <c r="D69" s="812">
        <v>8459</v>
      </c>
      <c r="E69" s="812">
        <v>1346</v>
      </c>
      <c r="F69" s="812">
        <v>63871</v>
      </c>
      <c r="H69" s="811">
        <v>0.4</v>
      </c>
      <c r="I69" s="811">
        <v>2.5</v>
      </c>
      <c r="J69" s="811">
        <v>20.399999999999999</v>
      </c>
      <c r="K69" s="811">
        <v>1.2</v>
      </c>
      <c r="M69" s="789"/>
      <c r="N69" s="789"/>
      <c r="O69" s="789"/>
      <c r="P69" s="789"/>
      <c r="Q69" s="789"/>
      <c r="R69" s="789"/>
      <c r="S69" s="789"/>
      <c r="T69" s="789"/>
      <c r="U69" s="789"/>
      <c r="V69" s="789"/>
      <c r="W69" s="789"/>
      <c r="X69" s="789"/>
    </row>
    <row r="70" spans="1:24">
      <c r="A70" s="789"/>
      <c r="B70" s="825" t="s">
        <v>224</v>
      </c>
      <c r="C70" s="824">
        <v>214783</v>
      </c>
      <c r="D70" s="824">
        <v>30276</v>
      </c>
      <c r="E70" s="824">
        <v>3257</v>
      </c>
      <c r="F70" s="824">
        <v>248316</v>
      </c>
      <c r="H70" s="816">
        <v>0.2</v>
      </c>
      <c r="I70" s="816">
        <v>2.9</v>
      </c>
      <c r="J70" s="816">
        <v>17.899999999999999</v>
      </c>
      <c r="K70" s="816">
        <v>0.8</v>
      </c>
      <c r="M70" s="789"/>
      <c r="N70" s="789"/>
      <c r="O70" s="789"/>
      <c r="P70" s="789"/>
      <c r="Q70" s="789"/>
      <c r="R70" s="789"/>
      <c r="S70" s="789"/>
      <c r="T70" s="789"/>
      <c r="U70" s="789"/>
      <c r="V70" s="789"/>
      <c r="W70" s="789"/>
      <c r="X70" s="789"/>
    </row>
    <row r="71" spans="1:24">
      <c r="B71" s="823" t="s">
        <v>223</v>
      </c>
      <c r="C71" s="822">
        <v>4194</v>
      </c>
      <c r="D71" s="822">
        <v>318</v>
      </c>
      <c r="E71" s="822">
        <v>296</v>
      </c>
      <c r="F71" s="822">
        <v>4808</v>
      </c>
      <c r="H71" s="814">
        <v>0.2</v>
      </c>
      <c r="I71" s="814">
        <v>8.1</v>
      </c>
      <c r="J71" s="814">
        <v>51.6</v>
      </c>
      <c r="K71" s="814">
        <v>6.8</v>
      </c>
    </row>
    <row r="72" spans="1:24">
      <c r="B72" s="821" t="s">
        <v>222</v>
      </c>
      <c r="C72" s="820">
        <v>21903</v>
      </c>
      <c r="D72" s="820">
        <v>2312</v>
      </c>
      <c r="E72" s="820">
        <v>296</v>
      </c>
      <c r="F72" s="820">
        <v>24511</v>
      </c>
      <c r="H72" s="819">
        <v>1.8</v>
      </c>
      <c r="I72" s="819">
        <v>33</v>
      </c>
      <c r="J72" s="819">
        <v>80.599999999999994</v>
      </c>
      <c r="K72" s="819">
        <v>10.199999999999999</v>
      </c>
    </row>
    <row r="73" spans="1:24">
      <c r="B73" s="821" t="s">
        <v>221</v>
      </c>
      <c r="C73" s="820">
        <v>1634</v>
      </c>
      <c r="D73" s="820">
        <v>90</v>
      </c>
      <c r="E73" s="820">
        <v>197</v>
      </c>
      <c r="F73" s="820">
        <v>1921</v>
      </c>
      <c r="H73" s="819">
        <v>0.2</v>
      </c>
      <c r="I73" s="819">
        <v>1.1000000000000001</v>
      </c>
      <c r="J73" s="819">
        <v>14</v>
      </c>
      <c r="K73" s="819">
        <v>1.8</v>
      </c>
    </row>
    <row r="74" spans="1:24">
      <c r="B74" s="813" t="s">
        <v>220</v>
      </c>
      <c r="C74" s="812">
        <v>58152</v>
      </c>
      <c r="D74" s="812">
        <v>4429</v>
      </c>
      <c r="E74" s="812">
        <v>610</v>
      </c>
      <c r="F74" s="812">
        <v>63191</v>
      </c>
      <c r="H74" s="811">
        <v>0.2</v>
      </c>
      <c r="I74" s="811">
        <v>4.3</v>
      </c>
      <c r="J74" s="811">
        <v>29.2</v>
      </c>
      <c r="K74" s="811">
        <v>0.9</v>
      </c>
    </row>
    <row r="75" spans="1:24">
      <c r="B75" s="818" t="s">
        <v>219</v>
      </c>
      <c r="C75" s="817">
        <v>85883</v>
      </c>
      <c r="D75" s="817">
        <v>7149</v>
      </c>
      <c r="E75" s="817">
        <v>1399</v>
      </c>
      <c r="F75" s="817">
        <v>94431</v>
      </c>
      <c r="H75" s="816">
        <v>0.6</v>
      </c>
      <c r="I75" s="816">
        <v>16.100000000000001</v>
      </c>
      <c r="J75" s="816">
        <v>56.6</v>
      </c>
      <c r="K75" s="815">
        <v>3.8</v>
      </c>
    </row>
    <row r="76" spans="1:24" ht="21">
      <c r="B76" s="810" t="s">
        <v>218</v>
      </c>
      <c r="C76" s="809">
        <v>300666</v>
      </c>
      <c r="D76" s="809">
        <v>37425</v>
      </c>
      <c r="E76" s="809">
        <v>4656</v>
      </c>
      <c r="F76" s="809">
        <v>342747</v>
      </c>
      <c r="H76" s="814">
        <v>0.3</v>
      </c>
      <c r="I76" s="814">
        <v>5.7</v>
      </c>
      <c r="J76" s="814">
        <v>35.299999999999997</v>
      </c>
      <c r="K76" s="808">
        <v>1.6</v>
      </c>
    </row>
    <row r="77" spans="1:24">
      <c r="B77" s="813" t="s">
        <v>217</v>
      </c>
      <c r="C77" s="812">
        <v>52858</v>
      </c>
      <c r="D77" s="812">
        <v>3891</v>
      </c>
      <c r="E77" s="812">
        <v>0</v>
      </c>
      <c r="F77" s="812">
        <v>56749</v>
      </c>
      <c r="H77" s="812">
        <v>0</v>
      </c>
      <c r="I77" s="811">
        <v>0.4</v>
      </c>
      <c r="J77" s="812">
        <v>0</v>
      </c>
      <c r="K77" s="812">
        <v>0</v>
      </c>
    </row>
    <row r="78" spans="1:24" ht="21">
      <c r="B78" s="810" t="s">
        <v>216</v>
      </c>
      <c r="C78" s="809">
        <v>353524</v>
      </c>
      <c r="D78" s="809">
        <v>41316</v>
      </c>
      <c r="E78" s="809">
        <v>4656</v>
      </c>
      <c r="F78" s="809">
        <v>399496</v>
      </c>
      <c r="H78" s="808">
        <v>0.3</v>
      </c>
      <c r="I78" s="808">
        <v>5.2</v>
      </c>
      <c r="J78" s="808">
        <v>35.299999999999997</v>
      </c>
      <c r="K78" s="808">
        <v>1.4</v>
      </c>
    </row>
    <row r="79" spans="1:24" ht="21">
      <c r="B79" s="813" t="s">
        <v>215</v>
      </c>
      <c r="C79" s="812">
        <v>373890</v>
      </c>
      <c r="D79" s="812">
        <v>23921</v>
      </c>
      <c r="E79" s="812">
        <v>993</v>
      </c>
      <c r="F79" s="812">
        <v>398804</v>
      </c>
      <c r="H79" s="812">
        <v>0</v>
      </c>
      <c r="I79" s="811">
        <v>1.2</v>
      </c>
      <c r="J79" s="811">
        <v>4.2</v>
      </c>
      <c r="K79" s="811">
        <v>0.1</v>
      </c>
    </row>
    <row r="80" spans="1:24">
      <c r="B80" s="810" t="s">
        <v>214</v>
      </c>
      <c r="C80" s="809">
        <v>727414</v>
      </c>
      <c r="D80" s="809">
        <v>65237</v>
      </c>
      <c r="E80" s="809">
        <v>5649</v>
      </c>
      <c r="F80" s="809">
        <v>798300</v>
      </c>
      <c r="H80" s="808">
        <v>0.2</v>
      </c>
      <c r="I80" s="808">
        <v>3.8</v>
      </c>
      <c r="J80" s="808">
        <v>31.3</v>
      </c>
      <c r="K80" s="808">
        <v>0.8</v>
      </c>
    </row>
  </sheetData>
  <mergeCells count="13">
    <mergeCell ref="C4:F4"/>
    <mergeCell ref="B2:H2"/>
    <mergeCell ref="H4:K4"/>
    <mergeCell ref="C24:F24"/>
    <mergeCell ref="C23:F23"/>
    <mergeCell ref="H24:K24"/>
    <mergeCell ref="H23:K23"/>
    <mergeCell ref="H43:K43"/>
    <mergeCell ref="C43:F43"/>
    <mergeCell ref="H62:K62"/>
    <mergeCell ref="H63:K63"/>
    <mergeCell ref="C62:F62"/>
    <mergeCell ref="C63:F6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02C0-EC76-4AA0-A345-B28F3956B3F6}">
  <dimension ref="B1:Q50"/>
  <sheetViews>
    <sheetView showGridLines="0" showRuler="0" workbookViewId="0"/>
  </sheetViews>
  <sheetFormatPr defaultColWidth="13.7265625" defaultRowHeight="12.5"/>
  <cols>
    <col min="1" max="1" width="13.7265625" style="500"/>
    <col min="2" max="2" width="18.54296875" style="500" customWidth="1"/>
    <col min="3" max="3" width="5.7265625" style="500" customWidth="1"/>
    <col min="4" max="4" width="4.81640625" style="500" customWidth="1"/>
    <col min="5" max="5" width="9.1796875" style="500" customWidth="1"/>
    <col min="6" max="6" width="0" style="500" hidden="1" customWidth="1"/>
    <col min="7" max="7" width="5.7265625" style="500" customWidth="1"/>
    <col min="8" max="8" width="4.81640625" style="500" customWidth="1"/>
    <col min="9" max="9" width="9.1796875" style="500" customWidth="1"/>
    <col min="10" max="10" width="0" style="500" hidden="1" customWidth="1"/>
    <col min="11" max="11" width="5.7265625" style="500" customWidth="1"/>
    <col min="12" max="12" width="4.81640625" style="500" customWidth="1"/>
    <col min="13" max="13" width="9.1796875" style="500" customWidth="1"/>
    <col min="14" max="14" width="0" style="500" hidden="1" customWidth="1"/>
    <col min="15" max="15" width="5.7265625" style="500" customWidth="1"/>
    <col min="16" max="16" width="4.81640625" style="500" customWidth="1"/>
    <col min="17" max="17" width="9.1796875" style="500" customWidth="1"/>
    <col min="18" max="16384" width="13.7265625" style="500"/>
  </cols>
  <sheetData>
    <row r="1" spans="2:17" ht="15" customHeight="1"/>
    <row r="2" spans="2:17" ht="15" customHeight="1">
      <c r="B2" s="1146" t="s">
        <v>238</v>
      </c>
      <c r="C2" s="1146"/>
      <c r="D2" s="1146"/>
      <c r="E2" s="1146"/>
      <c r="F2" s="1146"/>
      <c r="G2" s="1146"/>
      <c r="H2" s="1146"/>
      <c r="I2" s="1146"/>
      <c r="J2" s="1146"/>
      <c r="K2" s="1146"/>
      <c r="L2" s="1146"/>
      <c r="M2" s="1146"/>
      <c r="N2" s="1146"/>
      <c r="O2" s="1146"/>
      <c r="P2" s="1146"/>
      <c r="Q2" s="1146"/>
    </row>
    <row r="3" spans="2:17" ht="15" customHeight="1">
      <c r="B3" s="874"/>
      <c r="C3" s="1142" t="s">
        <v>227</v>
      </c>
      <c r="D3" s="1142"/>
      <c r="E3" s="1142"/>
      <c r="F3" s="873"/>
      <c r="G3" s="1142" t="s">
        <v>226</v>
      </c>
      <c r="H3" s="1142"/>
      <c r="I3" s="1142"/>
      <c r="J3" s="873"/>
      <c r="K3" s="1142" t="s">
        <v>225</v>
      </c>
      <c r="L3" s="1142"/>
      <c r="M3" s="1142"/>
      <c r="N3" s="873"/>
      <c r="O3" s="1142" t="s">
        <v>214</v>
      </c>
      <c r="P3" s="1142"/>
      <c r="Q3" s="1142"/>
    </row>
    <row r="4" spans="2:17" ht="15" customHeight="1">
      <c r="B4" s="872"/>
      <c r="C4" s="834" t="s">
        <v>237</v>
      </c>
      <c r="D4" s="834" t="s">
        <v>236</v>
      </c>
      <c r="E4" s="834" t="s">
        <v>235</v>
      </c>
      <c r="F4" s="834"/>
      <c r="G4" s="834" t="s">
        <v>237</v>
      </c>
      <c r="H4" s="834" t="s">
        <v>236</v>
      </c>
      <c r="I4" s="834" t="s">
        <v>235</v>
      </c>
      <c r="J4" s="834"/>
      <c r="K4" s="834" t="s">
        <v>237</v>
      </c>
      <c r="L4" s="834" t="s">
        <v>236</v>
      </c>
      <c r="M4" s="834" t="s">
        <v>235</v>
      </c>
      <c r="N4" s="834"/>
      <c r="O4" s="834" t="s">
        <v>237</v>
      </c>
      <c r="P4" s="834" t="s">
        <v>236</v>
      </c>
      <c r="Q4" s="834" t="s">
        <v>235</v>
      </c>
    </row>
    <row r="5" spans="2:17" ht="15" customHeight="1">
      <c r="B5" s="832" t="s">
        <v>169</v>
      </c>
      <c r="C5" s="870" t="s">
        <v>1</v>
      </c>
      <c r="D5" s="870" t="s">
        <v>1</v>
      </c>
      <c r="E5" s="870" t="s">
        <v>208</v>
      </c>
      <c r="F5" s="871"/>
      <c r="G5" s="870" t="s">
        <v>1</v>
      </c>
      <c r="H5" s="870" t="s">
        <v>1</v>
      </c>
      <c r="I5" s="870" t="s">
        <v>208</v>
      </c>
      <c r="J5" s="871"/>
      <c r="K5" s="870" t="s">
        <v>1</v>
      </c>
      <c r="L5" s="870" t="s">
        <v>1</v>
      </c>
      <c r="M5" s="870" t="s">
        <v>208</v>
      </c>
      <c r="N5" s="871"/>
      <c r="O5" s="870" t="s">
        <v>1</v>
      </c>
      <c r="P5" s="870" t="s">
        <v>1</v>
      </c>
      <c r="Q5" s="870" t="s">
        <v>208</v>
      </c>
    </row>
    <row r="6" spans="2:17" ht="15" customHeight="1">
      <c r="B6" s="830" t="s">
        <v>222</v>
      </c>
      <c r="C6" s="869">
        <v>1779</v>
      </c>
      <c r="D6" s="869">
        <v>18</v>
      </c>
      <c r="E6" s="868">
        <v>1</v>
      </c>
      <c r="F6" s="867"/>
      <c r="G6" s="869">
        <v>412</v>
      </c>
      <c r="H6" s="869">
        <v>37</v>
      </c>
      <c r="I6" s="868">
        <v>9</v>
      </c>
      <c r="J6" s="867"/>
      <c r="K6" s="869">
        <v>91</v>
      </c>
      <c r="L6" s="869">
        <v>66</v>
      </c>
      <c r="M6" s="868">
        <v>72.5</v>
      </c>
      <c r="N6" s="867"/>
      <c r="O6" s="869">
        <v>2282</v>
      </c>
      <c r="P6" s="869">
        <v>121</v>
      </c>
      <c r="Q6" s="868">
        <v>5.3</v>
      </c>
    </row>
    <row r="7" spans="2:17" ht="15" customHeight="1">
      <c r="B7" s="813" t="s">
        <v>221</v>
      </c>
      <c r="C7" s="866">
        <v>1290</v>
      </c>
      <c r="D7" s="866">
        <v>18</v>
      </c>
      <c r="E7" s="865">
        <v>1.4</v>
      </c>
      <c r="F7" s="867"/>
      <c r="G7" s="866">
        <v>254</v>
      </c>
      <c r="H7" s="866">
        <v>36</v>
      </c>
      <c r="I7" s="865">
        <v>14.2</v>
      </c>
      <c r="J7" s="867"/>
      <c r="K7" s="866">
        <v>74</v>
      </c>
      <c r="L7" s="866">
        <v>50</v>
      </c>
      <c r="M7" s="865">
        <v>67.599999999999994</v>
      </c>
      <c r="N7" s="867"/>
      <c r="O7" s="866">
        <v>1618</v>
      </c>
      <c r="P7" s="866">
        <v>104</v>
      </c>
      <c r="Q7" s="865">
        <v>6.4</v>
      </c>
    </row>
    <row r="8" spans="2:17" ht="15" customHeight="1">
      <c r="B8" s="810" t="s">
        <v>234</v>
      </c>
      <c r="C8" s="863">
        <v>3069</v>
      </c>
      <c r="D8" s="863">
        <v>36</v>
      </c>
      <c r="E8" s="862">
        <v>1.2</v>
      </c>
      <c r="F8" s="864"/>
      <c r="G8" s="863">
        <v>666</v>
      </c>
      <c r="H8" s="863">
        <v>73</v>
      </c>
      <c r="I8" s="862">
        <v>11</v>
      </c>
      <c r="J8" s="864"/>
      <c r="K8" s="863">
        <v>165</v>
      </c>
      <c r="L8" s="863">
        <v>116</v>
      </c>
      <c r="M8" s="862">
        <v>70.3</v>
      </c>
      <c r="N8" s="864"/>
      <c r="O8" s="863">
        <v>3900</v>
      </c>
      <c r="P8" s="863">
        <v>225</v>
      </c>
      <c r="Q8" s="862">
        <v>5.8</v>
      </c>
    </row>
    <row r="9" spans="2:17" ht="15" customHeight="1"/>
    <row r="10" spans="2:17" ht="15" customHeight="1"/>
    <row r="11" spans="2:17" ht="15" customHeight="1">
      <c r="B11" s="874"/>
      <c r="C11" s="1142" t="s">
        <v>227</v>
      </c>
      <c r="D11" s="1142"/>
      <c r="E11" s="1142"/>
      <c r="F11" s="873"/>
      <c r="G11" s="1142" t="s">
        <v>226</v>
      </c>
      <c r="H11" s="1142"/>
      <c r="I11" s="1142"/>
      <c r="J11" s="873"/>
      <c r="K11" s="1142" t="s">
        <v>225</v>
      </c>
      <c r="L11" s="1142"/>
      <c r="M11" s="1142"/>
      <c r="N11" s="873"/>
      <c r="O11" s="1142" t="s">
        <v>214</v>
      </c>
      <c r="P11" s="1142"/>
      <c r="Q11" s="1142"/>
    </row>
    <row r="12" spans="2:17" ht="15" customHeight="1">
      <c r="B12" s="872"/>
      <c r="C12" s="834" t="s">
        <v>237</v>
      </c>
      <c r="D12" s="834" t="s">
        <v>236</v>
      </c>
      <c r="E12" s="834" t="s">
        <v>235</v>
      </c>
      <c r="F12" s="834"/>
      <c r="G12" s="834" t="s">
        <v>237</v>
      </c>
      <c r="H12" s="834" t="s">
        <v>236</v>
      </c>
      <c r="I12" s="834" t="s">
        <v>235</v>
      </c>
      <c r="J12" s="834"/>
      <c r="K12" s="834" t="s">
        <v>237</v>
      </c>
      <c r="L12" s="834" t="s">
        <v>236</v>
      </c>
      <c r="M12" s="834" t="s">
        <v>235</v>
      </c>
      <c r="N12" s="834"/>
      <c r="O12" s="834" t="s">
        <v>237</v>
      </c>
      <c r="P12" s="834" t="s">
        <v>236</v>
      </c>
      <c r="Q12" s="834" t="s">
        <v>235</v>
      </c>
    </row>
    <row r="13" spans="2:17" ht="15" customHeight="1">
      <c r="B13" s="832" t="s">
        <v>127</v>
      </c>
      <c r="C13" s="870" t="s">
        <v>1</v>
      </c>
      <c r="D13" s="870" t="s">
        <v>1</v>
      </c>
      <c r="E13" s="870" t="s">
        <v>208</v>
      </c>
      <c r="F13" s="871"/>
      <c r="G13" s="870" t="s">
        <v>1</v>
      </c>
      <c r="H13" s="870" t="s">
        <v>1</v>
      </c>
      <c r="I13" s="870" t="s">
        <v>208</v>
      </c>
      <c r="J13" s="871"/>
      <c r="K13" s="870" t="s">
        <v>1</v>
      </c>
      <c r="L13" s="870" t="s">
        <v>1</v>
      </c>
      <c r="M13" s="870" t="s">
        <v>208</v>
      </c>
      <c r="N13" s="871"/>
      <c r="O13" s="870" t="s">
        <v>1</v>
      </c>
      <c r="P13" s="870" t="s">
        <v>1</v>
      </c>
      <c r="Q13" s="870" t="s">
        <v>208</v>
      </c>
    </row>
    <row r="14" spans="2:17" ht="15" customHeight="1">
      <c r="B14" s="830" t="s">
        <v>222</v>
      </c>
      <c r="C14" s="1048">
        <v>1621</v>
      </c>
      <c r="D14" s="1048">
        <v>15</v>
      </c>
      <c r="E14" s="1049">
        <v>0.9</v>
      </c>
      <c r="F14" s="1050"/>
      <c r="G14" s="1048">
        <v>445</v>
      </c>
      <c r="H14" s="1048">
        <v>41</v>
      </c>
      <c r="I14" s="1049">
        <v>9.1999999999999993</v>
      </c>
      <c r="J14" s="1050"/>
      <c r="K14" s="1048">
        <v>92</v>
      </c>
      <c r="L14" s="1048">
        <v>68</v>
      </c>
      <c r="M14" s="1049">
        <v>73.900000000000006</v>
      </c>
      <c r="N14" s="1050"/>
      <c r="O14" s="1048">
        <v>2158</v>
      </c>
      <c r="P14" s="1048">
        <v>124</v>
      </c>
      <c r="Q14" s="1049">
        <v>5.7</v>
      </c>
    </row>
    <row r="15" spans="2:17" ht="15" customHeight="1">
      <c r="B15" s="813" t="s">
        <v>221</v>
      </c>
      <c r="C15" s="1051">
        <v>1561</v>
      </c>
      <c r="D15" s="1051">
        <v>20</v>
      </c>
      <c r="E15" s="1052">
        <v>1.3</v>
      </c>
      <c r="F15" s="1050"/>
      <c r="G15" s="1051">
        <v>288</v>
      </c>
      <c r="H15" s="1051">
        <v>32</v>
      </c>
      <c r="I15" s="1052">
        <v>11.1</v>
      </c>
      <c r="J15" s="1050"/>
      <c r="K15" s="1051">
        <v>84</v>
      </c>
      <c r="L15" s="1051">
        <v>60</v>
      </c>
      <c r="M15" s="1052">
        <v>71.400000000000006</v>
      </c>
      <c r="N15" s="1050"/>
      <c r="O15" s="1051">
        <v>1933</v>
      </c>
      <c r="P15" s="1051">
        <v>112</v>
      </c>
      <c r="Q15" s="1052">
        <v>5.8</v>
      </c>
    </row>
    <row r="16" spans="2:17" ht="15" customHeight="1">
      <c r="B16" s="810" t="s">
        <v>234</v>
      </c>
      <c r="C16" s="1053">
        <v>3182</v>
      </c>
      <c r="D16" s="1053">
        <v>35</v>
      </c>
      <c r="E16" s="1054">
        <v>1.1000000000000001</v>
      </c>
      <c r="F16" s="1055"/>
      <c r="G16" s="1053">
        <v>733</v>
      </c>
      <c r="H16" s="1053">
        <v>73</v>
      </c>
      <c r="I16" s="1054">
        <v>10</v>
      </c>
      <c r="J16" s="1055"/>
      <c r="K16" s="1053">
        <v>176</v>
      </c>
      <c r="L16" s="1053">
        <v>128</v>
      </c>
      <c r="M16" s="1054">
        <v>72.7</v>
      </c>
      <c r="N16" s="1055"/>
      <c r="O16" s="1053">
        <v>4091</v>
      </c>
      <c r="P16" s="1053">
        <v>236</v>
      </c>
      <c r="Q16" s="1054">
        <v>5.8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9">
    <mergeCell ref="B2:Q2"/>
    <mergeCell ref="K3:M3"/>
    <mergeCell ref="O3:Q3"/>
    <mergeCell ref="K11:M11"/>
    <mergeCell ref="O11:Q11"/>
    <mergeCell ref="G11:I11"/>
    <mergeCell ref="C11:E11"/>
    <mergeCell ref="C3:E3"/>
    <mergeCell ref="G3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3ED3-16D3-4B7F-820A-1B0239BEE001}">
  <dimension ref="A1:I62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43.26953125" style="500" customWidth="1"/>
    <col min="3" max="3" width="8.81640625" style="500" customWidth="1"/>
    <col min="4" max="4" width="9.81640625" style="500" customWidth="1"/>
    <col min="5" max="9" width="8.81640625" style="500" customWidth="1"/>
    <col min="10" max="16384" width="13.7265625" style="500"/>
  </cols>
  <sheetData>
    <row r="1" spans="1:9">
      <c r="A1" s="789"/>
      <c r="B1" s="789"/>
      <c r="C1" s="789"/>
      <c r="D1" s="789"/>
      <c r="E1" s="789"/>
      <c r="F1" s="789"/>
      <c r="G1" s="789"/>
      <c r="H1" s="789"/>
      <c r="I1" s="789"/>
    </row>
    <row r="2" spans="1:9" ht="15.5">
      <c r="A2" s="789"/>
      <c r="B2" s="1144" t="s">
        <v>242</v>
      </c>
      <c r="C2" s="1144"/>
      <c r="D2" s="1144"/>
      <c r="E2" s="836"/>
      <c r="F2" s="836"/>
      <c r="G2" s="836"/>
      <c r="H2" s="826"/>
      <c r="I2" s="789"/>
    </row>
    <row r="3" spans="1:9" ht="14.5">
      <c r="A3" s="789"/>
      <c r="B3" s="826"/>
      <c r="C3" s="902"/>
      <c r="D3" s="903"/>
      <c r="E3" s="903"/>
      <c r="F3" s="903"/>
      <c r="G3" s="903"/>
      <c r="H3" s="902"/>
      <c r="I3" s="902"/>
    </row>
    <row r="4" spans="1:9" ht="14.5">
      <c r="A4" s="789"/>
      <c r="B4" s="826"/>
      <c r="C4" s="902"/>
      <c r="D4" s="1147" t="s">
        <v>226</v>
      </c>
      <c r="E4" s="1147"/>
      <c r="F4" s="1147"/>
      <c r="G4" s="1147"/>
      <c r="H4" s="902"/>
      <c r="I4" s="902"/>
    </row>
    <row r="5" spans="1:9" ht="21">
      <c r="A5" s="789"/>
      <c r="B5" s="901" t="s">
        <v>169</v>
      </c>
      <c r="C5" s="786" t="s">
        <v>227</v>
      </c>
      <c r="D5" s="900" t="s">
        <v>241</v>
      </c>
      <c r="E5" s="900" t="s">
        <v>240</v>
      </c>
      <c r="F5" s="900" t="s">
        <v>239</v>
      </c>
      <c r="G5" s="900" t="s">
        <v>214</v>
      </c>
      <c r="H5" s="786" t="s">
        <v>225</v>
      </c>
      <c r="I5" s="786" t="s">
        <v>214</v>
      </c>
    </row>
    <row r="6" spans="1:9">
      <c r="A6" s="789"/>
      <c r="B6" s="884" t="s">
        <v>232</v>
      </c>
      <c r="C6" s="899" t="s">
        <v>1</v>
      </c>
      <c r="D6" s="899" t="s">
        <v>1</v>
      </c>
      <c r="E6" s="899" t="s">
        <v>1</v>
      </c>
      <c r="F6" s="899" t="s">
        <v>1</v>
      </c>
      <c r="G6" s="899" t="s">
        <v>1</v>
      </c>
      <c r="H6" s="899" t="s">
        <v>1</v>
      </c>
      <c r="I6" s="899" t="s">
        <v>1</v>
      </c>
    </row>
    <row r="7" spans="1:9">
      <c r="A7" s="789"/>
      <c r="B7" s="882" t="s">
        <v>223</v>
      </c>
      <c r="C7" s="897">
        <v>147288</v>
      </c>
      <c r="D7" s="897">
        <v>15123</v>
      </c>
      <c r="E7" s="897">
        <v>2071</v>
      </c>
      <c r="F7" s="897">
        <v>861</v>
      </c>
      <c r="G7" s="897">
        <v>18055</v>
      </c>
      <c r="H7" s="897">
        <v>2186</v>
      </c>
      <c r="I7" s="897">
        <v>167529</v>
      </c>
    </row>
    <row r="8" spans="1:9">
      <c r="A8" s="789"/>
      <c r="B8" s="880" t="s">
        <v>222</v>
      </c>
      <c r="C8" s="785">
        <v>29507</v>
      </c>
      <c r="D8" s="785">
        <v>4768</v>
      </c>
      <c r="E8" s="785">
        <v>370</v>
      </c>
      <c r="F8" s="785">
        <v>303</v>
      </c>
      <c r="G8" s="785">
        <v>5441</v>
      </c>
      <c r="H8" s="785">
        <v>1838</v>
      </c>
      <c r="I8" s="785">
        <v>36786</v>
      </c>
    </row>
    <row r="9" spans="1:9">
      <c r="A9" s="789"/>
      <c r="B9" s="880" t="s">
        <v>221</v>
      </c>
      <c r="C9" s="785">
        <v>8229</v>
      </c>
      <c r="D9" s="785">
        <v>1006</v>
      </c>
      <c r="E9" s="785">
        <v>165</v>
      </c>
      <c r="F9" s="785">
        <v>179</v>
      </c>
      <c r="G9" s="785">
        <v>1350</v>
      </c>
      <c r="H9" s="785">
        <v>351</v>
      </c>
      <c r="I9" s="785">
        <v>9930</v>
      </c>
    </row>
    <row r="10" spans="1:9">
      <c r="A10" s="789"/>
      <c r="B10" s="878" t="s">
        <v>220</v>
      </c>
      <c r="C10" s="898">
        <v>111719</v>
      </c>
      <c r="D10" s="896">
        <v>10855</v>
      </c>
      <c r="E10" s="896">
        <v>64</v>
      </c>
      <c r="F10" s="896">
        <v>132</v>
      </c>
      <c r="G10" s="896">
        <v>11051</v>
      </c>
      <c r="H10" s="896">
        <v>2771</v>
      </c>
      <c r="I10" s="896">
        <v>125541</v>
      </c>
    </row>
    <row r="11" spans="1:9">
      <c r="A11" s="789"/>
      <c r="B11" s="876" t="s">
        <v>214</v>
      </c>
      <c r="C11" s="895">
        <v>296743</v>
      </c>
      <c r="D11" s="895">
        <v>31752</v>
      </c>
      <c r="E11" s="895">
        <v>2670</v>
      </c>
      <c r="F11" s="895">
        <v>1475</v>
      </c>
      <c r="G11" s="895">
        <v>35897</v>
      </c>
      <c r="H11" s="895">
        <v>7146</v>
      </c>
      <c r="I11" s="895">
        <v>339786</v>
      </c>
    </row>
    <row r="12" spans="1:9">
      <c r="A12" s="789"/>
      <c r="B12" s="880"/>
      <c r="C12" s="851"/>
      <c r="D12" s="851"/>
      <c r="E12" s="851"/>
      <c r="F12" s="851"/>
      <c r="G12" s="851"/>
      <c r="H12" s="851"/>
      <c r="I12" s="851"/>
    </row>
    <row r="13" spans="1:9">
      <c r="A13" s="789"/>
      <c r="B13" s="884" t="s">
        <v>231</v>
      </c>
      <c r="C13" s="889"/>
      <c r="D13" s="889"/>
      <c r="E13" s="889"/>
      <c r="F13" s="889"/>
      <c r="G13" s="889"/>
      <c r="H13" s="889"/>
      <c r="I13" s="883"/>
    </row>
    <row r="14" spans="1:9">
      <c r="A14" s="789"/>
      <c r="B14" s="882" t="s">
        <v>223</v>
      </c>
      <c r="C14" s="897">
        <v>33</v>
      </c>
      <c r="D14" s="897">
        <v>30</v>
      </c>
      <c r="E14" s="897">
        <v>12</v>
      </c>
      <c r="F14" s="897">
        <v>18</v>
      </c>
      <c r="G14" s="897">
        <v>60</v>
      </c>
      <c r="H14" s="897">
        <v>383</v>
      </c>
      <c r="I14" s="897">
        <v>476</v>
      </c>
    </row>
    <row r="15" spans="1:9">
      <c r="A15" s="789"/>
      <c r="B15" s="880" t="s">
        <v>222</v>
      </c>
      <c r="C15" s="785">
        <v>465</v>
      </c>
      <c r="D15" s="785">
        <v>1060</v>
      </c>
      <c r="E15" s="785">
        <v>150</v>
      </c>
      <c r="F15" s="785">
        <v>179</v>
      </c>
      <c r="G15" s="785">
        <v>1389</v>
      </c>
      <c r="H15" s="785">
        <v>1433</v>
      </c>
      <c r="I15" s="785">
        <v>3287</v>
      </c>
    </row>
    <row r="16" spans="1:9">
      <c r="A16" s="789"/>
      <c r="B16" s="880" t="s">
        <v>221</v>
      </c>
      <c r="C16" s="785">
        <v>58</v>
      </c>
      <c r="D16" s="785">
        <v>70</v>
      </c>
      <c r="E16" s="785">
        <v>16</v>
      </c>
      <c r="F16" s="785">
        <v>19</v>
      </c>
      <c r="G16" s="785">
        <v>105</v>
      </c>
      <c r="H16" s="785">
        <v>167</v>
      </c>
      <c r="I16" s="785">
        <v>330</v>
      </c>
    </row>
    <row r="17" spans="1:9">
      <c r="A17" s="789"/>
      <c r="B17" s="878" t="s">
        <v>220</v>
      </c>
      <c r="C17" s="896">
        <v>233</v>
      </c>
      <c r="D17" s="896">
        <v>295</v>
      </c>
      <c r="E17" s="896">
        <v>5</v>
      </c>
      <c r="F17" s="896">
        <v>9</v>
      </c>
      <c r="G17" s="896">
        <v>309</v>
      </c>
      <c r="H17" s="896">
        <v>604</v>
      </c>
      <c r="I17" s="896">
        <v>1146</v>
      </c>
    </row>
    <row r="18" spans="1:9">
      <c r="A18" s="789"/>
      <c r="B18" s="876" t="s">
        <v>214</v>
      </c>
      <c r="C18" s="895">
        <v>789</v>
      </c>
      <c r="D18" s="895">
        <v>1455</v>
      </c>
      <c r="E18" s="895">
        <v>183</v>
      </c>
      <c r="F18" s="895">
        <v>225</v>
      </c>
      <c r="G18" s="895">
        <v>1863</v>
      </c>
      <c r="H18" s="895">
        <v>2587</v>
      </c>
      <c r="I18" s="895">
        <v>5239</v>
      </c>
    </row>
    <row r="19" spans="1:9">
      <c r="A19" s="789"/>
      <c r="B19" s="880"/>
      <c r="C19" s="851"/>
      <c r="D19" s="851"/>
      <c r="E19" s="851"/>
      <c r="F19" s="851"/>
      <c r="G19" s="851"/>
      <c r="H19" s="851"/>
      <c r="I19" s="851"/>
    </row>
    <row r="20" spans="1:9">
      <c r="A20" s="789"/>
      <c r="B20" s="884" t="s">
        <v>230</v>
      </c>
      <c r="C20" s="883"/>
      <c r="D20" s="883"/>
      <c r="E20" s="883"/>
      <c r="F20" s="883"/>
      <c r="G20" s="883"/>
      <c r="H20" s="883"/>
      <c r="I20" s="883"/>
    </row>
    <row r="21" spans="1:9">
      <c r="A21" s="789"/>
      <c r="B21" s="882" t="s">
        <v>223</v>
      </c>
      <c r="C21" s="897">
        <v>147255</v>
      </c>
      <c r="D21" s="897">
        <v>15093</v>
      </c>
      <c r="E21" s="897">
        <v>2059</v>
      </c>
      <c r="F21" s="897">
        <v>843</v>
      </c>
      <c r="G21" s="897">
        <v>17995</v>
      </c>
      <c r="H21" s="897">
        <v>1803</v>
      </c>
      <c r="I21" s="897">
        <v>167053</v>
      </c>
    </row>
    <row r="22" spans="1:9">
      <c r="A22" s="789"/>
      <c r="B22" s="880" t="s">
        <v>222</v>
      </c>
      <c r="C22" s="785">
        <v>29042</v>
      </c>
      <c r="D22" s="785">
        <v>3708</v>
      </c>
      <c r="E22" s="785">
        <v>220</v>
      </c>
      <c r="F22" s="785">
        <v>124</v>
      </c>
      <c r="G22" s="785">
        <v>4052</v>
      </c>
      <c r="H22" s="785">
        <v>405</v>
      </c>
      <c r="I22" s="785">
        <v>33499</v>
      </c>
    </row>
    <row r="23" spans="1:9">
      <c r="A23" s="789"/>
      <c r="B23" s="880" t="s">
        <v>221</v>
      </c>
      <c r="C23" s="785">
        <v>8171</v>
      </c>
      <c r="D23" s="785">
        <v>936</v>
      </c>
      <c r="E23" s="785">
        <v>149</v>
      </c>
      <c r="F23" s="785">
        <v>160</v>
      </c>
      <c r="G23" s="785">
        <v>1245</v>
      </c>
      <c r="H23" s="785">
        <v>184</v>
      </c>
      <c r="I23" s="785">
        <v>9600</v>
      </c>
    </row>
    <row r="24" spans="1:9">
      <c r="A24" s="789"/>
      <c r="B24" s="878" t="s">
        <v>220</v>
      </c>
      <c r="C24" s="896">
        <v>111486</v>
      </c>
      <c r="D24" s="896">
        <v>10560</v>
      </c>
      <c r="E24" s="896">
        <v>59</v>
      </c>
      <c r="F24" s="896">
        <v>123</v>
      </c>
      <c r="G24" s="896">
        <v>10742</v>
      </c>
      <c r="H24" s="896">
        <v>2167</v>
      </c>
      <c r="I24" s="896">
        <v>124395</v>
      </c>
    </row>
    <row r="25" spans="1:9">
      <c r="A25" s="789"/>
      <c r="B25" s="876" t="s">
        <v>214</v>
      </c>
      <c r="C25" s="895">
        <v>295954</v>
      </c>
      <c r="D25" s="895">
        <v>30297</v>
      </c>
      <c r="E25" s="895">
        <v>2487</v>
      </c>
      <c r="F25" s="895">
        <v>1250</v>
      </c>
      <c r="G25" s="895">
        <v>34034</v>
      </c>
      <c r="H25" s="895">
        <v>4559</v>
      </c>
      <c r="I25" s="895">
        <v>334547</v>
      </c>
    </row>
    <row r="26" spans="1:9">
      <c r="A26" s="789"/>
      <c r="B26" s="880"/>
      <c r="C26" s="851"/>
      <c r="D26" s="851"/>
      <c r="E26" s="851"/>
      <c r="F26" s="851"/>
      <c r="G26" s="851"/>
      <c r="H26" s="851"/>
      <c r="I26" s="851"/>
    </row>
    <row r="27" spans="1:9">
      <c r="A27" s="789"/>
      <c r="B27" s="884" t="s">
        <v>229</v>
      </c>
      <c r="C27" s="883" t="s">
        <v>208</v>
      </c>
      <c r="D27" s="883" t="s">
        <v>208</v>
      </c>
      <c r="E27" s="883" t="s">
        <v>208</v>
      </c>
      <c r="F27" s="883" t="s">
        <v>208</v>
      </c>
      <c r="G27" s="883" t="s">
        <v>208</v>
      </c>
      <c r="H27" s="883" t="s">
        <v>208</v>
      </c>
      <c r="I27" s="883" t="s">
        <v>208</v>
      </c>
    </row>
    <row r="28" spans="1:9">
      <c r="A28" s="789"/>
      <c r="B28" s="882" t="s">
        <v>223</v>
      </c>
      <c r="C28" s="894">
        <v>0</v>
      </c>
      <c r="D28" s="894">
        <v>0.2</v>
      </c>
      <c r="E28" s="894">
        <v>0.6</v>
      </c>
      <c r="F28" s="894">
        <v>2.1</v>
      </c>
      <c r="G28" s="894">
        <v>0.3</v>
      </c>
      <c r="H28" s="894">
        <v>17.5</v>
      </c>
      <c r="I28" s="894">
        <v>0.3</v>
      </c>
    </row>
    <row r="29" spans="1:9">
      <c r="A29" s="789"/>
      <c r="B29" s="880" t="s">
        <v>222</v>
      </c>
      <c r="C29" s="893">
        <v>1.6</v>
      </c>
      <c r="D29" s="893">
        <v>22.2</v>
      </c>
      <c r="E29" s="893">
        <v>40.5</v>
      </c>
      <c r="F29" s="893">
        <v>59.1</v>
      </c>
      <c r="G29" s="893">
        <v>25.5</v>
      </c>
      <c r="H29" s="893">
        <v>78</v>
      </c>
      <c r="I29" s="893">
        <v>8.9</v>
      </c>
    </row>
    <row r="30" spans="1:9">
      <c r="A30" s="789"/>
      <c r="B30" s="880" t="s">
        <v>221</v>
      </c>
      <c r="C30" s="893">
        <v>0.7</v>
      </c>
      <c r="D30" s="893">
        <v>7</v>
      </c>
      <c r="E30" s="893">
        <v>9.6999999999999993</v>
      </c>
      <c r="F30" s="893">
        <v>10.6</v>
      </c>
      <c r="G30" s="893">
        <v>7.8</v>
      </c>
      <c r="H30" s="893">
        <v>47.6</v>
      </c>
      <c r="I30" s="893">
        <v>3.3</v>
      </c>
    </row>
    <row r="31" spans="1:9">
      <c r="A31" s="789"/>
      <c r="B31" s="878" t="s">
        <v>220</v>
      </c>
      <c r="C31" s="892">
        <v>0.2</v>
      </c>
      <c r="D31" s="892">
        <v>2.7</v>
      </c>
      <c r="E31" s="892">
        <v>7.8</v>
      </c>
      <c r="F31" s="892">
        <v>6.8</v>
      </c>
      <c r="G31" s="892">
        <v>2.8</v>
      </c>
      <c r="H31" s="892">
        <v>21.8</v>
      </c>
      <c r="I31" s="892">
        <v>0.9</v>
      </c>
    </row>
    <row r="32" spans="1:9">
      <c r="A32" s="789"/>
      <c r="B32" s="876" t="s">
        <v>214</v>
      </c>
      <c r="C32" s="891">
        <v>0.3</v>
      </c>
      <c r="D32" s="891">
        <v>4.5999999999999996</v>
      </c>
      <c r="E32" s="891">
        <v>6.9</v>
      </c>
      <c r="F32" s="891">
        <v>15.3</v>
      </c>
      <c r="G32" s="891">
        <v>5.2</v>
      </c>
      <c r="H32" s="891">
        <v>36.200000000000003</v>
      </c>
      <c r="I32" s="891">
        <v>1.5</v>
      </c>
    </row>
    <row r="33" spans="1:9">
      <c r="A33" s="789"/>
      <c r="B33" s="880"/>
      <c r="C33" s="851"/>
      <c r="D33" s="851"/>
      <c r="E33" s="851"/>
      <c r="F33" s="851"/>
      <c r="G33" s="851"/>
      <c r="H33" s="851"/>
      <c r="I33" s="851"/>
    </row>
    <row r="34" spans="1:9">
      <c r="A34" s="789"/>
      <c r="B34" s="836" t="s">
        <v>127</v>
      </c>
      <c r="C34" s="890"/>
      <c r="D34" s="890"/>
      <c r="E34" s="890"/>
      <c r="F34" s="890"/>
      <c r="G34" s="890"/>
      <c r="H34" s="890"/>
      <c r="I34" s="890"/>
    </row>
    <row r="35" spans="1:9">
      <c r="A35" s="789"/>
      <c r="B35" s="884" t="s">
        <v>232</v>
      </c>
      <c r="C35" s="883" t="s">
        <v>1</v>
      </c>
      <c r="D35" s="883" t="s">
        <v>1</v>
      </c>
      <c r="E35" s="883" t="s">
        <v>1</v>
      </c>
      <c r="F35" s="883" t="s">
        <v>1</v>
      </c>
      <c r="G35" s="883" t="s">
        <v>1</v>
      </c>
      <c r="H35" s="883" t="s">
        <v>1</v>
      </c>
      <c r="I35" s="883" t="s">
        <v>1</v>
      </c>
    </row>
    <row r="36" spans="1:9">
      <c r="A36" s="789"/>
      <c r="B36" s="882" t="s">
        <v>223</v>
      </c>
      <c r="C36" s="888">
        <v>150202</v>
      </c>
      <c r="D36" s="888">
        <v>16834</v>
      </c>
      <c r="E36" s="888">
        <v>1971</v>
      </c>
      <c r="F36" s="888">
        <v>664</v>
      </c>
      <c r="G36" s="888">
        <v>19469</v>
      </c>
      <c r="H36" s="888">
        <v>2424</v>
      </c>
      <c r="I36" s="888">
        <v>172095</v>
      </c>
    </row>
    <row r="37" spans="1:9">
      <c r="A37" s="789"/>
      <c r="B37" s="880" t="s">
        <v>222</v>
      </c>
      <c r="C37" s="887">
        <v>30409</v>
      </c>
      <c r="D37" s="887">
        <v>4858</v>
      </c>
      <c r="E37" s="887">
        <v>392</v>
      </c>
      <c r="F37" s="887">
        <v>328</v>
      </c>
      <c r="G37" s="887">
        <v>5578</v>
      </c>
      <c r="H37" s="887">
        <v>1720</v>
      </c>
      <c r="I37" s="887">
        <v>37707</v>
      </c>
    </row>
    <row r="38" spans="1:9">
      <c r="A38" s="789"/>
      <c r="B38" s="880" t="s">
        <v>221</v>
      </c>
      <c r="C38" s="887">
        <v>8469</v>
      </c>
      <c r="D38" s="887">
        <v>1094</v>
      </c>
      <c r="E38" s="887">
        <v>126</v>
      </c>
      <c r="F38" s="887">
        <v>123</v>
      </c>
      <c r="G38" s="887">
        <v>1343</v>
      </c>
      <c r="H38" s="887">
        <v>493</v>
      </c>
      <c r="I38" s="887">
        <v>10305</v>
      </c>
    </row>
    <row r="39" spans="1:9">
      <c r="A39" s="789"/>
      <c r="B39" s="878" t="s">
        <v>220</v>
      </c>
      <c r="C39" s="886">
        <v>112505</v>
      </c>
      <c r="D39" s="886">
        <v>12960</v>
      </c>
      <c r="E39" s="886">
        <v>179</v>
      </c>
      <c r="F39" s="886">
        <v>163</v>
      </c>
      <c r="G39" s="886">
        <v>13302</v>
      </c>
      <c r="H39" s="886">
        <v>2554</v>
      </c>
      <c r="I39" s="886">
        <v>128361</v>
      </c>
    </row>
    <row r="40" spans="1:9">
      <c r="A40" s="789"/>
      <c r="B40" s="876" t="s">
        <v>214</v>
      </c>
      <c r="C40" s="885">
        <v>301585</v>
      </c>
      <c r="D40" s="885">
        <v>35746</v>
      </c>
      <c r="E40" s="885">
        <v>2668</v>
      </c>
      <c r="F40" s="885">
        <v>1278</v>
      </c>
      <c r="G40" s="885">
        <v>39692</v>
      </c>
      <c r="H40" s="885">
        <v>7191</v>
      </c>
      <c r="I40" s="885">
        <v>348468</v>
      </c>
    </row>
    <row r="41" spans="1:9">
      <c r="A41" s="789"/>
      <c r="B41" s="880"/>
      <c r="C41" s="851"/>
      <c r="D41" s="851"/>
      <c r="E41" s="851"/>
      <c r="F41" s="851"/>
      <c r="G41" s="851"/>
      <c r="H41" s="851"/>
      <c r="I41" s="851"/>
    </row>
    <row r="42" spans="1:9">
      <c r="A42" s="789"/>
      <c r="B42" s="884" t="s">
        <v>231</v>
      </c>
      <c r="C42" s="889"/>
      <c r="D42" s="889"/>
      <c r="E42" s="889"/>
      <c r="F42" s="889"/>
      <c r="G42" s="889"/>
      <c r="H42" s="889"/>
      <c r="I42" s="889"/>
    </row>
    <row r="43" spans="1:9">
      <c r="A43" s="789"/>
      <c r="B43" s="882" t="s">
        <v>223</v>
      </c>
      <c r="C43" s="888">
        <v>50</v>
      </c>
      <c r="D43" s="888">
        <v>73</v>
      </c>
      <c r="E43" s="888">
        <v>20</v>
      </c>
      <c r="F43" s="888">
        <v>12</v>
      </c>
      <c r="G43" s="888">
        <v>105</v>
      </c>
      <c r="H43" s="888">
        <v>428</v>
      </c>
      <c r="I43" s="888">
        <v>583</v>
      </c>
    </row>
    <row r="44" spans="1:9">
      <c r="A44" s="789"/>
      <c r="B44" s="880" t="s">
        <v>222</v>
      </c>
      <c r="C44" s="887">
        <v>523</v>
      </c>
      <c r="D44" s="887">
        <v>1257</v>
      </c>
      <c r="E44" s="887">
        <v>166</v>
      </c>
      <c r="F44" s="887">
        <v>207</v>
      </c>
      <c r="G44" s="887">
        <v>1630</v>
      </c>
      <c r="H44" s="887">
        <v>1333</v>
      </c>
      <c r="I44" s="887">
        <v>3486</v>
      </c>
    </row>
    <row r="45" spans="1:9">
      <c r="A45" s="789"/>
      <c r="B45" s="880" t="s">
        <v>221</v>
      </c>
      <c r="C45" s="887">
        <v>59</v>
      </c>
      <c r="D45" s="887">
        <v>82</v>
      </c>
      <c r="E45" s="887">
        <v>18</v>
      </c>
      <c r="F45" s="887">
        <v>18</v>
      </c>
      <c r="G45" s="887">
        <v>118</v>
      </c>
      <c r="H45" s="887">
        <v>176</v>
      </c>
      <c r="I45" s="887">
        <v>353</v>
      </c>
    </row>
    <row r="46" spans="1:9">
      <c r="A46" s="789"/>
      <c r="B46" s="878" t="s">
        <v>220</v>
      </c>
      <c r="C46" s="886">
        <v>287</v>
      </c>
      <c r="D46" s="886">
        <v>399</v>
      </c>
      <c r="E46" s="886">
        <v>8</v>
      </c>
      <c r="F46" s="886">
        <v>7</v>
      </c>
      <c r="G46" s="886">
        <v>414</v>
      </c>
      <c r="H46" s="886">
        <v>598</v>
      </c>
      <c r="I46" s="886">
        <v>1299</v>
      </c>
    </row>
    <row r="47" spans="1:9">
      <c r="A47" s="789"/>
      <c r="B47" s="876" t="s">
        <v>214</v>
      </c>
      <c r="C47" s="885">
        <v>919</v>
      </c>
      <c r="D47" s="885">
        <v>1811</v>
      </c>
      <c r="E47" s="885">
        <v>212</v>
      </c>
      <c r="F47" s="885">
        <v>244</v>
      </c>
      <c r="G47" s="885">
        <v>2267</v>
      </c>
      <c r="H47" s="885">
        <v>2535</v>
      </c>
      <c r="I47" s="885">
        <v>5721</v>
      </c>
    </row>
    <row r="48" spans="1:9">
      <c r="A48" s="789"/>
      <c r="B48" s="880"/>
      <c r="C48" s="851"/>
      <c r="D48" s="851"/>
      <c r="E48" s="851"/>
      <c r="F48" s="851"/>
      <c r="G48" s="851"/>
      <c r="H48" s="851"/>
      <c r="I48" s="851"/>
    </row>
    <row r="49" spans="1:9">
      <c r="A49" s="789"/>
      <c r="B49" s="884" t="s">
        <v>230</v>
      </c>
      <c r="C49" s="883"/>
      <c r="D49" s="883"/>
      <c r="E49" s="883"/>
      <c r="F49" s="883"/>
      <c r="G49" s="883"/>
      <c r="H49" s="883"/>
      <c r="I49" s="883"/>
    </row>
    <row r="50" spans="1:9">
      <c r="A50" s="789"/>
      <c r="B50" s="882" t="s">
        <v>223</v>
      </c>
      <c r="C50" s="888">
        <v>150152</v>
      </c>
      <c r="D50" s="888">
        <v>16761</v>
      </c>
      <c r="E50" s="888">
        <v>1951</v>
      </c>
      <c r="F50" s="888">
        <v>652</v>
      </c>
      <c r="G50" s="888">
        <v>19364</v>
      </c>
      <c r="H50" s="888">
        <v>1996</v>
      </c>
      <c r="I50" s="888">
        <v>171512</v>
      </c>
    </row>
    <row r="51" spans="1:9">
      <c r="A51" s="789"/>
      <c r="B51" s="880" t="s">
        <v>222</v>
      </c>
      <c r="C51" s="887">
        <v>29886</v>
      </c>
      <c r="D51" s="887">
        <v>3601</v>
      </c>
      <c r="E51" s="887">
        <v>226</v>
      </c>
      <c r="F51" s="887">
        <v>121</v>
      </c>
      <c r="G51" s="887">
        <v>3948</v>
      </c>
      <c r="H51" s="887">
        <v>387</v>
      </c>
      <c r="I51" s="887">
        <v>34221</v>
      </c>
    </row>
    <row r="52" spans="1:9">
      <c r="A52" s="789"/>
      <c r="B52" s="880" t="s">
        <v>221</v>
      </c>
      <c r="C52" s="887">
        <v>8410</v>
      </c>
      <c r="D52" s="887">
        <v>1012</v>
      </c>
      <c r="E52" s="887">
        <v>108</v>
      </c>
      <c r="F52" s="887">
        <v>105</v>
      </c>
      <c r="G52" s="887">
        <v>1225</v>
      </c>
      <c r="H52" s="887">
        <v>317</v>
      </c>
      <c r="I52" s="887">
        <v>9952</v>
      </c>
    </row>
    <row r="53" spans="1:9">
      <c r="A53" s="789"/>
      <c r="B53" s="878" t="s">
        <v>220</v>
      </c>
      <c r="C53" s="886">
        <v>112218</v>
      </c>
      <c r="D53" s="886">
        <v>12561</v>
      </c>
      <c r="E53" s="886">
        <v>171</v>
      </c>
      <c r="F53" s="886">
        <v>156</v>
      </c>
      <c r="G53" s="886">
        <v>12888</v>
      </c>
      <c r="H53" s="886">
        <v>1956</v>
      </c>
      <c r="I53" s="886">
        <v>127062</v>
      </c>
    </row>
    <row r="54" spans="1:9">
      <c r="A54" s="789"/>
      <c r="B54" s="876" t="s">
        <v>214</v>
      </c>
      <c r="C54" s="885">
        <v>300666</v>
      </c>
      <c r="D54" s="885">
        <v>33935</v>
      </c>
      <c r="E54" s="885">
        <v>2456</v>
      </c>
      <c r="F54" s="885">
        <v>1034</v>
      </c>
      <c r="G54" s="885">
        <v>37425</v>
      </c>
      <c r="H54" s="885">
        <v>4656</v>
      </c>
      <c r="I54" s="885">
        <v>342747</v>
      </c>
    </row>
    <row r="55" spans="1:9">
      <c r="A55" s="789"/>
      <c r="B55" s="880"/>
      <c r="C55" s="851"/>
      <c r="D55" s="851"/>
      <c r="E55" s="851"/>
      <c r="F55" s="851"/>
      <c r="G55" s="851"/>
      <c r="H55" s="851"/>
      <c r="I55" s="851"/>
    </row>
    <row r="56" spans="1:9">
      <c r="A56" s="789"/>
      <c r="B56" s="884" t="s">
        <v>229</v>
      </c>
      <c r="C56" s="883" t="s">
        <v>208</v>
      </c>
      <c r="D56" s="883" t="s">
        <v>208</v>
      </c>
      <c r="E56" s="883" t="s">
        <v>208</v>
      </c>
      <c r="F56" s="883" t="s">
        <v>208</v>
      </c>
      <c r="G56" s="883" t="s">
        <v>208</v>
      </c>
      <c r="H56" s="883" t="s">
        <v>208</v>
      </c>
      <c r="I56" s="883" t="s">
        <v>208</v>
      </c>
    </row>
    <row r="57" spans="1:9">
      <c r="A57" s="789"/>
      <c r="B57" s="882" t="s">
        <v>223</v>
      </c>
      <c r="C57" s="881">
        <v>0</v>
      </c>
      <c r="D57" s="881">
        <v>0.4</v>
      </c>
      <c r="E57" s="881">
        <v>1</v>
      </c>
      <c r="F57" s="881">
        <v>1.8</v>
      </c>
      <c r="G57" s="881">
        <v>0.5</v>
      </c>
      <c r="H57" s="881">
        <v>17.7</v>
      </c>
      <c r="I57" s="881">
        <v>0.3</v>
      </c>
    </row>
    <row r="58" spans="1:9">
      <c r="A58" s="789"/>
      <c r="B58" s="880" t="s">
        <v>222</v>
      </c>
      <c r="C58" s="879">
        <v>1.7</v>
      </c>
      <c r="D58" s="879">
        <v>25.9</v>
      </c>
      <c r="E58" s="879">
        <v>42.3</v>
      </c>
      <c r="F58" s="879">
        <v>63.1</v>
      </c>
      <c r="G58" s="879">
        <v>29.2</v>
      </c>
      <c r="H58" s="879">
        <v>77.5</v>
      </c>
      <c r="I58" s="879">
        <v>9.1999999999999993</v>
      </c>
    </row>
    <row r="59" spans="1:9">
      <c r="A59" s="789"/>
      <c r="B59" s="880" t="s">
        <v>221</v>
      </c>
      <c r="C59" s="879">
        <v>0.7</v>
      </c>
      <c r="D59" s="879">
        <v>7.5</v>
      </c>
      <c r="E59" s="879">
        <v>14.3</v>
      </c>
      <c r="F59" s="879">
        <v>14.6</v>
      </c>
      <c r="G59" s="879">
        <v>8.8000000000000007</v>
      </c>
      <c r="H59" s="879">
        <v>35.700000000000003</v>
      </c>
      <c r="I59" s="879">
        <v>3.4</v>
      </c>
    </row>
    <row r="60" spans="1:9">
      <c r="A60" s="789"/>
      <c r="B60" s="878" t="s">
        <v>220</v>
      </c>
      <c r="C60" s="877">
        <v>0.3</v>
      </c>
      <c r="D60" s="877">
        <v>3.1</v>
      </c>
      <c r="E60" s="877">
        <v>4.5</v>
      </c>
      <c r="F60" s="877">
        <v>4.3</v>
      </c>
      <c r="G60" s="877">
        <v>3.1</v>
      </c>
      <c r="H60" s="877">
        <v>23.4</v>
      </c>
      <c r="I60" s="877">
        <v>1</v>
      </c>
    </row>
    <row r="61" spans="1:9">
      <c r="A61" s="789"/>
      <c r="B61" s="876" t="s">
        <v>214</v>
      </c>
      <c r="C61" s="875">
        <v>0.3</v>
      </c>
      <c r="D61" s="875">
        <v>5.0999999999999996</v>
      </c>
      <c r="E61" s="875">
        <v>7.9</v>
      </c>
      <c r="F61" s="875">
        <v>19.100000000000001</v>
      </c>
      <c r="G61" s="875">
        <v>5.7</v>
      </c>
      <c r="H61" s="875">
        <v>35.299999999999997</v>
      </c>
      <c r="I61" s="875">
        <v>1.6</v>
      </c>
    </row>
    <row r="62" spans="1:9">
      <c r="A62" s="789"/>
    </row>
  </sheetData>
  <mergeCells count="2">
    <mergeCell ref="B2:D2"/>
    <mergeCell ref="D4:G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CAFF-5D6A-42E1-BEEA-AA15B4FA0B9E}">
  <dimension ref="A1:H167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40.1796875" style="500" customWidth="1"/>
    <col min="3" max="7" width="14.1796875" style="500" customWidth="1"/>
    <col min="8" max="16384" width="13.7265625" style="500"/>
  </cols>
  <sheetData>
    <row r="1" spans="1:7">
      <c r="A1" s="789"/>
      <c r="B1" s="789"/>
      <c r="C1" s="789"/>
      <c r="D1" s="789"/>
      <c r="E1" s="789"/>
      <c r="F1" s="789"/>
      <c r="G1" s="789"/>
    </row>
    <row r="2" spans="1:7" ht="15.5">
      <c r="A2" s="789"/>
      <c r="B2" s="1148" t="s">
        <v>261</v>
      </c>
      <c r="C2" s="1148"/>
      <c r="D2" s="1148"/>
      <c r="E2" s="1148"/>
      <c r="F2" s="1148"/>
      <c r="G2" s="789"/>
    </row>
    <row r="3" spans="1:7">
      <c r="A3" s="789"/>
      <c r="B3" s="836"/>
    </row>
    <row r="4" spans="1:7">
      <c r="A4" s="789"/>
      <c r="B4" s="1062" t="s">
        <v>169</v>
      </c>
      <c r="C4" s="912">
        <v>2024</v>
      </c>
      <c r="D4" s="912">
        <v>2025</v>
      </c>
      <c r="E4" s="912">
        <v>2026</v>
      </c>
      <c r="F4" s="912">
        <v>2027</v>
      </c>
      <c r="G4" s="912">
        <v>2028</v>
      </c>
    </row>
    <row r="5" spans="1:7" ht="13" thickBot="1">
      <c r="A5" s="789"/>
      <c r="B5" s="911" t="s">
        <v>249</v>
      </c>
      <c r="C5" s="906" t="s">
        <v>246</v>
      </c>
      <c r="D5" s="906" t="s">
        <v>246</v>
      </c>
      <c r="E5" s="906" t="s">
        <v>208</v>
      </c>
      <c r="F5" s="906" t="s">
        <v>208</v>
      </c>
      <c r="G5" s="906" t="s">
        <v>208</v>
      </c>
    </row>
    <row r="6" spans="1:7">
      <c r="A6" s="789"/>
      <c r="B6" s="910" t="s">
        <v>259</v>
      </c>
      <c r="C6" s="917">
        <v>0.9</v>
      </c>
      <c r="D6" s="917">
        <v>1.3</v>
      </c>
      <c r="E6" s="917">
        <v>1.5</v>
      </c>
      <c r="F6" s="917">
        <v>1.7</v>
      </c>
      <c r="G6" s="917">
        <v>1.6</v>
      </c>
    </row>
    <row r="7" spans="1:7">
      <c r="A7" s="789"/>
      <c r="B7" s="880" t="s">
        <v>258</v>
      </c>
      <c r="C7" s="916">
        <v>4.4000000000000004</v>
      </c>
      <c r="D7" s="916">
        <v>4.5</v>
      </c>
      <c r="E7" s="916">
        <v>4.4000000000000004</v>
      </c>
      <c r="F7" s="916">
        <v>4.4000000000000004</v>
      </c>
      <c r="G7" s="916">
        <v>4.4000000000000004</v>
      </c>
    </row>
    <row r="8" spans="1:7">
      <c r="A8" s="789"/>
      <c r="B8" s="880" t="s">
        <v>257</v>
      </c>
      <c r="C8" s="916">
        <v>0.7</v>
      </c>
      <c r="D8" s="916">
        <v>2.6</v>
      </c>
      <c r="E8" s="916">
        <v>2.6</v>
      </c>
      <c r="F8" s="916">
        <v>4.5999999999999996</v>
      </c>
      <c r="G8" s="916">
        <v>3.2</v>
      </c>
    </row>
    <row r="9" spans="1:7">
      <c r="A9" s="789"/>
      <c r="B9" s="880" t="s">
        <v>256</v>
      </c>
      <c r="C9" s="916">
        <v>5</v>
      </c>
      <c r="D9" s="916">
        <v>3.9</v>
      </c>
      <c r="E9" s="916">
        <v>3.4</v>
      </c>
      <c r="F9" s="916">
        <v>3.3</v>
      </c>
      <c r="G9" s="916">
        <v>3.3</v>
      </c>
    </row>
    <row r="10" spans="1:7">
      <c r="A10" s="789"/>
      <c r="B10" s="880" t="s">
        <v>255</v>
      </c>
      <c r="C10" s="916">
        <v>2.2999999999999998</v>
      </c>
      <c r="D10" s="916">
        <v>1.8</v>
      </c>
      <c r="E10" s="916">
        <v>2</v>
      </c>
      <c r="F10" s="916">
        <v>2</v>
      </c>
      <c r="G10" s="916">
        <v>2</v>
      </c>
    </row>
    <row r="11" spans="1:7">
      <c r="A11" s="789"/>
      <c r="B11" s="880" t="s">
        <v>254</v>
      </c>
      <c r="C11" s="916">
        <v>4</v>
      </c>
      <c r="D11" s="916">
        <v>4.2</v>
      </c>
      <c r="E11" s="916">
        <v>4.2</v>
      </c>
      <c r="F11" s="916">
        <v>4.2</v>
      </c>
      <c r="G11" s="916">
        <v>4.2</v>
      </c>
    </row>
    <row r="12" spans="1:7">
      <c r="A12" s="789"/>
      <c r="B12" s="880" t="s">
        <v>253</v>
      </c>
      <c r="C12" s="916">
        <v>3.2</v>
      </c>
      <c r="D12" s="916">
        <v>3</v>
      </c>
      <c r="E12" s="916">
        <v>3.1</v>
      </c>
      <c r="F12" s="916">
        <v>3.1</v>
      </c>
      <c r="G12" s="916">
        <v>3.1</v>
      </c>
    </row>
    <row r="13" spans="1:7">
      <c r="A13" s="789"/>
      <c r="B13" s="880" t="s">
        <v>252</v>
      </c>
      <c r="C13" s="916">
        <v>5</v>
      </c>
      <c r="D13" s="916">
        <v>3.4</v>
      </c>
      <c r="E13" s="916">
        <v>3.1</v>
      </c>
      <c r="F13" s="916">
        <v>3</v>
      </c>
      <c r="G13" s="916">
        <v>3.3</v>
      </c>
    </row>
    <row r="14" spans="1:7">
      <c r="A14" s="789"/>
      <c r="B14" s="880"/>
      <c r="C14" s="851"/>
      <c r="D14" s="851"/>
      <c r="E14" s="851"/>
      <c r="G14" s="789"/>
    </row>
    <row r="15" spans="1:7" ht="13" thickBot="1">
      <c r="A15" s="789"/>
      <c r="B15" s="911" t="s">
        <v>247</v>
      </c>
      <c r="C15" s="906"/>
      <c r="D15" s="906"/>
      <c r="E15" s="906"/>
      <c r="F15" s="906"/>
      <c r="G15" s="906"/>
    </row>
    <row r="16" spans="1:7">
      <c r="A16" s="789"/>
      <c r="B16" s="910" t="s">
        <v>259</v>
      </c>
      <c r="C16" s="917">
        <v>0.8</v>
      </c>
      <c r="D16" s="917">
        <v>-2.2999999999999998</v>
      </c>
      <c r="E16" s="917">
        <v>-1</v>
      </c>
      <c r="F16" s="917">
        <v>2.2999999999999998</v>
      </c>
      <c r="G16" s="917">
        <v>1.4</v>
      </c>
    </row>
    <row r="17" spans="1:7">
      <c r="A17" s="789"/>
      <c r="B17" s="880" t="s">
        <v>258</v>
      </c>
      <c r="C17" s="916">
        <v>4.4000000000000004</v>
      </c>
      <c r="D17" s="916">
        <v>5.6</v>
      </c>
      <c r="E17" s="916">
        <v>7.4</v>
      </c>
      <c r="F17" s="916">
        <v>5.6</v>
      </c>
      <c r="G17" s="916">
        <v>4.8</v>
      </c>
    </row>
    <row r="18" spans="1:7">
      <c r="A18" s="789"/>
      <c r="B18" s="880" t="s">
        <v>257</v>
      </c>
      <c r="C18" s="916">
        <v>-0.4</v>
      </c>
      <c r="D18" s="916">
        <v>-18.100000000000001</v>
      </c>
      <c r="E18" s="916">
        <v>-6.7</v>
      </c>
      <c r="F18" s="916">
        <v>16.600000000000001</v>
      </c>
      <c r="G18" s="916">
        <v>8.9</v>
      </c>
    </row>
    <row r="19" spans="1:7">
      <c r="A19" s="789"/>
      <c r="B19" s="880" t="s">
        <v>256</v>
      </c>
      <c r="C19" s="916">
        <v>5.5</v>
      </c>
      <c r="D19" s="916">
        <v>5.5</v>
      </c>
      <c r="E19" s="916">
        <v>1</v>
      </c>
      <c r="F19" s="916">
        <v>1</v>
      </c>
      <c r="G19" s="916">
        <v>1</v>
      </c>
    </row>
    <row r="20" spans="1:7">
      <c r="A20" s="789"/>
      <c r="B20" s="880" t="s">
        <v>255</v>
      </c>
      <c r="C20" s="916">
        <v>2.2000000000000002</v>
      </c>
      <c r="D20" s="916">
        <v>-2.1</v>
      </c>
      <c r="E20" s="916">
        <v>-0.4</v>
      </c>
      <c r="F20" s="916">
        <v>3.1</v>
      </c>
      <c r="G20" s="916">
        <v>1.7</v>
      </c>
    </row>
    <row r="21" spans="1:7">
      <c r="A21" s="789"/>
      <c r="B21" s="880" t="s">
        <v>254</v>
      </c>
      <c r="C21" s="916">
        <v>4.0999999999999996</v>
      </c>
      <c r="D21" s="916">
        <v>5.6</v>
      </c>
      <c r="E21" s="916">
        <v>6.8</v>
      </c>
      <c r="F21" s="916">
        <v>5.4</v>
      </c>
      <c r="G21" s="916">
        <v>5</v>
      </c>
    </row>
    <row r="22" spans="1:7">
      <c r="A22" s="789"/>
      <c r="B22" s="880" t="s">
        <v>253</v>
      </c>
      <c r="C22" s="916">
        <v>2.2999999999999998</v>
      </c>
      <c r="D22" s="916">
        <v>-9.4</v>
      </c>
      <c r="E22" s="916">
        <v>-1.7</v>
      </c>
      <c r="F22" s="916">
        <v>7.6</v>
      </c>
      <c r="G22" s="916">
        <v>5.6</v>
      </c>
    </row>
    <row r="23" spans="1:7">
      <c r="A23" s="789"/>
      <c r="B23" s="880" t="s">
        <v>252</v>
      </c>
      <c r="C23" s="916">
        <v>5.5</v>
      </c>
      <c r="D23" s="916">
        <v>5.4</v>
      </c>
      <c r="E23" s="916">
        <v>1.5</v>
      </c>
      <c r="F23" s="916">
        <v>1.5</v>
      </c>
      <c r="G23" s="916">
        <v>1.5</v>
      </c>
    </row>
    <row r="24" spans="1:7" ht="13">
      <c r="A24" s="789"/>
      <c r="B24" s="908"/>
      <c r="C24" s="880"/>
      <c r="D24" s="880"/>
      <c r="E24" s="880"/>
      <c r="F24" s="880"/>
      <c r="G24" s="880"/>
    </row>
    <row r="25" spans="1:7" ht="13" thickBot="1">
      <c r="A25" s="789"/>
      <c r="B25" s="911" t="s">
        <v>248</v>
      </c>
      <c r="C25" s="906"/>
      <c r="D25" s="906"/>
      <c r="E25" s="906"/>
      <c r="F25" s="906"/>
      <c r="G25" s="906"/>
    </row>
    <row r="26" spans="1:7">
      <c r="A26" s="789"/>
      <c r="B26" s="910" t="s">
        <v>259</v>
      </c>
      <c r="C26" s="917">
        <v>0.9</v>
      </c>
      <c r="D26" s="917">
        <v>-0.5</v>
      </c>
      <c r="E26" s="917">
        <v>0.3</v>
      </c>
      <c r="F26" s="917">
        <v>2</v>
      </c>
      <c r="G26" s="917">
        <v>1.5</v>
      </c>
    </row>
    <row r="27" spans="1:7">
      <c r="A27" s="789"/>
      <c r="B27" s="880" t="s">
        <v>258</v>
      </c>
      <c r="C27" s="916">
        <v>4.4000000000000004</v>
      </c>
      <c r="D27" s="916">
        <v>5.0999999999999996</v>
      </c>
      <c r="E27" s="916">
        <v>5.9</v>
      </c>
      <c r="F27" s="916">
        <v>5</v>
      </c>
      <c r="G27" s="916">
        <v>4.5999999999999996</v>
      </c>
    </row>
    <row r="28" spans="1:7">
      <c r="A28" s="789"/>
      <c r="B28" s="880" t="s">
        <v>257</v>
      </c>
      <c r="C28" s="916">
        <v>0.1</v>
      </c>
      <c r="D28" s="916">
        <v>-8.1</v>
      </c>
      <c r="E28" s="916">
        <v>-2.1</v>
      </c>
      <c r="F28" s="916">
        <v>10.5</v>
      </c>
      <c r="G28" s="916">
        <v>6</v>
      </c>
    </row>
    <row r="29" spans="1:7">
      <c r="A29" s="789"/>
      <c r="B29" s="880" t="s">
        <v>256</v>
      </c>
      <c r="C29" s="916">
        <v>5.3</v>
      </c>
      <c r="D29" s="916">
        <v>4.7</v>
      </c>
      <c r="E29" s="916">
        <v>2.2000000000000002</v>
      </c>
      <c r="F29" s="916">
        <v>2.1</v>
      </c>
      <c r="G29" s="916">
        <v>2.1</v>
      </c>
    </row>
    <row r="30" spans="1:7">
      <c r="A30" s="789"/>
      <c r="B30" s="880" t="s">
        <v>255</v>
      </c>
      <c r="C30" s="916">
        <v>2.2000000000000002</v>
      </c>
      <c r="D30" s="916">
        <v>-0.2</v>
      </c>
      <c r="E30" s="916">
        <v>0.8</v>
      </c>
      <c r="F30" s="916">
        <v>2.6</v>
      </c>
      <c r="G30" s="916">
        <v>1.9</v>
      </c>
    </row>
    <row r="31" spans="1:7">
      <c r="A31" s="789"/>
      <c r="B31" s="880" t="s">
        <v>254</v>
      </c>
      <c r="C31" s="916">
        <v>4.0999999999999996</v>
      </c>
      <c r="D31" s="916">
        <v>4.9000000000000004</v>
      </c>
      <c r="E31" s="916">
        <v>5.5</v>
      </c>
      <c r="F31" s="916">
        <v>4.8</v>
      </c>
      <c r="G31" s="916">
        <v>4.5999999999999996</v>
      </c>
    </row>
    <row r="32" spans="1:7">
      <c r="A32" s="789"/>
      <c r="B32" s="880" t="s">
        <v>253</v>
      </c>
      <c r="C32" s="916">
        <v>2.7</v>
      </c>
      <c r="D32" s="916">
        <v>-3.3</v>
      </c>
      <c r="E32" s="916">
        <v>0.7</v>
      </c>
      <c r="F32" s="916">
        <v>5.3</v>
      </c>
      <c r="G32" s="916">
        <v>4.4000000000000004</v>
      </c>
    </row>
    <row r="33" spans="1:7">
      <c r="A33" s="789"/>
      <c r="B33" s="880" t="s">
        <v>252</v>
      </c>
      <c r="C33" s="916">
        <v>5.2</v>
      </c>
      <c r="D33" s="916">
        <v>4.4000000000000004</v>
      </c>
      <c r="E33" s="916">
        <v>2.2999999999999998</v>
      </c>
      <c r="F33" s="916">
        <v>2.2999999999999998</v>
      </c>
      <c r="G33" s="916">
        <v>2.4</v>
      </c>
    </row>
    <row r="34" spans="1:7" ht="13">
      <c r="A34" s="789"/>
      <c r="B34" s="908"/>
      <c r="C34" s="880"/>
      <c r="D34" s="880"/>
      <c r="E34" s="880"/>
      <c r="F34" s="880"/>
      <c r="G34" s="880"/>
    </row>
    <row r="35" spans="1:7" ht="13" thickBot="1">
      <c r="A35" s="789"/>
      <c r="B35" s="911" t="s">
        <v>251</v>
      </c>
      <c r="C35" s="906"/>
      <c r="D35" s="906"/>
      <c r="E35" s="906"/>
      <c r="F35" s="906"/>
      <c r="G35" s="906"/>
    </row>
    <row r="36" spans="1:7">
      <c r="A36" s="789"/>
      <c r="B36" s="910" t="s">
        <v>259</v>
      </c>
      <c r="C36" s="917">
        <v>1.1000000000000001</v>
      </c>
      <c r="D36" s="917">
        <v>3.5</v>
      </c>
      <c r="E36" s="917">
        <v>3.4</v>
      </c>
      <c r="F36" s="917">
        <v>2.8</v>
      </c>
      <c r="G36" s="917">
        <v>2.4</v>
      </c>
    </row>
    <row r="37" spans="1:7">
      <c r="A37" s="789"/>
      <c r="B37" s="880" t="s">
        <v>258</v>
      </c>
      <c r="C37" s="916">
        <v>4.4000000000000004</v>
      </c>
      <c r="D37" s="916">
        <v>3.7</v>
      </c>
      <c r="E37" s="916">
        <v>3.5</v>
      </c>
      <c r="F37" s="916">
        <v>3.5</v>
      </c>
      <c r="G37" s="916">
        <v>3.5</v>
      </c>
    </row>
    <row r="38" spans="1:7">
      <c r="A38" s="789"/>
      <c r="B38" s="880" t="s">
        <v>257</v>
      </c>
      <c r="C38" s="916">
        <v>2.2999999999999998</v>
      </c>
      <c r="D38" s="916">
        <v>14</v>
      </c>
      <c r="E38" s="916">
        <v>6.9</v>
      </c>
      <c r="F38" s="916">
        <v>4</v>
      </c>
      <c r="G38" s="916">
        <v>4.3</v>
      </c>
    </row>
    <row r="39" spans="1:7">
      <c r="A39" s="789"/>
      <c r="B39" s="880" t="s">
        <v>256</v>
      </c>
      <c r="C39" s="916">
        <v>5</v>
      </c>
      <c r="D39" s="916">
        <v>3.3</v>
      </c>
      <c r="E39" s="916">
        <v>2.2999999999999998</v>
      </c>
      <c r="F39" s="916">
        <v>2.2999999999999998</v>
      </c>
      <c r="G39" s="916">
        <v>2.2999999999999998</v>
      </c>
    </row>
    <row r="40" spans="1:7">
      <c r="A40" s="789"/>
      <c r="B40" s="880" t="s">
        <v>255</v>
      </c>
      <c r="C40" s="916">
        <v>2.4</v>
      </c>
      <c r="D40" s="916">
        <v>2.9</v>
      </c>
      <c r="E40" s="916">
        <v>3</v>
      </c>
      <c r="F40" s="916">
        <v>2.8</v>
      </c>
      <c r="G40" s="916">
        <v>2.8</v>
      </c>
    </row>
    <row r="41" spans="1:7">
      <c r="A41" s="789"/>
      <c r="B41" s="880" t="s">
        <v>254</v>
      </c>
      <c r="C41" s="916">
        <v>4</v>
      </c>
      <c r="D41" s="916">
        <v>3.6</v>
      </c>
      <c r="E41" s="916">
        <v>3.5</v>
      </c>
      <c r="F41" s="916">
        <v>3.5</v>
      </c>
      <c r="G41" s="916">
        <v>3.5</v>
      </c>
    </row>
    <row r="42" spans="1:7">
      <c r="A42" s="789"/>
      <c r="B42" s="880" t="s">
        <v>253</v>
      </c>
      <c r="C42" s="916">
        <v>4.3</v>
      </c>
      <c r="D42" s="916">
        <v>4.5</v>
      </c>
      <c r="E42" s="916">
        <v>4.9000000000000004</v>
      </c>
      <c r="F42" s="916">
        <v>4.5</v>
      </c>
      <c r="G42" s="916">
        <v>4.5999999999999996</v>
      </c>
    </row>
    <row r="43" spans="1:7">
      <c r="A43" s="789"/>
      <c r="B43" s="880" t="s">
        <v>252</v>
      </c>
      <c r="C43" s="916">
        <v>5</v>
      </c>
      <c r="D43" s="916">
        <v>2.9</v>
      </c>
      <c r="E43" s="916">
        <v>2.2999999999999998</v>
      </c>
      <c r="F43" s="916">
        <v>2.2999999999999998</v>
      </c>
      <c r="G43" s="916">
        <v>2.2999999999999998</v>
      </c>
    </row>
    <row r="44" spans="1:7" ht="13">
      <c r="A44" s="789"/>
      <c r="B44" s="908"/>
      <c r="C44" s="880"/>
      <c r="D44" s="880"/>
      <c r="E44" s="880"/>
      <c r="F44" s="880"/>
      <c r="G44" s="880"/>
    </row>
    <row r="45" spans="1:7" ht="13" thickBot="1">
      <c r="A45" s="789"/>
      <c r="B45" s="911" t="s">
        <v>250</v>
      </c>
      <c r="C45" s="906"/>
      <c r="D45" s="906"/>
      <c r="E45" s="906"/>
      <c r="F45" s="906"/>
      <c r="G45" s="906"/>
    </row>
    <row r="46" spans="1:7">
      <c r="A46" s="789"/>
      <c r="B46" s="910" t="s">
        <v>259</v>
      </c>
      <c r="C46" s="917">
        <v>1</v>
      </c>
      <c r="D46" s="917">
        <v>2.4</v>
      </c>
      <c r="E46" s="917">
        <v>2.5</v>
      </c>
      <c r="F46" s="917">
        <v>2.2000000000000002</v>
      </c>
      <c r="G46" s="917">
        <v>2</v>
      </c>
    </row>
    <row r="47" spans="1:7">
      <c r="A47" s="789"/>
      <c r="B47" s="880" t="s">
        <v>258</v>
      </c>
      <c r="C47" s="916">
        <v>4.4000000000000004</v>
      </c>
      <c r="D47" s="916">
        <v>4.0999999999999996</v>
      </c>
      <c r="E47" s="916">
        <v>4</v>
      </c>
      <c r="F47" s="916">
        <v>4</v>
      </c>
      <c r="G47" s="916">
        <v>4</v>
      </c>
    </row>
    <row r="48" spans="1:7">
      <c r="A48" s="789"/>
      <c r="B48" s="880" t="s">
        <v>257</v>
      </c>
      <c r="C48" s="916">
        <v>1.5</v>
      </c>
      <c r="D48" s="916">
        <v>8.1999999999999993</v>
      </c>
      <c r="E48" s="916">
        <v>4.8</v>
      </c>
      <c r="F48" s="916">
        <v>4.3</v>
      </c>
      <c r="G48" s="916">
        <v>3.7</v>
      </c>
    </row>
    <row r="49" spans="1:7">
      <c r="A49" s="789"/>
      <c r="B49" s="880" t="s">
        <v>256</v>
      </c>
      <c r="C49" s="916">
        <v>5</v>
      </c>
      <c r="D49" s="916">
        <v>3.6</v>
      </c>
      <c r="E49" s="916">
        <v>2.9</v>
      </c>
      <c r="F49" s="916">
        <v>2.8</v>
      </c>
      <c r="G49" s="916">
        <v>2.8</v>
      </c>
    </row>
    <row r="50" spans="1:7">
      <c r="A50" s="789"/>
      <c r="B50" s="880" t="s">
        <v>255</v>
      </c>
      <c r="C50" s="916">
        <v>2.2999999999999998</v>
      </c>
      <c r="D50" s="916">
        <v>2.2999999999999998</v>
      </c>
      <c r="E50" s="916">
        <v>2.5</v>
      </c>
      <c r="F50" s="916">
        <v>2.4</v>
      </c>
      <c r="G50" s="916">
        <v>2.4</v>
      </c>
    </row>
    <row r="51" spans="1:7">
      <c r="A51" s="789"/>
      <c r="B51" s="880" t="s">
        <v>254</v>
      </c>
      <c r="C51" s="916">
        <v>4</v>
      </c>
      <c r="D51" s="916">
        <v>3.9</v>
      </c>
      <c r="E51" s="916">
        <v>3.9</v>
      </c>
      <c r="F51" s="916">
        <v>3.9</v>
      </c>
      <c r="G51" s="916">
        <v>3.9</v>
      </c>
    </row>
    <row r="52" spans="1:7">
      <c r="A52" s="789"/>
      <c r="B52" s="880" t="s">
        <v>253</v>
      </c>
      <c r="C52" s="916">
        <v>3.8</v>
      </c>
      <c r="D52" s="916">
        <v>3.8</v>
      </c>
      <c r="E52" s="916">
        <v>4</v>
      </c>
      <c r="F52" s="916">
        <v>3.8</v>
      </c>
      <c r="G52" s="916">
        <v>3.8</v>
      </c>
    </row>
    <row r="53" spans="1:7">
      <c r="A53" s="789"/>
      <c r="B53" s="880" t="s">
        <v>252</v>
      </c>
      <c r="C53" s="916">
        <v>5</v>
      </c>
      <c r="D53" s="916">
        <v>3.2</v>
      </c>
      <c r="E53" s="916">
        <v>2.7</v>
      </c>
      <c r="F53" s="916">
        <v>2.6</v>
      </c>
      <c r="G53" s="916">
        <v>2.8</v>
      </c>
    </row>
    <row r="54" spans="1:7" ht="13">
      <c r="A54" s="789"/>
      <c r="B54" s="908"/>
      <c r="C54" s="880"/>
      <c r="D54" s="880"/>
      <c r="E54" s="880"/>
      <c r="F54" s="880"/>
      <c r="G54" s="880"/>
    </row>
    <row r="55" spans="1:7">
      <c r="A55" s="789"/>
      <c r="B55" s="1062" t="s">
        <v>316</v>
      </c>
      <c r="C55" s="912">
        <v>2024</v>
      </c>
      <c r="D55" s="912">
        <v>2025</v>
      </c>
      <c r="E55" s="912">
        <v>2026</v>
      </c>
      <c r="F55" s="912">
        <v>2027</v>
      </c>
      <c r="G55" s="912">
        <v>2028</v>
      </c>
    </row>
    <row r="56" spans="1:7" ht="13" thickBot="1">
      <c r="A56" s="789"/>
      <c r="B56" s="911" t="s">
        <v>249</v>
      </c>
      <c r="C56" s="906" t="s">
        <v>246</v>
      </c>
      <c r="D56" s="906" t="s">
        <v>246</v>
      </c>
      <c r="E56" s="906" t="s">
        <v>208</v>
      </c>
      <c r="F56" s="906" t="s">
        <v>208</v>
      </c>
      <c r="G56" s="906" t="s">
        <v>208</v>
      </c>
    </row>
    <row r="57" spans="1:7">
      <c r="A57" s="789"/>
      <c r="B57" s="910" t="s">
        <v>259</v>
      </c>
      <c r="C57" s="914">
        <v>0.7</v>
      </c>
      <c r="D57" s="914">
        <v>1.2</v>
      </c>
      <c r="E57" s="914">
        <v>1.6</v>
      </c>
      <c r="F57" s="914">
        <v>1.7</v>
      </c>
      <c r="G57" s="914">
        <v>1.6</v>
      </c>
    </row>
    <row r="58" spans="1:7">
      <c r="A58" s="789"/>
      <c r="B58" s="880" t="s">
        <v>258</v>
      </c>
      <c r="C58" s="913">
        <v>4.3</v>
      </c>
      <c r="D58" s="913">
        <v>4.4000000000000004</v>
      </c>
      <c r="E58" s="913">
        <v>4.4000000000000004</v>
      </c>
      <c r="F58" s="913">
        <v>4.4000000000000004</v>
      </c>
      <c r="G58" s="913">
        <v>4.4000000000000004</v>
      </c>
    </row>
    <row r="59" spans="1:7">
      <c r="A59" s="789"/>
      <c r="B59" s="880" t="s">
        <v>257</v>
      </c>
      <c r="C59" s="913">
        <v>-1.2</v>
      </c>
      <c r="D59" s="913">
        <v>1.6</v>
      </c>
      <c r="E59" s="913">
        <v>3</v>
      </c>
      <c r="F59" s="913">
        <v>4.4000000000000004</v>
      </c>
      <c r="G59" s="913">
        <v>3.2</v>
      </c>
    </row>
    <row r="60" spans="1:7">
      <c r="A60" s="789"/>
      <c r="B60" s="880" t="s">
        <v>256</v>
      </c>
      <c r="C60" s="913">
        <v>5</v>
      </c>
      <c r="D60" s="913">
        <v>4.3</v>
      </c>
      <c r="E60" s="913">
        <v>3.8</v>
      </c>
      <c r="F60" s="913">
        <v>3.6</v>
      </c>
      <c r="G60" s="913">
        <v>3.5</v>
      </c>
    </row>
    <row r="61" spans="1:7">
      <c r="A61" s="789"/>
      <c r="B61" s="880" t="s">
        <v>255</v>
      </c>
      <c r="C61" s="913">
        <v>2.2999999999999998</v>
      </c>
      <c r="D61" s="913">
        <v>1.7</v>
      </c>
      <c r="E61" s="913">
        <v>2</v>
      </c>
      <c r="F61" s="913">
        <v>2</v>
      </c>
      <c r="G61" s="913">
        <v>2</v>
      </c>
    </row>
    <row r="62" spans="1:7">
      <c r="A62" s="789"/>
      <c r="B62" s="880" t="s">
        <v>254</v>
      </c>
      <c r="C62" s="913">
        <v>4</v>
      </c>
      <c r="D62" s="913">
        <v>4.0999999999999996</v>
      </c>
      <c r="E62" s="913">
        <v>4.0999999999999996</v>
      </c>
      <c r="F62" s="913">
        <v>4.0999999999999996</v>
      </c>
      <c r="G62" s="913">
        <v>4.0999999999999996</v>
      </c>
    </row>
    <row r="63" spans="1:7">
      <c r="A63" s="789"/>
      <c r="B63" s="880" t="s">
        <v>253</v>
      </c>
      <c r="C63" s="913">
        <v>3.3</v>
      </c>
      <c r="D63" s="913">
        <v>3</v>
      </c>
      <c r="E63" s="913">
        <v>3.3</v>
      </c>
      <c r="F63" s="913">
        <v>3.3</v>
      </c>
      <c r="G63" s="913">
        <v>3.3</v>
      </c>
    </row>
    <row r="64" spans="1:7">
      <c r="A64" s="789"/>
      <c r="B64" s="880" t="s">
        <v>252</v>
      </c>
      <c r="C64" s="913">
        <v>5.3</v>
      </c>
      <c r="D64" s="913">
        <v>4.4000000000000004</v>
      </c>
      <c r="E64" s="913">
        <v>4</v>
      </c>
      <c r="F64" s="913">
        <v>3.8</v>
      </c>
      <c r="G64" s="913">
        <v>3.8</v>
      </c>
    </row>
    <row r="65" spans="1:7">
      <c r="A65" s="789"/>
      <c r="B65" s="880"/>
    </row>
    <row r="66" spans="1:7" ht="13" thickBot="1">
      <c r="A66" s="789"/>
      <c r="B66" s="911" t="s">
        <v>247</v>
      </c>
    </row>
    <row r="67" spans="1:7">
      <c r="A67" s="789"/>
      <c r="B67" s="910" t="s">
        <v>259</v>
      </c>
      <c r="C67" s="914">
        <v>0.2</v>
      </c>
      <c r="D67" s="914">
        <v>-3.2</v>
      </c>
      <c r="E67" s="914">
        <v>0.5</v>
      </c>
      <c r="F67" s="914">
        <v>2.1</v>
      </c>
      <c r="G67" s="914">
        <v>1.3</v>
      </c>
    </row>
    <row r="68" spans="1:7">
      <c r="A68" s="789"/>
      <c r="B68" s="880" t="s">
        <v>258</v>
      </c>
      <c r="C68" s="913">
        <v>4.4000000000000004</v>
      </c>
      <c r="D68" s="913">
        <v>6.4</v>
      </c>
      <c r="E68" s="913">
        <v>6.9</v>
      </c>
      <c r="F68" s="913">
        <v>5.3</v>
      </c>
      <c r="G68" s="913">
        <v>4.7</v>
      </c>
    </row>
    <row r="69" spans="1:7">
      <c r="A69" s="789"/>
      <c r="B69" s="880" t="s">
        <v>257</v>
      </c>
      <c r="C69" s="913">
        <v>-3.6</v>
      </c>
      <c r="D69" s="913">
        <v>-23.3</v>
      </c>
      <c r="E69" s="913">
        <v>2.8</v>
      </c>
      <c r="F69" s="913">
        <v>15.6</v>
      </c>
      <c r="G69" s="913">
        <v>7.7</v>
      </c>
    </row>
    <row r="70" spans="1:7">
      <c r="A70" s="789"/>
      <c r="B70" s="880" t="s">
        <v>256</v>
      </c>
      <c r="C70" s="913">
        <v>5.9</v>
      </c>
      <c r="D70" s="913">
        <v>4</v>
      </c>
      <c r="E70" s="913">
        <v>1</v>
      </c>
      <c r="F70" s="913">
        <v>1</v>
      </c>
      <c r="G70" s="913">
        <v>1</v>
      </c>
    </row>
    <row r="71" spans="1:7">
      <c r="A71" s="789"/>
      <c r="B71" s="880" t="s">
        <v>255</v>
      </c>
      <c r="C71" s="913">
        <v>1.8</v>
      </c>
      <c r="D71" s="913">
        <v>-2.9</v>
      </c>
      <c r="E71" s="913">
        <v>1.2</v>
      </c>
      <c r="F71" s="913">
        <v>2.8</v>
      </c>
      <c r="G71" s="913">
        <v>1.6</v>
      </c>
    </row>
    <row r="72" spans="1:7">
      <c r="A72" s="789"/>
      <c r="B72" s="880" t="s">
        <v>254</v>
      </c>
      <c r="C72" s="913">
        <v>4.2</v>
      </c>
      <c r="D72" s="913">
        <v>6.3</v>
      </c>
      <c r="E72" s="913">
        <v>6.4</v>
      </c>
      <c r="F72" s="913">
        <v>5.3</v>
      </c>
      <c r="G72" s="913">
        <v>4.9000000000000004</v>
      </c>
    </row>
    <row r="73" spans="1:7">
      <c r="A73" s="789"/>
      <c r="B73" s="880" t="s">
        <v>253</v>
      </c>
      <c r="C73" s="913">
        <v>0.9</v>
      </c>
      <c r="D73" s="913">
        <v>-10.7</v>
      </c>
      <c r="E73" s="913">
        <v>2</v>
      </c>
      <c r="F73" s="913">
        <v>8</v>
      </c>
      <c r="G73" s="913">
        <v>5.3</v>
      </c>
    </row>
    <row r="74" spans="1:7">
      <c r="A74" s="789"/>
      <c r="B74" s="880" t="s">
        <v>252</v>
      </c>
      <c r="C74" s="913">
        <v>5.9</v>
      </c>
      <c r="D74" s="913">
        <v>4.0999999999999996</v>
      </c>
      <c r="E74" s="913">
        <v>1.5</v>
      </c>
      <c r="F74" s="913">
        <v>1.5</v>
      </c>
      <c r="G74" s="913">
        <v>1.5</v>
      </c>
    </row>
    <row r="75" spans="1:7" ht="13">
      <c r="A75" s="789"/>
      <c r="B75" s="915"/>
    </row>
    <row r="76" spans="1:7" ht="13" thickBot="1">
      <c r="A76" s="789"/>
      <c r="B76" s="911" t="s">
        <v>248</v>
      </c>
    </row>
    <row r="77" spans="1:7">
      <c r="A77" s="789"/>
      <c r="B77" s="910" t="s">
        <v>259</v>
      </c>
      <c r="C77" s="914">
        <v>0.4</v>
      </c>
      <c r="D77" s="914">
        <v>-1</v>
      </c>
      <c r="E77" s="914">
        <v>1</v>
      </c>
      <c r="F77" s="914">
        <v>1.9</v>
      </c>
      <c r="G77" s="914">
        <v>1.5</v>
      </c>
    </row>
    <row r="78" spans="1:7">
      <c r="A78" s="789"/>
      <c r="B78" s="880" t="s">
        <v>258</v>
      </c>
      <c r="C78" s="913">
        <v>4.3</v>
      </c>
      <c r="D78" s="913">
        <v>5.4</v>
      </c>
      <c r="E78" s="913">
        <v>5.6</v>
      </c>
      <c r="F78" s="913">
        <v>4.9000000000000004</v>
      </c>
      <c r="G78" s="913">
        <v>4.5999999999999996</v>
      </c>
    </row>
    <row r="79" spans="1:7">
      <c r="A79" s="789"/>
      <c r="B79" s="880" t="s">
        <v>257</v>
      </c>
      <c r="C79" s="913">
        <v>-2.4</v>
      </c>
      <c r="D79" s="913">
        <v>-11.5</v>
      </c>
      <c r="E79" s="913">
        <v>2.9</v>
      </c>
      <c r="F79" s="913">
        <v>9.9</v>
      </c>
      <c r="G79" s="913">
        <v>5.5</v>
      </c>
    </row>
    <row r="80" spans="1:7">
      <c r="A80" s="789"/>
      <c r="B80" s="880" t="s">
        <v>256</v>
      </c>
      <c r="C80" s="913">
        <v>5.5</v>
      </c>
      <c r="D80" s="913">
        <v>4.0999999999999996</v>
      </c>
      <c r="E80" s="913">
        <v>2.4</v>
      </c>
      <c r="F80" s="913">
        <v>2.2999999999999998</v>
      </c>
      <c r="G80" s="913">
        <v>2.2999999999999998</v>
      </c>
    </row>
    <row r="81" spans="1:7">
      <c r="A81" s="789"/>
      <c r="B81" s="880" t="s">
        <v>255</v>
      </c>
      <c r="C81" s="913">
        <v>2</v>
      </c>
      <c r="D81" s="913">
        <v>-0.6</v>
      </c>
      <c r="E81" s="913">
        <v>1.6</v>
      </c>
      <c r="F81" s="913">
        <v>2.4</v>
      </c>
      <c r="G81" s="913">
        <v>1.8</v>
      </c>
    </row>
    <row r="82" spans="1:7">
      <c r="A82" s="789"/>
      <c r="B82" s="880" t="s">
        <v>254</v>
      </c>
      <c r="C82" s="913">
        <v>4.0999999999999996</v>
      </c>
      <c r="D82" s="913">
        <v>5.2</v>
      </c>
      <c r="E82" s="913">
        <v>5.3</v>
      </c>
      <c r="F82" s="913">
        <v>4.7</v>
      </c>
      <c r="G82" s="913">
        <v>4.5</v>
      </c>
    </row>
    <row r="83" spans="1:7">
      <c r="A83" s="789"/>
      <c r="B83" s="880" t="s">
        <v>253</v>
      </c>
      <c r="C83" s="913">
        <v>2.1</v>
      </c>
      <c r="D83" s="913">
        <v>-4</v>
      </c>
      <c r="E83" s="913">
        <v>2.7</v>
      </c>
      <c r="F83" s="913">
        <v>5.6</v>
      </c>
      <c r="G83" s="913">
        <v>4.3</v>
      </c>
    </row>
    <row r="84" spans="1:7">
      <c r="A84" s="789"/>
      <c r="B84" s="880" t="s">
        <v>252</v>
      </c>
      <c r="C84" s="913">
        <v>5.6</v>
      </c>
      <c r="D84" s="913">
        <v>4.3</v>
      </c>
      <c r="E84" s="913">
        <v>2.8</v>
      </c>
      <c r="F84" s="913">
        <v>2.6</v>
      </c>
      <c r="G84" s="913">
        <v>2.6</v>
      </c>
    </row>
    <row r="85" spans="1:7" ht="13">
      <c r="A85" s="789"/>
      <c r="B85" s="915"/>
    </row>
    <row r="86" spans="1:7" ht="13" thickBot="1">
      <c r="A86" s="789"/>
      <c r="B86" s="911" t="s">
        <v>251</v>
      </c>
    </row>
    <row r="87" spans="1:7">
      <c r="A87" s="789"/>
      <c r="B87" s="910" t="s">
        <v>259</v>
      </c>
      <c r="C87" s="914">
        <v>1.1000000000000001</v>
      </c>
      <c r="D87" s="914">
        <v>3.9</v>
      </c>
      <c r="E87" s="914">
        <v>3.2</v>
      </c>
      <c r="F87" s="914">
        <v>2.6</v>
      </c>
      <c r="G87" s="914">
        <v>2.2999999999999998</v>
      </c>
    </row>
    <row r="88" spans="1:7">
      <c r="A88" s="789"/>
      <c r="B88" s="880" t="s">
        <v>258</v>
      </c>
      <c r="C88" s="913">
        <v>4.0999999999999996</v>
      </c>
      <c r="D88" s="913">
        <v>3.4</v>
      </c>
      <c r="E88" s="913">
        <v>3.4</v>
      </c>
      <c r="F88" s="913">
        <v>3.3</v>
      </c>
      <c r="G88" s="913">
        <v>3.2</v>
      </c>
    </row>
    <row r="89" spans="1:7">
      <c r="A89" s="789"/>
      <c r="B89" s="880" t="s">
        <v>257</v>
      </c>
      <c r="C89" s="913">
        <v>4.9000000000000004</v>
      </c>
      <c r="D89" s="913">
        <v>14.2</v>
      </c>
      <c r="E89" s="913">
        <v>6.8</v>
      </c>
      <c r="F89" s="913">
        <v>2.7</v>
      </c>
      <c r="G89" s="913">
        <v>3.8</v>
      </c>
    </row>
    <row r="90" spans="1:7">
      <c r="A90" s="789"/>
      <c r="B90" s="880" t="s">
        <v>256</v>
      </c>
      <c r="C90" s="913">
        <v>4.9000000000000004</v>
      </c>
      <c r="D90" s="913">
        <v>3.4</v>
      </c>
      <c r="E90" s="913">
        <v>2.6</v>
      </c>
      <c r="F90" s="913">
        <v>2.6</v>
      </c>
      <c r="G90" s="913">
        <v>2.5</v>
      </c>
    </row>
    <row r="91" spans="1:7">
      <c r="A91" s="789"/>
      <c r="B91" s="880" t="s">
        <v>255</v>
      </c>
      <c r="C91" s="913">
        <v>2.6</v>
      </c>
      <c r="D91" s="913">
        <v>3.2</v>
      </c>
      <c r="E91" s="913">
        <v>2.9</v>
      </c>
      <c r="F91" s="913">
        <v>2.8</v>
      </c>
      <c r="G91" s="913">
        <v>2.8</v>
      </c>
    </row>
    <row r="92" spans="1:7">
      <c r="A92" s="789"/>
      <c r="B92" s="880" t="s">
        <v>254</v>
      </c>
      <c r="C92" s="913">
        <v>3.7</v>
      </c>
      <c r="D92" s="913">
        <v>3.5</v>
      </c>
      <c r="E92" s="913">
        <v>3.4</v>
      </c>
      <c r="F92" s="913">
        <v>3.4</v>
      </c>
      <c r="G92" s="913">
        <v>3.4</v>
      </c>
    </row>
    <row r="93" spans="1:7">
      <c r="A93" s="789"/>
      <c r="B93" s="880" t="s">
        <v>253</v>
      </c>
      <c r="C93" s="913">
        <v>5.3</v>
      </c>
      <c r="D93" s="913">
        <v>3.9</v>
      </c>
      <c r="E93" s="913">
        <v>5</v>
      </c>
      <c r="F93" s="913">
        <v>4.5999999999999996</v>
      </c>
      <c r="G93" s="913">
        <v>4.5999999999999996</v>
      </c>
    </row>
    <row r="94" spans="1:7">
      <c r="A94" s="789"/>
      <c r="B94" s="880" t="s">
        <v>252</v>
      </c>
      <c r="C94" s="913">
        <v>5.2</v>
      </c>
      <c r="D94" s="913">
        <v>3.7</v>
      </c>
      <c r="E94" s="913">
        <v>3.1</v>
      </c>
      <c r="F94" s="913">
        <v>2.8</v>
      </c>
      <c r="G94" s="913">
        <v>2.8</v>
      </c>
    </row>
    <row r="95" spans="1:7" ht="13">
      <c r="A95" s="789"/>
      <c r="B95" s="915"/>
    </row>
    <row r="96" spans="1:7" ht="13" thickBot="1">
      <c r="A96" s="789"/>
      <c r="B96" s="911" t="s">
        <v>250</v>
      </c>
    </row>
    <row r="97" spans="1:7">
      <c r="A97" s="789"/>
      <c r="B97" s="910" t="s">
        <v>259</v>
      </c>
      <c r="C97" s="914">
        <v>0.9</v>
      </c>
      <c r="D97" s="914">
        <v>2.5</v>
      </c>
      <c r="E97" s="914">
        <v>2.4</v>
      </c>
      <c r="F97" s="914">
        <v>2.2000000000000002</v>
      </c>
      <c r="G97" s="914">
        <v>2</v>
      </c>
    </row>
    <row r="98" spans="1:7">
      <c r="A98" s="789"/>
      <c r="B98" s="880" t="s">
        <v>258</v>
      </c>
      <c r="C98" s="913">
        <v>4.2</v>
      </c>
      <c r="D98" s="913">
        <v>3.9</v>
      </c>
      <c r="E98" s="913">
        <v>3.9</v>
      </c>
      <c r="F98" s="913">
        <v>3.9</v>
      </c>
      <c r="G98" s="913">
        <v>3.8</v>
      </c>
    </row>
    <row r="99" spans="1:7">
      <c r="A99" s="789"/>
      <c r="B99" s="880" t="s">
        <v>257</v>
      </c>
      <c r="C99" s="913">
        <v>1.8</v>
      </c>
      <c r="D99" s="913">
        <v>7.8</v>
      </c>
      <c r="E99" s="913">
        <v>4.9000000000000004</v>
      </c>
      <c r="F99" s="913">
        <v>3.6</v>
      </c>
      <c r="G99" s="913">
        <v>3.5</v>
      </c>
    </row>
    <row r="100" spans="1:7">
      <c r="A100" s="789"/>
      <c r="B100" s="880" t="s">
        <v>256</v>
      </c>
      <c r="C100" s="913">
        <v>5</v>
      </c>
      <c r="D100" s="913">
        <v>3.8</v>
      </c>
      <c r="E100" s="913">
        <v>3.2</v>
      </c>
      <c r="F100" s="913">
        <v>3.1</v>
      </c>
      <c r="G100" s="913">
        <v>3</v>
      </c>
    </row>
    <row r="101" spans="1:7">
      <c r="A101" s="789"/>
      <c r="B101" s="880" t="s">
        <v>255</v>
      </c>
      <c r="C101" s="913">
        <v>2.4</v>
      </c>
      <c r="D101" s="913">
        <v>2.5</v>
      </c>
      <c r="E101" s="913">
        <v>2.4</v>
      </c>
      <c r="F101" s="913">
        <v>2.4</v>
      </c>
      <c r="G101" s="913">
        <v>2.4</v>
      </c>
    </row>
    <row r="102" spans="1:7">
      <c r="A102" s="789"/>
      <c r="B102" s="880" t="s">
        <v>254</v>
      </c>
      <c r="C102" s="913">
        <v>3.8</v>
      </c>
      <c r="D102" s="913">
        <v>3.8</v>
      </c>
      <c r="E102" s="913">
        <v>3.8</v>
      </c>
      <c r="F102" s="913">
        <v>3.8</v>
      </c>
      <c r="G102" s="913">
        <v>3.8</v>
      </c>
    </row>
    <row r="103" spans="1:7">
      <c r="A103" s="789"/>
      <c r="B103" s="880" t="s">
        <v>253</v>
      </c>
      <c r="C103" s="913">
        <v>4.3</v>
      </c>
      <c r="D103" s="913">
        <v>3.5</v>
      </c>
      <c r="E103" s="913">
        <v>4.2</v>
      </c>
      <c r="F103" s="913">
        <v>3.9</v>
      </c>
      <c r="G103" s="913">
        <v>3.9</v>
      </c>
    </row>
    <row r="104" spans="1:7">
      <c r="A104" s="789"/>
      <c r="B104" s="880" t="s">
        <v>252</v>
      </c>
      <c r="C104" s="913">
        <v>5.3</v>
      </c>
      <c r="D104" s="913">
        <v>4.0999999999999996</v>
      </c>
      <c r="E104" s="913">
        <v>3.5</v>
      </c>
      <c r="F104" s="913">
        <v>3.3</v>
      </c>
      <c r="G104" s="913">
        <v>3.3</v>
      </c>
    </row>
    <row r="105" spans="1:7">
      <c r="A105" s="789"/>
      <c r="B105" s="880"/>
      <c r="C105" s="851"/>
      <c r="D105" s="851"/>
      <c r="E105" s="851"/>
      <c r="F105" s="851"/>
      <c r="G105" s="789"/>
    </row>
    <row r="106" spans="1:7">
      <c r="A106" s="789"/>
      <c r="B106" s="1062" t="s">
        <v>127</v>
      </c>
      <c r="C106" s="912">
        <v>2023</v>
      </c>
      <c r="D106" s="912">
        <v>2024</v>
      </c>
      <c r="E106" s="912">
        <v>2025</v>
      </c>
      <c r="F106" s="912">
        <v>2026</v>
      </c>
      <c r="G106" s="912">
        <v>2027</v>
      </c>
    </row>
    <row r="107" spans="1:7" ht="13" thickBot="1">
      <c r="A107" s="789"/>
      <c r="B107" s="911" t="s">
        <v>249</v>
      </c>
      <c r="C107" s="906" t="s">
        <v>246</v>
      </c>
      <c r="D107" s="906" t="s">
        <v>246</v>
      </c>
      <c r="E107" s="906" t="s">
        <v>208</v>
      </c>
      <c r="F107" s="906" t="s">
        <v>208</v>
      </c>
      <c r="G107" s="906" t="s">
        <v>208</v>
      </c>
    </row>
    <row r="108" spans="1:7">
      <c r="A108" s="789"/>
      <c r="B108" s="910" t="s">
        <v>259</v>
      </c>
      <c r="C108" s="909">
        <v>0.5</v>
      </c>
      <c r="D108" s="909">
        <v>0.3</v>
      </c>
      <c r="E108" s="909">
        <v>1.2</v>
      </c>
      <c r="F108" s="909">
        <v>1.6</v>
      </c>
      <c r="G108" s="909">
        <v>1.6</v>
      </c>
    </row>
    <row r="109" spans="1:7">
      <c r="A109" s="789"/>
      <c r="B109" s="880" t="s">
        <v>258</v>
      </c>
      <c r="C109" s="879">
        <v>4.2</v>
      </c>
      <c r="D109" s="879">
        <v>4.7</v>
      </c>
      <c r="E109" s="879">
        <v>4.7</v>
      </c>
      <c r="F109" s="879">
        <v>4.8</v>
      </c>
      <c r="G109" s="879">
        <v>5</v>
      </c>
    </row>
    <row r="110" spans="1:7">
      <c r="A110" s="789"/>
      <c r="B110" s="880" t="s">
        <v>257</v>
      </c>
      <c r="C110" s="879">
        <v>-3.3</v>
      </c>
      <c r="D110" s="879">
        <v>-5.0999999999999996</v>
      </c>
      <c r="E110" s="879">
        <v>0.7</v>
      </c>
      <c r="F110" s="879">
        <v>3.1</v>
      </c>
      <c r="G110" s="879">
        <v>5.3</v>
      </c>
    </row>
    <row r="111" spans="1:7">
      <c r="A111" s="789"/>
      <c r="B111" s="880" t="s">
        <v>256</v>
      </c>
      <c r="C111" s="879">
        <v>4.7</v>
      </c>
      <c r="D111" s="879">
        <v>4.9000000000000004</v>
      </c>
      <c r="E111" s="879">
        <v>4.0999999999999996</v>
      </c>
      <c r="F111" s="879">
        <v>3.8</v>
      </c>
      <c r="G111" s="879">
        <v>3.5</v>
      </c>
    </row>
    <row r="112" spans="1:7">
      <c r="A112" s="789"/>
      <c r="B112" s="880" t="s">
        <v>255</v>
      </c>
      <c r="C112" s="879">
        <v>2.4</v>
      </c>
      <c r="D112" s="879">
        <v>1.3</v>
      </c>
      <c r="E112" s="879">
        <v>1.7</v>
      </c>
      <c r="F112" s="879">
        <v>1.9</v>
      </c>
      <c r="G112" s="879">
        <v>1.9</v>
      </c>
    </row>
    <row r="113" spans="1:7">
      <c r="A113" s="789"/>
      <c r="B113" s="880" t="s">
        <v>254</v>
      </c>
      <c r="C113" s="879">
        <v>3.7</v>
      </c>
      <c r="D113" s="879">
        <v>4.3</v>
      </c>
      <c r="E113" s="879">
        <v>4.3</v>
      </c>
      <c r="F113" s="879">
        <v>4.3</v>
      </c>
      <c r="G113" s="879">
        <v>4.3</v>
      </c>
    </row>
    <row r="114" spans="1:7">
      <c r="A114" s="789"/>
      <c r="B114" s="880" t="s">
        <v>253</v>
      </c>
      <c r="C114" s="879">
        <v>5.4</v>
      </c>
      <c r="D114" s="879">
        <v>3.4</v>
      </c>
      <c r="E114" s="879">
        <v>3</v>
      </c>
      <c r="F114" s="879">
        <v>3.3</v>
      </c>
      <c r="G114" s="879">
        <v>3.3</v>
      </c>
    </row>
    <row r="115" spans="1:7">
      <c r="A115" s="789"/>
      <c r="B115" s="880" t="s">
        <v>252</v>
      </c>
      <c r="C115" s="879">
        <v>5.0999999999999996</v>
      </c>
      <c r="D115" s="879">
        <v>5</v>
      </c>
      <c r="E115" s="879">
        <v>3.9</v>
      </c>
      <c r="F115" s="879">
        <v>3.8</v>
      </c>
      <c r="G115" s="879">
        <v>3.8</v>
      </c>
    </row>
    <row r="116" spans="1:7">
      <c r="A116" s="789"/>
      <c r="B116" s="880"/>
      <c r="C116" s="851"/>
      <c r="D116" s="851"/>
      <c r="E116" s="851"/>
      <c r="F116" s="851"/>
      <c r="G116" s="789"/>
    </row>
    <row r="117" spans="1:7" ht="13" thickBot="1">
      <c r="A117" s="789"/>
      <c r="B117" s="911" t="s">
        <v>247</v>
      </c>
      <c r="C117" s="906"/>
      <c r="D117" s="906"/>
      <c r="E117" s="906"/>
      <c r="F117" s="906"/>
      <c r="G117" s="906"/>
    </row>
    <row r="118" spans="1:7">
      <c r="A118" s="789"/>
      <c r="B118" s="910" t="s">
        <v>259</v>
      </c>
      <c r="C118" s="909">
        <v>0.5</v>
      </c>
      <c r="D118" s="909">
        <v>-1.5</v>
      </c>
      <c r="E118" s="909">
        <v>-2.6</v>
      </c>
      <c r="F118" s="909">
        <v>2.4</v>
      </c>
      <c r="G118" s="909">
        <v>1.6</v>
      </c>
    </row>
    <row r="119" spans="1:7">
      <c r="A119" s="789"/>
      <c r="B119" s="880" t="s">
        <v>258</v>
      </c>
      <c r="C119" s="879">
        <v>4.2</v>
      </c>
      <c r="D119" s="879">
        <v>5.2</v>
      </c>
      <c r="E119" s="879">
        <v>7.9</v>
      </c>
      <c r="F119" s="879">
        <v>6.3</v>
      </c>
      <c r="G119" s="879">
        <v>5.5</v>
      </c>
    </row>
    <row r="120" spans="1:7">
      <c r="A120" s="789"/>
      <c r="B120" s="880" t="s">
        <v>257</v>
      </c>
      <c r="C120" s="879">
        <v>-3.3</v>
      </c>
      <c r="D120" s="879">
        <v>-19.3</v>
      </c>
      <c r="E120" s="879">
        <v>-16.8</v>
      </c>
      <c r="F120" s="879">
        <v>14.5</v>
      </c>
      <c r="G120" s="879">
        <v>12.4</v>
      </c>
    </row>
    <row r="121" spans="1:7">
      <c r="A121" s="789"/>
      <c r="B121" s="880" t="s">
        <v>256</v>
      </c>
      <c r="C121" s="879">
        <v>4.7</v>
      </c>
      <c r="D121" s="879">
        <v>6.6</v>
      </c>
      <c r="E121" s="879">
        <v>1.3</v>
      </c>
      <c r="F121" s="879">
        <v>1</v>
      </c>
      <c r="G121" s="879">
        <v>1</v>
      </c>
    </row>
    <row r="122" spans="1:7">
      <c r="A122" s="789"/>
      <c r="B122" s="880" t="s">
        <v>255</v>
      </c>
      <c r="C122" s="879">
        <v>2.4</v>
      </c>
      <c r="D122" s="879">
        <v>-0.6</v>
      </c>
      <c r="E122" s="879">
        <v>-2</v>
      </c>
      <c r="F122" s="879">
        <v>3.1</v>
      </c>
      <c r="G122" s="879">
        <v>2</v>
      </c>
    </row>
    <row r="123" spans="1:7">
      <c r="A123" s="789"/>
      <c r="B123" s="880" t="s">
        <v>254</v>
      </c>
      <c r="C123" s="879">
        <v>3.7</v>
      </c>
      <c r="D123" s="879">
        <v>5.2</v>
      </c>
      <c r="E123" s="879">
        <v>7.2</v>
      </c>
      <c r="F123" s="879">
        <v>5.9</v>
      </c>
      <c r="G123" s="879">
        <v>5.2</v>
      </c>
    </row>
    <row r="124" spans="1:7">
      <c r="A124" s="789"/>
      <c r="B124" s="880" t="s">
        <v>253</v>
      </c>
      <c r="C124" s="879">
        <v>5.4</v>
      </c>
      <c r="D124" s="879">
        <v>-6.5</v>
      </c>
      <c r="E124" s="879">
        <v>-5.7</v>
      </c>
      <c r="F124" s="879">
        <v>7.2</v>
      </c>
      <c r="G124" s="879">
        <v>6.4</v>
      </c>
    </row>
    <row r="125" spans="1:7">
      <c r="A125" s="789"/>
      <c r="B125" s="880" t="s">
        <v>252</v>
      </c>
      <c r="C125" s="879">
        <v>5.0999999999999996</v>
      </c>
      <c r="D125" s="879">
        <v>6.3</v>
      </c>
      <c r="E125" s="879">
        <v>1.8</v>
      </c>
      <c r="F125" s="879">
        <v>1.5</v>
      </c>
      <c r="G125" s="879">
        <v>1.5</v>
      </c>
    </row>
    <row r="126" spans="1:7" ht="13">
      <c r="A126" s="789"/>
      <c r="B126" s="908"/>
      <c r="C126" s="880"/>
      <c r="D126" s="880"/>
      <c r="E126" s="880"/>
      <c r="F126" s="880"/>
      <c r="G126" s="880"/>
    </row>
    <row r="127" spans="1:7" ht="13" thickBot="1">
      <c r="A127" s="789"/>
      <c r="B127" s="911" t="s">
        <v>248</v>
      </c>
      <c r="C127" s="906"/>
      <c r="D127" s="906"/>
      <c r="E127" s="906"/>
      <c r="F127" s="906"/>
      <c r="G127" s="906"/>
    </row>
    <row r="128" spans="1:7">
      <c r="A128" s="789"/>
      <c r="B128" s="910" t="s">
        <v>259</v>
      </c>
      <c r="C128" s="909">
        <v>0.5</v>
      </c>
      <c r="D128" s="909">
        <v>-0.6</v>
      </c>
      <c r="E128" s="909">
        <v>-0.7</v>
      </c>
      <c r="F128" s="909">
        <v>2</v>
      </c>
      <c r="G128" s="909">
        <v>1.6</v>
      </c>
    </row>
    <row r="129" spans="1:7">
      <c r="A129" s="789"/>
      <c r="B129" s="880" t="s">
        <v>258</v>
      </c>
      <c r="C129" s="879">
        <v>4.2</v>
      </c>
      <c r="D129" s="879">
        <v>4.9000000000000004</v>
      </c>
      <c r="E129" s="879">
        <v>6.3</v>
      </c>
      <c r="F129" s="879">
        <v>5.6</v>
      </c>
      <c r="G129" s="879">
        <v>5.2</v>
      </c>
    </row>
    <row r="130" spans="1:7">
      <c r="A130" s="789"/>
      <c r="B130" s="880" t="s">
        <v>257</v>
      </c>
      <c r="C130" s="879">
        <v>-3.3</v>
      </c>
      <c r="D130" s="879">
        <v>-12.4</v>
      </c>
      <c r="E130" s="879">
        <v>-8.3000000000000007</v>
      </c>
      <c r="F130" s="879">
        <v>8.6999999999999993</v>
      </c>
      <c r="G130" s="879">
        <v>8.8000000000000007</v>
      </c>
    </row>
    <row r="131" spans="1:7">
      <c r="A131" s="789"/>
      <c r="B131" s="880" t="s">
        <v>256</v>
      </c>
      <c r="C131" s="879">
        <v>4.7</v>
      </c>
      <c r="D131" s="879">
        <v>5.8</v>
      </c>
      <c r="E131" s="879">
        <v>2.7</v>
      </c>
      <c r="F131" s="879">
        <v>2.5</v>
      </c>
      <c r="G131" s="879">
        <v>2.2999999999999998</v>
      </c>
    </row>
    <row r="132" spans="1:7">
      <c r="A132" s="789"/>
      <c r="B132" s="880" t="s">
        <v>255</v>
      </c>
      <c r="C132" s="879">
        <v>2.4</v>
      </c>
      <c r="D132" s="879">
        <v>0.3</v>
      </c>
      <c r="E132" s="879">
        <v>-0.2</v>
      </c>
      <c r="F132" s="879">
        <v>2.5</v>
      </c>
      <c r="G132" s="879">
        <v>1.9</v>
      </c>
    </row>
    <row r="133" spans="1:7">
      <c r="A133" s="789"/>
      <c r="B133" s="880" t="s">
        <v>254</v>
      </c>
      <c r="C133" s="879">
        <v>3.7</v>
      </c>
      <c r="D133" s="879">
        <v>4.7</v>
      </c>
      <c r="E133" s="879">
        <v>5.8</v>
      </c>
      <c r="F133" s="879">
        <v>5.0999999999999996</v>
      </c>
      <c r="G133" s="879">
        <v>4.8</v>
      </c>
    </row>
    <row r="134" spans="1:7">
      <c r="A134" s="789"/>
      <c r="B134" s="880" t="s">
        <v>253</v>
      </c>
      <c r="C134" s="879">
        <v>5.4</v>
      </c>
      <c r="D134" s="879">
        <v>-1.7</v>
      </c>
      <c r="E134" s="879">
        <v>-1.4</v>
      </c>
      <c r="F134" s="879">
        <v>5.2</v>
      </c>
      <c r="G134" s="879">
        <v>4.8</v>
      </c>
    </row>
    <row r="135" spans="1:7">
      <c r="A135" s="789"/>
      <c r="B135" s="880" t="s">
        <v>252</v>
      </c>
      <c r="C135" s="879">
        <v>5.0999999999999996</v>
      </c>
      <c r="D135" s="879">
        <v>5.7</v>
      </c>
      <c r="E135" s="879">
        <v>2.9</v>
      </c>
      <c r="F135" s="879">
        <v>2.8</v>
      </c>
      <c r="G135" s="879">
        <v>2.8</v>
      </c>
    </row>
    <row r="136" spans="1:7" ht="13">
      <c r="A136" s="789"/>
      <c r="B136" s="908"/>
      <c r="C136" s="880"/>
      <c r="D136" s="880"/>
      <c r="E136" s="880"/>
      <c r="F136" s="880"/>
      <c r="G136" s="880"/>
    </row>
    <row r="137" spans="1:7" ht="13" thickBot="1">
      <c r="A137" s="789"/>
      <c r="B137" s="911" t="s">
        <v>251</v>
      </c>
      <c r="C137" s="906"/>
      <c r="D137" s="906"/>
      <c r="E137" s="906"/>
      <c r="F137" s="906"/>
      <c r="G137" s="906"/>
    </row>
    <row r="138" spans="1:7">
      <c r="A138" s="789"/>
      <c r="B138" s="910" t="s">
        <v>259</v>
      </c>
      <c r="C138" s="909">
        <v>0.5</v>
      </c>
      <c r="D138" s="909">
        <v>2.4</v>
      </c>
      <c r="E138" s="909">
        <v>3.7</v>
      </c>
      <c r="F138" s="909">
        <v>2.9</v>
      </c>
      <c r="G138" s="909">
        <v>2.4</v>
      </c>
    </row>
    <row r="139" spans="1:7">
      <c r="A139" s="789"/>
      <c r="B139" s="880" t="s">
        <v>258</v>
      </c>
      <c r="C139" s="879">
        <v>4.2</v>
      </c>
      <c r="D139" s="879">
        <v>3.9</v>
      </c>
      <c r="E139" s="879">
        <v>3.5</v>
      </c>
      <c r="F139" s="879">
        <v>3.6</v>
      </c>
      <c r="G139" s="879">
        <v>3.6</v>
      </c>
    </row>
    <row r="140" spans="1:7">
      <c r="A140" s="789"/>
      <c r="B140" s="880" t="s">
        <v>257</v>
      </c>
      <c r="C140" s="879">
        <v>-3.3</v>
      </c>
      <c r="D140" s="879">
        <v>7.8</v>
      </c>
      <c r="E140" s="879">
        <v>7.6</v>
      </c>
      <c r="F140" s="879">
        <v>4.5</v>
      </c>
      <c r="G140" s="879">
        <v>5.6</v>
      </c>
    </row>
    <row r="141" spans="1:7">
      <c r="A141" s="789"/>
      <c r="B141" s="880" t="s">
        <v>256</v>
      </c>
      <c r="C141" s="879">
        <v>4.7</v>
      </c>
      <c r="D141" s="879">
        <v>4.3</v>
      </c>
      <c r="E141" s="879">
        <v>2.7</v>
      </c>
      <c r="F141" s="879">
        <v>2.5</v>
      </c>
      <c r="G141" s="879">
        <v>2.5</v>
      </c>
    </row>
    <row r="142" spans="1:7">
      <c r="A142" s="789"/>
      <c r="B142" s="880" t="s">
        <v>255</v>
      </c>
      <c r="C142" s="879">
        <v>2.4</v>
      </c>
      <c r="D142" s="879">
        <v>2.8</v>
      </c>
      <c r="E142" s="879">
        <v>3.1</v>
      </c>
      <c r="F142" s="879">
        <v>2.8</v>
      </c>
      <c r="G142" s="879">
        <v>2.8</v>
      </c>
    </row>
    <row r="143" spans="1:7">
      <c r="A143" s="789"/>
      <c r="B143" s="880" t="s">
        <v>254</v>
      </c>
      <c r="C143" s="879">
        <v>3.7</v>
      </c>
      <c r="D143" s="879">
        <v>3.5</v>
      </c>
      <c r="E143" s="879">
        <v>3.6</v>
      </c>
      <c r="F143" s="879">
        <v>3.6</v>
      </c>
      <c r="G143" s="879">
        <v>3.6</v>
      </c>
    </row>
    <row r="144" spans="1:7">
      <c r="A144" s="789"/>
      <c r="B144" s="880" t="s">
        <v>253</v>
      </c>
      <c r="C144" s="879">
        <v>5.4</v>
      </c>
      <c r="D144" s="879">
        <v>6.1</v>
      </c>
      <c r="E144" s="879">
        <v>4.3</v>
      </c>
      <c r="F144" s="879">
        <v>4.5</v>
      </c>
      <c r="G144" s="879">
        <v>4.5999999999999996</v>
      </c>
    </row>
    <row r="145" spans="1:7">
      <c r="A145" s="789"/>
      <c r="B145" s="880" t="s">
        <v>252</v>
      </c>
      <c r="C145" s="879">
        <v>5.0999999999999996</v>
      </c>
      <c r="D145" s="879">
        <v>4.3</v>
      </c>
      <c r="E145" s="879">
        <v>2.9</v>
      </c>
      <c r="F145" s="879">
        <v>2.8</v>
      </c>
      <c r="G145" s="879">
        <v>2.8</v>
      </c>
    </row>
    <row r="146" spans="1:7" ht="13">
      <c r="A146" s="789"/>
      <c r="B146" s="908"/>
      <c r="C146" s="880"/>
      <c r="D146" s="880"/>
      <c r="E146" s="880"/>
      <c r="F146" s="880"/>
      <c r="G146" s="880"/>
    </row>
    <row r="147" spans="1:7" ht="13" thickBot="1">
      <c r="A147" s="789"/>
      <c r="B147" s="911" t="s">
        <v>250</v>
      </c>
      <c r="C147" s="906"/>
      <c r="D147" s="906"/>
      <c r="E147" s="906"/>
      <c r="F147" s="906"/>
      <c r="G147" s="906"/>
    </row>
    <row r="148" spans="1:7">
      <c r="A148" s="789"/>
      <c r="B148" s="910" t="s">
        <v>259</v>
      </c>
      <c r="C148" s="909">
        <v>0.5</v>
      </c>
      <c r="D148" s="909">
        <v>1.4</v>
      </c>
      <c r="E148" s="909">
        <v>2.5</v>
      </c>
      <c r="F148" s="909">
        <v>2.2999999999999998</v>
      </c>
      <c r="G148" s="909">
        <v>2</v>
      </c>
    </row>
    <row r="149" spans="1:7">
      <c r="A149" s="789"/>
      <c r="B149" s="880" t="s">
        <v>258</v>
      </c>
      <c r="C149" s="879">
        <v>4.2</v>
      </c>
      <c r="D149" s="879">
        <v>4.3</v>
      </c>
      <c r="E149" s="879">
        <v>4.0999999999999996</v>
      </c>
      <c r="F149" s="879">
        <v>4.2</v>
      </c>
      <c r="G149" s="879">
        <v>4.3</v>
      </c>
    </row>
    <row r="150" spans="1:7">
      <c r="A150" s="789"/>
      <c r="B150" s="880" t="s">
        <v>257</v>
      </c>
      <c r="C150" s="879">
        <v>-3.3</v>
      </c>
      <c r="D150" s="879">
        <v>1.2</v>
      </c>
      <c r="E150" s="879">
        <v>4.0999999999999996</v>
      </c>
      <c r="F150" s="879">
        <v>3.8</v>
      </c>
      <c r="G150" s="879">
        <v>5.4</v>
      </c>
    </row>
    <row r="151" spans="1:7">
      <c r="A151" s="789"/>
      <c r="B151" s="880" t="s">
        <v>256</v>
      </c>
      <c r="C151" s="879">
        <v>4.7</v>
      </c>
      <c r="D151" s="879">
        <v>4.5999999999999996</v>
      </c>
      <c r="E151" s="879">
        <v>3.4</v>
      </c>
      <c r="F151" s="879">
        <v>3.3</v>
      </c>
      <c r="G151" s="879">
        <v>3</v>
      </c>
    </row>
    <row r="152" spans="1:7">
      <c r="A152" s="789"/>
      <c r="B152" s="880" t="s">
        <v>255</v>
      </c>
      <c r="C152" s="879">
        <v>2.4</v>
      </c>
      <c r="D152" s="879">
        <v>2</v>
      </c>
      <c r="E152" s="879">
        <v>2.4</v>
      </c>
      <c r="F152" s="879">
        <v>2.4</v>
      </c>
      <c r="G152" s="879">
        <v>2.4</v>
      </c>
    </row>
    <row r="153" spans="1:7">
      <c r="A153" s="789"/>
      <c r="B153" s="880" t="s">
        <v>254</v>
      </c>
      <c r="C153" s="879">
        <v>3.7</v>
      </c>
      <c r="D153" s="879">
        <v>3.9</v>
      </c>
      <c r="E153" s="879">
        <v>3.9</v>
      </c>
      <c r="F153" s="879">
        <v>4</v>
      </c>
      <c r="G153" s="879">
        <v>4</v>
      </c>
    </row>
    <row r="154" spans="1:7">
      <c r="A154" s="789"/>
      <c r="B154" s="880" t="s">
        <v>253</v>
      </c>
      <c r="C154" s="879">
        <v>5.4</v>
      </c>
      <c r="D154" s="879">
        <v>4.7</v>
      </c>
      <c r="E154" s="879">
        <v>3.7</v>
      </c>
      <c r="F154" s="879">
        <v>3.9</v>
      </c>
      <c r="G154" s="879">
        <v>3.9</v>
      </c>
    </row>
    <row r="155" spans="1:7">
      <c r="A155" s="789"/>
      <c r="B155" s="880" t="s">
        <v>252</v>
      </c>
      <c r="C155" s="879">
        <v>5.0999999999999996</v>
      </c>
      <c r="D155" s="879">
        <v>4.7</v>
      </c>
      <c r="E155" s="879">
        <v>3.5</v>
      </c>
      <c r="F155" s="879">
        <v>3.3</v>
      </c>
      <c r="G155" s="879">
        <v>3.3</v>
      </c>
    </row>
    <row r="156" spans="1:7" ht="13">
      <c r="A156" s="789"/>
      <c r="B156" s="908"/>
      <c r="C156" s="880"/>
      <c r="D156" s="880"/>
      <c r="E156" s="880"/>
      <c r="F156" s="880"/>
      <c r="G156" s="880"/>
    </row>
    <row r="157" spans="1:7" ht="15.5">
      <c r="A157" s="789"/>
      <c r="B157" s="907" t="s">
        <v>243</v>
      </c>
      <c r="C157" s="880"/>
      <c r="D157" s="880"/>
      <c r="E157" s="880"/>
      <c r="F157" s="880"/>
      <c r="G157" s="880"/>
    </row>
    <row r="158" spans="1:7">
      <c r="A158" s="789"/>
      <c r="B158" s="836"/>
      <c r="C158" s="786" t="s">
        <v>251</v>
      </c>
      <c r="D158" s="786" t="s">
        <v>250</v>
      </c>
      <c r="E158" s="786" t="s">
        <v>249</v>
      </c>
      <c r="F158" s="786" t="s">
        <v>248</v>
      </c>
      <c r="G158" s="786" t="s">
        <v>247</v>
      </c>
    </row>
    <row r="159" spans="1:7" ht="13" thickBot="1">
      <c r="A159" s="789"/>
      <c r="C159" s="906" t="s">
        <v>246</v>
      </c>
      <c r="D159" s="906" t="s">
        <v>246</v>
      </c>
      <c r="E159" s="906" t="s">
        <v>246</v>
      </c>
      <c r="F159" s="906" t="s">
        <v>246</v>
      </c>
      <c r="G159" s="906" t="s">
        <v>246</v>
      </c>
    </row>
    <row r="160" spans="1:7">
      <c r="A160" s="789"/>
      <c r="B160" s="1063" t="s">
        <v>169</v>
      </c>
      <c r="C160" s="904"/>
      <c r="D160" s="904"/>
      <c r="E160" s="904"/>
      <c r="F160" s="904"/>
      <c r="G160" s="904"/>
    </row>
    <row r="161" spans="1:8" ht="13" thickBot="1">
      <c r="A161" s="789"/>
      <c r="B161" s="905" t="s">
        <v>243</v>
      </c>
      <c r="C161" s="1056">
        <v>16.8</v>
      </c>
      <c r="D161" s="1056">
        <v>26.4</v>
      </c>
      <c r="E161" s="1056">
        <v>32.700000000000003</v>
      </c>
      <c r="F161" s="1056">
        <v>15.9</v>
      </c>
      <c r="G161" s="1056">
        <v>8.1999999999999993</v>
      </c>
      <c r="H161" s="1057"/>
    </row>
    <row r="162" spans="1:8">
      <c r="A162" s="789"/>
      <c r="B162" s="1064" t="s">
        <v>316</v>
      </c>
      <c r="C162" s="1058"/>
      <c r="D162" s="1058"/>
      <c r="E162" s="1058"/>
      <c r="F162" s="1058"/>
      <c r="G162" s="1058"/>
      <c r="H162" s="1057"/>
    </row>
    <row r="163" spans="1:8" ht="13" thickBot="1">
      <c r="A163" s="789"/>
      <c r="B163" s="905" t="s">
        <v>243</v>
      </c>
      <c r="C163" s="1059">
        <v>16.5</v>
      </c>
      <c r="D163" s="1059">
        <v>26.1</v>
      </c>
      <c r="E163" s="1061">
        <v>32.6</v>
      </c>
      <c r="F163" s="1060">
        <v>16.2</v>
      </c>
      <c r="G163" s="1060">
        <v>8.6</v>
      </c>
      <c r="H163" s="1057"/>
    </row>
    <row r="164" spans="1:8">
      <c r="A164" s="789"/>
      <c r="B164" s="1064" t="s">
        <v>127</v>
      </c>
      <c r="C164" s="904"/>
      <c r="D164" s="904"/>
      <c r="E164" s="904"/>
      <c r="F164" s="904"/>
      <c r="G164" s="904"/>
    </row>
    <row r="165" spans="1:8">
      <c r="A165" s="789"/>
      <c r="B165" s="880" t="s">
        <v>243</v>
      </c>
      <c r="C165" s="880">
        <v>13.8</v>
      </c>
      <c r="D165" s="880">
        <v>24.7</v>
      </c>
      <c r="E165" s="880">
        <v>32.4</v>
      </c>
      <c r="F165" s="821">
        <v>18.3</v>
      </c>
      <c r="G165" s="821">
        <v>10.8</v>
      </c>
    </row>
    <row r="166" spans="1:8">
      <c r="A166" s="789"/>
      <c r="B166" s="789"/>
      <c r="C166" s="789"/>
      <c r="D166" s="789"/>
      <c r="E166" s="789"/>
      <c r="F166" s="789"/>
      <c r="G166" s="789"/>
    </row>
    <row r="167" spans="1:8">
      <c r="A167" s="789"/>
      <c r="B167" s="789"/>
      <c r="C167" s="789"/>
      <c r="D167" s="789"/>
      <c r="E167" s="789"/>
      <c r="F167" s="789"/>
      <c r="G167" s="789"/>
    </row>
  </sheetData>
  <mergeCells count="1">
    <mergeCell ref="B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E651-91FE-458E-B99B-14E48C58F262}">
  <dimension ref="A1:E47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72.26953125" style="500" customWidth="1"/>
    <col min="3" max="5" width="10.453125" style="500" customWidth="1"/>
    <col min="6" max="16384" width="13.7265625" style="500"/>
  </cols>
  <sheetData>
    <row r="1" spans="1:5">
      <c r="C1" s="1087" t="s">
        <v>418</v>
      </c>
      <c r="D1" s="1087" t="s">
        <v>418</v>
      </c>
      <c r="E1" s="1087" t="s">
        <v>418</v>
      </c>
    </row>
    <row r="2" spans="1:5" ht="13">
      <c r="A2" s="789"/>
      <c r="B2" s="929" t="s">
        <v>294</v>
      </c>
      <c r="C2" s="1088" t="s">
        <v>245</v>
      </c>
      <c r="D2" s="1088" t="s">
        <v>260</v>
      </c>
      <c r="E2" s="1089" t="s">
        <v>244</v>
      </c>
    </row>
    <row r="3" spans="1:5">
      <c r="A3" s="789"/>
      <c r="B3" s="935" t="s">
        <v>293</v>
      </c>
      <c r="C3" s="934">
        <v>13.8</v>
      </c>
      <c r="D3" s="933">
        <v>13.6</v>
      </c>
      <c r="E3" s="933">
        <v>13.8</v>
      </c>
    </row>
    <row r="4" spans="1:5">
      <c r="A4" s="789"/>
      <c r="B4" s="880" t="s">
        <v>292</v>
      </c>
      <c r="C4" s="932">
        <v>17.3</v>
      </c>
      <c r="D4" s="931">
        <v>17.3</v>
      </c>
      <c r="E4" s="931">
        <v>17.7</v>
      </c>
    </row>
    <row r="5" spans="1:5">
      <c r="A5" s="789"/>
      <c r="B5" s="880" t="s">
        <v>266</v>
      </c>
      <c r="C5" s="932">
        <v>19.899999999999999</v>
      </c>
      <c r="D5" s="931">
        <v>19.899999999999999</v>
      </c>
      <c r="E5" s="931">
        <v>20.100000000000001</v>
      </c>
    </row>
    <row r="6" spans="1:5">
      <c r="A6" s="789"/>
      <c r="B6" s="880" t="s">
        <v>291</v>
      </c>
      <c r="C6" s="932">
        <v>34.9</v>
      </c>
      <c r="D6" s="931">
        <v>33.5</v>
      </c>
      <c r="E6" s="931">
        <v>33.6</v>
      </c>
    </row>
    <row r="7" spans="1:5" ht="15.5">
      <c r="A7" s="789"/>
      <c r="B7" s="930"/>
      <c r="C7" s="890"/>
      <c r="D7" s="890"/>
    </row>
    <row r="8" spans="1:5" ht="13">
      <c r="A8" s="789"/>
      <c r="B8" s="929" t="s">
        <v>290</v>
      </c>
      <c r="C8" s="1090" t="s">
        <v>1</v>
      </c>
      <c r="D8" s="1090" t="s">
        <v>1</v>
      </c>
      <c r="E8" s="1090" t="s">
        <v>1</v>
      </c>
    </row>
    <row r="9" spans="1:5">
      <c r="A9" s="789"/>
      <c r="B9" s="928" t="s">
        <v>289</v>
      </c>
      <c r="C9" s="842">
        <v>70972</v>
      </c>
      <c r="D9" s="918">
        <v>71173</v>
      </c>
      <c r="E9" s="918">
        <v>71204</v>
      </c>
    </row>
    <row r="10" spans="1:5">
      <c r="A10" s="789"/>
      <c r="B10" s="880" t="s">
        <v>288</v>
      </c>
      <c r="C10" s="785">
        <v>-11739</v>
      </c>
      <c r="D10" s="887">
        <v>-12959</v>
      </c>
      <c r="E10" s="887">
        <v>-13259</v>
      </c>
    </row>
    <row r="11" spans="1:5">
      <c r="A11" s="789"/>
      <c r="B11" s="880" t="s">
        <v>287</v>
      </c>
      <c r="C11" s="785">
        <v>-493</v>
      </c>
      <c r="D11" s="887">
        <v>-645</v>
      </c>
      <c r="E11" s="887">
        <v>-795</v>
      </c>
    </row>
    <row r="12" spans="1:5">
      <c r="A12" s="789"/>
      <c r="B12" s="880" t="s">
        <v>286</v>
      </c>
      <c r="C12" s="785">
        <v>-385</v>
      </c>
      <c r="D12" s="887">
        <v>-222</v>
      </c>
      <c r="E12" s="887">
        <v>0</v>
      </c>
    </row>
    <row r="13" spans="1:5">
      <c r="A13" s="789"/>
      <c r="B13" s="880" t="s">
        <v>285</v>
      </c>
      <c r="C13" s="785">
        <v>-40</v>
      </c>
      <c r="D13" s="887">
        <v>-41</v>
      </c>
      <c r="E13" s="887">
        <v>-43</v>
      </c>
    </row>
    <row r="14" spans="1:5">
      <c r="A14" s="789"/>
      <c r="B14" s="835"/>
      <c r="D14" s="851"/>
    </row>
    <row r="15" spans="1:5">
      <c r="A15" s="789"/>
      <c r="B15" s="835" t="s">
        <v>267</v>
      </c>
      <c r="D15" s="851"/>
    </row>
    <row r="16" spans="1:5">
      <c r="A16" s="789"/>
      <c r="B16" s="880" t="s">
        <v>284</v>
      </c>
      <c r="C16" s="785">
        <v>-1850</v>
      </c>
      <c r="D16" s="887">
        <v>-1887</v>
      </c>
      <c r="E16" s="887">
        <v>-1901</v>
      </c>
    </row>
    <row r="17" spans="1:5">
      <c r="A17" s="789"/>
      <c r="B17" s="880" t="s">
        <v>283</v>
      </c>
      <c r="C17" s="785">
        <v>-8111</v>
      </c>
      <c r="D17" s="887">
        <v>-7835</v>
      </c>
      <c r="E17" s="887">
        <v>-7790</v>
      </c>
    </row>
    <row r="18" spans="1:5">
      <c r="A18" s="789"/>
      <c r="B18" s="880" t="s">
        <v>282</v>
      </c>
      <c r="C18" s="785">
        <v>-1482</v>
      </c>
      <c r="D18" s="887">
        <v>-1630</v>
      </c>
      <c r="E18" s="887">
        <v>-1630</v>
      </c>
    </row>
    <row r="19" spans="1:5">
      <c r="A19" s="789"/>
      <c r="B19" s="880" t="s">
        <v>281</v>
      </c>
      <c r="C19" s="785">
        <v>2298</v>
      </c>
      <c r="D19" s="887">
        <v>3799</v>
      </c>
      <c r="E19" s="887">
        <v>3707</v>
      </c>
    </row>
    <row r="20" spans="1:5">
      <c r="A20" s="789"/>
      <c r="B20" s="880" t="s">
        <v>280</v>
      </c>
      <c r="C20" s="785">
        <v>-440</v>
      </c>
      <c r="D20" s="887">
        <v>-324</v>
      </c>
      <c r="E20" s="887">
        <v>-296</v>
      </c>
    </row>
    <row r="21" spans="1:5">
      <c r="A21" s="789"/>
      <c r="B21" s="880" t="s">
        <v>279</v>
      </c>
      <c r="C21" s="785">
        <v>656</v>
      </c>
      <c r="D21" s="887">
        <v>622</v>
      </c>
      <c r="E21" s="887">
        <v>136</v>
      </c>
    </row>
    <row r="22" spans="1:5">
      <c r="A22" s="789"/>
      <c r="B22" s="880" t="s">
        <v>278</v>
      </c>
      <c r="C22" s="785">
        <v>-2534</v>
      </c>
      <c r="D22" s="887">
        <v>-2564</v>
      </c>
      <c r="E22" s="887">
        <v>-2654</v>
      </c>
    </row>
    <row r="23" spans="1:5">
      <c r="A23" s="789"/>
      <c r="B23" s="880" t="s">
        <v>277</v>
      </c>
      <c r="C23" s="785">
        <v>-5</v>
      </c>
      <c r="D23" s="887">
        <v>-5</v>
      </c>
      <c r="E23" s="887">
        <v>-20</v>
      </c>
    </row>
    <row r="24" spans="1:5">
      <c r="A24" s="789"/>
      <c r="B24" s="880" t="s">
        <v>276</v>
      </c>
      <c r="C24" s="785">
        <v>83</v>
      </c>
      <c r="D24" s="887">
        <v>123</v>
      </c>
      <c r="E24" s="887">
        <v>288</v>
      </c>
    </row>
    <row r="25" spans="1:5">
      <c r="A25" s="789"/>
      <c r="B25" s="925" t="s">
        <v>275</v>
      </c>
      <c r="C25" s="856">
        <v>100</v>
      </c>
      <c r="D25" s="924">
        <v>90</v>
      </c>
      <c r="E25" s="924">
        <v>357</v>
      </c>
    </row>
    <row r="26" spans="1:5">
      <c r="A26" s="789"/>
      <c r="B26" s="928" t="s">
        <v>274</v>
      </c>
      <c r="C26" s="842">
        <v>47030</v>
      </c>
      <c r="D26" s="918">
        <v>47695</v>
      </c>
      <c r="E26" s="918">
        <v>47304</v>
      </c>
    </row>
    <row r="27" spans="1:5">
      <c r="A27" s="789"/>
      <c r="B27" s="880"/>
      <c r="C27" s="851"/>
      <c r="D27" s="851"/>
      <c r="E27" s="851"/>
    </row>
    <row r="28" spans="1:5">
      <c r="A28" s="789"/>
      <c r="B28" s="835" t="s">
        <v>273</v>
      </c>
      <c r="C28" s="851"/>
      <c r="D28" s="851"/>
    </row>
    <row r="29" spans="1:5">
      <c r="A29" s="789"/>
      <c r="B29" s="880" t="s">
        <v>270</v>
      </c>
      <c r="C29" s="785">
        <v>11755</v>
      </c>
      <c r="D29" s="887">
        <v>13000</v>
      </c>
      <c r="E29" s="887">
        <v>13263</v>
      </c>
    </row>
    <row r="30" spans="1:5">
      <c r="A30" s="789"/>
      <c r="B30" s="925" t="s">
        <v>267</v>
      </c>
      <c r="C30" s="856">
        <v>-16</v>
      </c>
      <c r="D30" s="924">
        <v>-41</v>
      </c>
      <c r="E30" s="924">
        <v>-60</v>
      </c>
    </row>
    <row r="31" spans="1:5">
      <c r="A31" s="789"/>
      <c r="B31" s="928" t="s">
        <v>273</v>
      </c>
      <c r="C31" s="842">
        <v>11739</v>
      </c>
      <c r="D31" s="918">
        <v>12959</v>
      </c>
      <c r="E31" s="918">
        <v>13203</v>
      </c>
    </row>
    <row r="32" spans="1:5">
      <c r="A32" s="789"/>
      <c r="B32" s="880"/>
      <c r="C32" s="851"/>
      <c r="D32" s="851"/>
    </row>
    <row r="33" spans="1:5">
      <c r="A33" s="789"/>
      <c r="B33" s="835" t="s">
        <v>272</v>
      </c>
      <c r="C33" s="927">
        <v>58769</v>
      </c>
      <c r="D33" s="926">
        <v>60654</v>
      </c>
      <c r="E33" s="926">
        <v>60507</v>
      </c>
    </row>
    <row r="34" spans="1:5">
      <c r="A34" s="789"/>
      <c r="B34" s="880"/>
      <c r="C34" s="851"/>
      <c r="D34" s="851"/>
    </row>
    <row r="35" spans="1:5">
      <c r="A35" s="789"/>
      <c r="B35" s="835" t="s">
        <v>271</v>
      </c>
      <c r="C35" s="851"/>
      <c r="D35" s="851"/>
    </row>
    <row r="36" spans="1:5">
      <c r="A36" s="789"/>
      <c r="B36" s="880" t="s">
        <v>270</v>
      </c>
      <c r="C36" s="785">
        <v>8587</v>
      </c>
      <c r="D36" s="887">
        <v>8836</v>
      </c>
      <c r="E36" s="887">
        <v>7966</v>
      </c>
    </row>
    <row r="37" spans="1:5">
      <c r="A37" s="789"/>
      <c r="B37" s="880" t="s">
        <v>269</v>
      </c>
      <c r="C37" s="785">
        <v>379</v>
      </c>
      <c r="D37" s="887">
        <v>385</v>
      </c>
      <c r="E37" s="887">
        <v>569</v>
      </c>
    </row>
    <row r="38" spans="1:5">
      <c r="A38" s="789"/>
      <c r="B38" s="880" t="s">
        <v>268</v>
      </c>
      <c r="C38" s="785">
        <v>0</v>
      </c>
      <c r="D38" s="887">
        <v>39</v>
      </c>
      <c r="E38" s="887">
        <v>0</v>
      </c>
    </row>
    <row r="39" spans="1:5">
      <c r="A39" s="789"/>
      <c r="B39" s="925" t="s">
        <v>267</v>
      </c>
      <c r="C39" s="856">
        <v>-19</v>
      </c>
      <c r="D39" s="924">
        <v>-43</v>
      </c>
      <c r="E39" s="924">
        <v>-160</v>
      </c>
    </row>
    <row r="40" spans="1:5">
      <c r="B40" s="919" t="s">
        <v>266</v>
      </c>
      <c r="C40" s="842">
        <v>67716</v>
      </c>
      <c r="D40" s="918">
        <v>69871</v>
      </c>
      <c r="E40" s="918">
        <v>68882</v>
      </c>
    </row>
    <row r="41" spans="1:5" ht="13">
      <c r="B41" s="788"/>
      <c r="C41" s="788"/>
      <c r="D41" s="788"/>
    </row>
    <row r="42" spans="1:5">
      <c r="B42" s="923" t="s">
        <v>265</v>
      </c>
      <c r="C42" s="785">
        <v>-379</v>
      </c>
      <c r="D42" s="887">
        <v>-385</v>
      </c>
      <c r="E42" s="887">
        <v>-569</v>
      </c>
    </row>
    <row r="43" spans="1:5">
      <c r="B43" s="923" t="s">
        <v>264</v>
      </c>
      <c r="C43" s="785">
        <v>51330</v>
      </c>
      <c r="D43" s="887">
        <v>48299</v>
      </c>
      <c r="E43" s="887">
        <v>46995</v>
      </c>
    </row>
    <row r="44" spans="1:5">
      <c r="B44" s="922"/>
      <c r="D44" s="920"/>
    </row>
    <row r="45" spans="1:5">
      <c r="B45" s="919" t="s">
        <v>263</v>
      </c>
      <c r="C45" s="842">
        <v>118667</v>
      </c>
      <c r="D45" s="918">
        <v>117785</v>
      </c>
      <c r="E45" s="918">
        <v>115308</v>
      </c>
    </row>
    <row r="46" spans="1:5" ht="13">
      <c r="B46" s="921"/>
      <c r="C46" s="921"/>
      <c r="D46" s="921"/>
      <c r="E46" s="920"/>
    </row>
    <row r="47" spans="1:5">
      <c r="B47" s="919" t="s">
        <v>262</v>
      </c>
      <c r="C47" s="842">
        <v>340401</v>
      </c>
      <c r="D47" s="918">
        <v>351433</v>
      </c>
      <c r="E47" s="918">
        <v>342717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9943-A0B2-452D-916C-F09E2DBBA37E}">
  <dimension ref="A1:D55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84.1796875" style="500" customWidth="1"/>
    <col min="3" max="4" width="11" style="500" customWidth="1"/>
    <col min="5" max="16384" width="13.7265625" style="500"/>
  </cols>
  <sheetData>
    <row r="1" spans="1:4" ht="14.15" customHeight="1">
      <c r="A1" s="789"/>
      <c r="B1" s="789"/>
      <c r="C1" s="789"/>
      <c r="D1" s="789"/>
    </row>
    <row r="2" spans="1:4" ht="14.15" customHeight="1">
      <c r="A2" s="789"/>
      <c r="B2" s="789"/>
      <c r="C2" s="789"/>
      <c r="D2" s="789"/>
    </row>
    <row r="3" spans="1:4" ht="45.65" customHeight="1">
      <c r="A3" s="789"/>
      <c r="B3" s="947" t="s">
        <v>314</v>
      </c>
      <c r="C3" s="1066" t="s">
        <v>419</v>
      </c>
      <c r="D3" s="1066" t="s">
        <v>420</v>
      </c>
    </row>
    <row r="4" spans="1:4" ht="13.4" customHeight="1" thickBot="1">
      <c r="A4" s="789"/>
      <c r="B4" s="946"/>
      <c r="C4" s="945" t="s">
        <v>1</v>
      </c>
      <c r="D4" s="945" t="s">
        <v>1</v>
      </c>
    </row>
    <row r="5" spans="1:4" ht="13.4" customHeight="1">
      <c r="A5" s="789"/>
      <c r="B5" s="937" t="s">
        <v>313</v>
      </c>
      <c r="C5" s="944">
        <v>47695</v>
      </c>
      <c r="D5" s="944">
        <v>47304</v>
      </c>
    </row>
    <row r="6" spans="1:4" ht="15" customHeight="1">
      <c r="A6" s="789"/>
      <c r="B6" s="836"/>
      <c r="C6" s="805"/>
      <c r="D6" s="805"/>
    </row>
    <row r="7" spans="1:4" ht="13.4" customHeight="1">
      <c r="A7" s="789"/>
      <c r="B7" s="880" t="s">
        <v>312</v>
      </c>
      <c r="C7" s="941">
        <v>1817</v>
      </c>
      <c r="D7" s="941">
        <v>5114</v>
      </c>
    </row>
    <row r="8" spans="1:4" ht="13.4" customHeight="1">
      <c r="A8" s="789"/>
      <c r="B8" s="880" t="s">
        <v>311</v>
      </c>
      <c r="C8" s="943">
        <v>3</v>
      </c>
      <c r="D8" s="943">
        <v>27</v>
      </c>
    </row>
    <row r="9" spans="1:4" ht="13.4" customHeight="1">
      <c r="A9" s="789"/>
      <c r="B9" s="880" t="s">
        <v>310</v>
      </c>
      <c r="C9" s="941">
        <v>-273</v>
      </c>
      <c r="D9" s="941">
        <v>-918</v>
      </c>
    </row>
    <row r="10" spans="1:4" ht="13.4" customHeight="1">
      <c r="A10" s="789"/>
      <c r="B10" s="880" t="s">
        <v>309</v>
      </c>
      <c r="C10" s="941">
        <v>-750</v>
      </c>
      <c r="D10" s="941">
        <v>-1750</v>
      </c>
    </row>
    <row r="11" spans="1:4" ht="13.4" customHeight="1" thickBot="1">
      <c r="A11" s="789"/>
      <c r="B11" s="939" t="s">
        <v>308</v>
      </c>
      <c r="C11" s="940">
        <v>-252</v>
      </c>
      <c r="D11" s="940">
        <v>-760</v>
      </c>
    </row>
    <row r="12" spans="1:4" ht="13.4" customHeight="1">
      <c r="A12" s="789"/>
      <c r="B12" s="937" t="s">
        <v>307</v>
      </c>
      <c r="C12" s="936">
        <v>545</v>
      </c>
      <c r="D12" s="936">
        <v>1713</v>
      </c>
    </row>
    <row r="13" spans="1:4" ht="15" customHeight="1">
      <c r="A13" s="789"/>
      <c r="B13" s="880"/>
      <c r="C13" s="851"/>
      <c r="D13" s="851"/>
    </row>
    <row r="14" spans="1:4" ht="13.4" customHeight="1">
      <c r="A14" s="789"/>
      <c r="B14" s="880" t="s">
        <v>306</v>
      </c>
      <c r="C14" s="941">
        <v>164</v>
      </c>
      <c r="D14" s="941">
        <v>94</v>
      </c>
    </row>
    <row r="15" spans="1:4" ht="13.4" customHeight="1">
      <c r="A15" s="789"/>
      <c r="B15" s="880" t="s">
        <v>305</v>
      </c>
      <c r="C15" s="943">
        <v>119</v>
      </c>
      <c r="D15" s="943">
        <v>-150</v>
      </c>
    </row>
    <row r="16" spans="1:4" ht="13.4" customHeight="1">
      <c r="A16" s="789"/>
      <c r="B16" s="880" t="s">
        <v>304</v>
      </c>
      <c r="C16" s="941">
        <v>-1244</v>
      </c>
      <c r="D16" s="941">
        <v>-1328</v>
      </c>
    </row>
    <row r="17" spans="1:4" ht="13.4" customHeight="1" thickBot="1">
      <c r="A17" s="789"/>
      <c r="B17" s="939" t="s">
        <v>303</v>
      </c>
      <c r="C17" s="940">
        <v>-8</v>
      </c>
      <c r="D17" s="940">
        <v>-111</v>
      </c>
    </row>
    <row r="18" spans="1:4" ht="13.4" customHeight="1">
      <c r="A18" s="789"/>
      <c r="B18" s="937" t="s">
        <v>302</v>
      </c>
      <c r="C18" s="936">
        <v>-969</v>
      </c>
      <c r="D18" s="936">
        <v>-1495</v>
      </c>
    </row>
    <row r="19" spans="1:4" ht="15" customHeight="1">
      <c r="A19" s="789"/>
      <c r="B19" s="880"/>
      <c r="C19" s="851"/>
      <c r="D19" s="851"/>
    </row>
    <row r="20" spans="1:4" ht="13.4" customHeight="1">
      <c r="A20" s="789"/>
      <c r="B20" s="880" t="s">
        <v>301</v>
      </c>
      <c r="C20" s="941">
        <v>-30</v>
      </c>
      <c r="D20" s="941">
        <v>-127</v>
      </c>
    </row>
    <row r="21" spans="1:4" ht="13.4" customHeight="1" thickBot="1">
      <c r="A21" s="789"/>
      <c r="B21" s="939" t="s">
        <v>300</v>
      </c>
      <c r="C21" s="942">
        <v>30</v>
      </c>
      <c r="D21" s="942">
        <v>120</v>
      </c>
    </row>
    <row r="22" spans="1:4" ht="13.4" customHeight="1">
      <c r="A22" s="789"/>
      <c r="B22" s="937" t="s">
        <v>299</v>
      </c>
      <c r="C22" s="936">
        <v>0</v>
      </c>
      <c r="D22" s="936">
        <v>-7</v>
      </c>
    </row>
    <row r="23" spans="1:4" ht="15" customHeight="1">
      <c r="A23" s="789"/>
      <c r="B23" s="880"/>
      <c r="C23" s="851"/>
      <c r="D23" s="851"/>
    </row>
    <row r="24" spans="1:4" ht="13.4" customHeight="1">
      <c r="A24" s="789"/>
      <c r="B24" s="880" t="s">
        <v>284</v>
      </c>
      <c r="C24" s="941">
        <v>37</v>
      </c>
      <c r="D24" s="941">
        <v>51</v>
      </c>
    </row>
    <row r="25" spans="1:4" ht="13.4" customHeight="1">
      <c r="A25" s="789"/>
      <c r="B25" s="880" t="s">
        <v>283</v>
      </c>
      <c r="C25" s="941">
        <v>-276</v>
      </c>
      <c r="D25" s="941">
        <v>-321</v>
      </c>
    </row>
    <row r="26" spans="1:4" ht="13.4" customHeight="1">
      <c r="A26" s="789"/>
      <c r="B26" s="880" t="s">
        <v>298</v>
      </c>
      <c r="C26" s="941">
        <v>148</v>
      </c>
      <c r="D26" s="941">
        <v>148</v>
      </c>
    </row>
    <row r="27" spans="1:4" ht="13.4" customHeight="1">
      <c r="A27" s="789"/>
      <c r="B27" s="880" t="s">
        <v>297</v>
      </c>
      <c r="C27" s="941">
        <v>-116</v>
      </c>
      <c r="D27" s="941">
        <v>-144</v>
      </c>
    </row>
    <row r="28" spans="1:4" ht="13.4" customHeight="1">
      <c r="A28" s="789"/>
      <c r="B28" s="880" t="s">
        <v>277</v>
      </c>
      <c r="C28" s="941">
        <v>0</v>
      </c>
      <c r="D28" s="941">
        <v>15</v>
      </c>
    </row>
    <row r="29" spans="1:4" ht="13.4" customHeight="1">
      <c r="A29" s="789"/>
      <c r="B29" s="880" t="s">
        <v>276</v>
      </c>
      <c r="C29" s="941">
        <v>-40</v>
      </c>
      <c r="D29" s="941">
        <v>-205</v>
      </c>
    </row>
    <row r="30" spans="1:4" ht="13.4" customHeight="1" thickBot="1">
      <c r="A30" s="789"/>
      <c r="B30" s="939" t="s">
        <v>275</v>
      </c>
      <c r="C30" s="940">
        <v>6</v>
      </c>
      <c r="D30" s="940">
        <v>-29</v>
      </c>
    </row>
    <row r="31" spans="1:4" ht="13.4" customHeight="1">
      <c r="A31" s="789"/>
      <c r="B31" s="937" t="s">
        <v>296</v>
      </c>
      <c r="C31" s="936">
        <v>-241</v>
      </c>
      <c r="D31" s="936">
        <v>-485</v>
      </c>
    </row>
    <row r="32" spans="1:4" ht="15" customHeight="1" thickBot="1">
      <c r="A32" s="789"/>
      <c r="B32" s="939"/>
      <c r="C32" s="938"/>
      <c r="D32" s="938"/>
    </row>
    <row r="33" spans="1:4" ht="13.4" customHeight="1">
      <c r="A33" s="789"/>
      <c r="B33" s="937" t="s">
        <v>295</v>
      </c>
      <c r="C33" s="936">
        <v>47030</v>
      </c>
      <c r="D33" s="936">
        <v>47030</v>
      </c>
    </row>
    <row r="34" spans="1:4" ht="15" customHeight="1">
      <c r="A34" s="789"/>
      <c r="B34" s="835"/>
      <c r="C34" s="833"/>
      <c r="D34" s="833"/>
    </row>
    <row r="35" spans="1:4" ht="17.5" customHeight="1">
      <c r="A35" s="789"/>
      <c r="B35" s="835"/>
      <c r="C35" s="835"/>
      <c r="D35" s="835"/>
    </row>
    <row r="36" spans="1:4" ht="15" customHeight="1"/>
    <row r="37" spans="1:4" ht="15" customHeight="1"/>
    <row r="38" spans="1:4" ht="15" customHeight="1"/>
    <row r="39" spans="1:4" ht="15" customHeight="1"/>
    <row r="40" spans="1:4" ht="15" customHeight="1"/>
    <row r="41" spans="1:4" ht="15" customHeight="1"/>
    <row r="42" spans="1:4" ht="15" customHeight="1"/>
    <row r="43" spans="1:4" ht="15" customHeight="1"/>
    <row r="44" spans="1:4" ht="15" customHeight="1"/>
    <row r="45" spans="1:4" ht="15" customHeight="1"/>
    <row r="46" spans="1:4" ht="15" customHeight="1"/>
    <row r="47" spans="1:4" ht="15" customHeight="1"/>
    <row r="48" spans="1: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9C78-F5CE-4114-991B-DF6146A6917E}">
  <dimension ref="A1:O31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32.7265625" style="500" customWidth="1"/>
    <col min="3" max="4" width="11" style="500" customWidth="1"/>
    <col min="5" max="5" width="0" style="500" hidden="1" customWidth="1"/>
    <col min="6" max="9" width="11" style="500" customWidth="1"/>
    <col min="10" max="10" width="0" style="500" hidden="1" customWidth="1"/>
    <col min="11" max="12" width="11" style="500" customWidth="1"/>
    <col min="13" max="13" width="0" style="500" hidden="1" customWidth="1"/>
    <col min="14" max="15" width="11" style="500" customWidth="1"/>
    <col min="16" max="16384" width="13.7265625" style="500"/>
  </cols>
  <sheetData>
    <row r="1" spans="1:15">
      <c r="A1" s="789"/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</row>
    <row r="2" spans="1:15" ht="15.5">
      <c r="A2" s="789"/>
      <c r="B2" s="1150" t="s">
        <v>326</v>
      </c>
      <c r="C2" s="1150"/>
      <c r="D2" s="1150"/>
      <c r="E2" s="1150"/>
      <c r="F2" s="1150"/>
      <c r="G2" s="1150"/>
      <c r="H2" s="1150"/>
      <c r="I2" s="1150"/>
      <c r="J2" s="1150"/>
      <c r="K2" s="1150"/>
      <c r="L2" s="1150"/>
      <c r="M2" s="1150"/>
      <c r="N2" s="1150"/>
      <c r="O2" s="1150"/>
    </row>
    <row r="3" spans="1:15" ht="15.5">
      <c r="A3" s="789"/>
      <c r="B3" s="968"/>
      <c r="C3" s="968"/>
      <c r="D3" s="968"/>
      <c r="E3" s="968"/>
      <c r="F3" s="968"/>
      <c r="G3" s="968"/>
      <c r="H3" s="968"/>
      <c r="I3" s="968"/>
      <c r="J3" s="968"/>
      <c r="K3" s="968"/>
      <c r="L3" s="968"/>
      <c r="M3" s="968"/>
      <c r="N3" s="968"/>
      <c r="O3" s="968"/>
    </row>
    <row r="4" spans="1:15" ht="13" thickBot="1">
      <c r="A4" s="789"/>
      <c r="B4" s="836"/>
      <c r="C4" s="1149" t="s">
        <v>325</v>
      </c>
      <c r="D4" s="1149"/>
      <c r="E4" s="903"/>
      <c r="F4" s="1149" t="s">
        <v>324</v>
      </c>
      <c r="G4" s="1149"/>
      <c r="H4" s="1149"/>
      <c r="I4" s="1149"/>
      <c r="J4" s="901"/>
      <c r="K4" s="1149" t="s">
        <v>323</v>
      </c>
      <c r="L4" s="1149"/>
      <c r="M4" s="901"/>
      <c r="N4" s="967" t="s">
        <v>322</v>
      </c>
      <c r="O4" s="967" t="s">
        <v>262</v>
      </c>
    </row>
    <row r="5" spans="1:15" ht="14.5">
      <c r="A5" s="789"/>
      <c r="B5" s="836"/>
      <c r="C5" s="965" t="s">
        <v>318</v>
      </c>
      <c r="D5" s="965" t="s">
        <v>321</v>
      </c>
      <c r="E5" s="964"/>
      <c r="F5" s="965" t="s">
        <v>318</v>
      </c>
      <c r="G5" s="965" t="s">
        <v>321</v>
      </c>
      <c r="H5" s="965" t="s">
        <v>320</v>
      </c>
      <c r="I5" s="965" t="s">
        <v>319</v>
      </c>
      <c r="J5" s="966"/>
      <c r="K5" s="965" t="s">
        <v>318</v>
      </c>
      <c r="L5" s="965" t="s">
        <v>317</v>
      </c>
      <c r="M5" s="964"/>
      <c r="N5" s="965"/>
      <c r="O5" s="965"/>
    </row>
    <row r="6" spans="1:15" ht="13" thickBot="1">
      <c r="A6" s="789"/>
      <c r="B6" s="959" t="s">
        <v>169</v>
      </c>
      <c r="C6" s="963" t="s">
        <v>1</v>
      </c>
      <c r="D6" s="963" t="s">
        <v>1</v>
      </c>
      <c r="E6" s="964"/>
      <c r="F6" s="963" t="s">
        <v>1</v>
      </c>
      <c r="G6" s="963" t="s">
        <v>1</v>
      </c>
      <c r="H6" s="963" t="s">
        <v>1</v>
      </c>
      <c r="I6" s="963" t="s">
        <v>1</v>
      </c>
      <c r="J6" s="964"/>
      <c r="K6" s="963" t="s">
        <v>1</v>
      </c>
      <c r="L6" s="963" t="s">
        <v>1</v>
      </c>
      <c r="M6" s="964"/>
      <c r="N6" s="963" t="s">
        <v>1</v>
      </c>
      <c r="O6" s="963" t="s">
        <v>1</v>
      </c>
    </row>
    <row r="7" spans="1:15">
      <c r="A7" s="789"/>
      <c r="B7" s="956" t="s">
        <v>15</v>
      </c>
      <c r="C7" s="936">
        <v>9606</v>
      </c>
      <c r="D7" s="936">
        <v>55792</v>
      </c>
      <c r="E7" s="835"/>
      <c r="F7" s="936">
        <v>100</v>
      </c>
      <c r="G7" s="936">
        <v>13</v>
      </c>
      <c r="H7" s="936">
        <v>0</v>
      </c>
      <c r="I7" s="936">
        <v>52</v>
      </c>
      <c r="J7" s="835"/>
      <c r="K7" s="936">
        <v>199</v>
      </c>
      <c r="L7" s="936">
        <v>0</v>
      </c>
      <c r="M7" s="835"/>
      <c r="N7" s="936">
        <v>11715</v>
      </c>
      <c r="O7" s="936">
        <v>77477</v>
      </c>
    </row>
    <row r="8" spans="1:15">
      <c r="A8" s="789"/>
      <c r="B8" s="953" t="s">
        <v>122</v>
      </c>
      <c r="C8" s="962">
        <v>3790</v>
      </c>
      <c r="D8" s="962">
        <v>14275</v>
      </c>
      <c r="E8" s="835"/>
      <c r="F8" s="962">
        <v>93</v>
      </c>
      <c r="G8" s="962">
        <v>389</v>
      </c>
      <c r="H8" s="962">
        <v>0</v>
      </c>
      <c r="I8" s="962">
        <v>10</v>
      </c>
      <c r="J8" s="835"/>
      <c r="K8" s="962">
        <v>5</v>
      </c>
      <c r="L8" s="962">
        <v>507</v>
      </c>
      <c r="M8" s="835"/>
      <c r="N8" s="962">
        <v>3024</v>
      </c>
      <c r="O8" s="962">
        <v>22093</v>
      </c>
    </row>
    <row r="9" spans="1:15">
      <c r="A9" s="789"/>
      <c r="B9" s="953" t="s">
        <v>315</v>
      </c>
      <c r="C9" s="962">
        <v>4846</v>
      </c>
      <c r="D9" s="962">
        <v>482</v>
      </c>
      <c r="E9" s="835"/>
      <c r="F9" s="962">
        <v>80</v>
      </c>
      <c r="G9" s="962">
        <v>24</v>
      </c>
      <c r="H9" s="962">
        <v>0</v>
      </c>
      <c r="I9" s="962">
        <v>11</v>
      </c>
      <c r="J9" s="835"/>
      <c r="K9" s="962">
        <v>41</v>
      </c>
      <c r="L9" s="962">
        <v>305</v>
      </c>
      <c r="M9" s="835"/>
      <c r="N9" s="962">
        <v>1546</v>
      </c>
      <c r="O9" s="962">
        <v>7335</v>
      </c>
    </row>
    <row r="10" spans="1:15">
      <c r="A10" s="789"/>
      <c r="B10" s="953" t="s">
        <v>124</v>
      </c>
      <c r="C10" s="962">
        <v>38757</v>
      </c>
      <c r="D10" s="962">
        <v>47864</v>
      </c>
      <c r="E10" s="835"/>
      <c r="F10" s="962">
        <v>20458</v>
      </c>
      <c r="G10" s="962">
        <v>23709</v>
      </c>
      <c r="H10" s="962">
        <v>118</v>
      </c>
      <c r="I10" s="962">
        <v>2466</v>
      </c>
      <c r="J10" s="835"/>
      <c r="K10" s="962">
        <v>13087</v>
      </c>
      <c r="L10" s="962">
        <v>23559</v>
      </c>
      <c r="M10" s="835"/>
      <c r="N10" s="962">
        <v>24179</v>
      </c>
      <c r="O10" s="962">
        <v>194197</v>
      </c>
    </row>
    <row r="11" spans="1:15">
      <c r="A11" s="789"/>
      <c r="B11" s="953" t="s">
        <v>125</v>
      </c>
      <c r="C11" s="962">
        <v>18316</v>
      </c>
      <c r="D11" s="962">
        <v>839</v>
      </c>
      <c r="E11" s="835"/>
      <c r="F11" s="962">
        <v>0</v>
      </c>
      <c r="G11" s="962">
        <v>0</v>
      </c>
      <c r="H11" s="962">
        <v>0</v>
      </c>
      <c r="I11" s="962">
        <v>0</v>
      </c>
      <c r="J11" s="835"/>
      <c r="K11" s="962">
        <v>0</v>
      </c>
      <c r="L11" s="962">
        <v>0</v>
      </c>
      <c r="M11" s="835"/>
      <c r="N11" s="962">
        <v>4051</v>
      </c>
      <c r="O11" s="962">
        <v>23206</v>
      </c>
    </row>
    <row r="12" spans="1:15" ht="13" thickBot="1">
      <c r="A12" s="789"/>
      <c r="B12" s="951" t="s">
        <v>11</v>
      </c>
      <c r="C12" s="961">
        <v>6488</v>
      </c>
      <c r="D12" s="961">
        <v>8346</v>
      </c>
      <c r="E12" s="880"/>
      <c r="F12" s="961">
        <v>1</v>
      </c>
      <c r="G12" s="961">
        <v>15</v>
      </c>
      <c r="H12" s="961">
        <v>0</v>
      </c>
      <c r="I12" s="961">
        <v>3</v>
      </c>
      <c r="J12" s="880"/>
      <c r="K12" s="961">
        <v>1</v>
      </c>
      <c r="L12" s="961">
        <v>196</v>
      </c>
      <c r="M12" s="880"/>
      <c r="N12" s="961">
        <v>1043</v>
      </c>
      <c r="O12" s="961">
        <v>16093</v>
      </c>
    </row>
    <row r="13" spans="1:15">
      <c r="A13" s="789"/>
      <c r="B13" s="949" t="s">
        <v>12</v>
      </c>
      <c r="C13" s="936">
        <v>81803</v>
      </c>
      <c r="D13" s="936">
        <v>127598</v>
      </c>
      <c r="E13" s="880"/>
      <c r="F13" s="936">
        <v>20732</v>
      </c>
      <c r="G13" s="936">
        <v>24150</v>
      </c>
      <c r="H13" s="936">
        <v>118</v>
      </c>
      <c r="I13" s="936">
        <v>2542</v>
      </c>
      <c r="J13" s="880"/>
      <c r="K13" s="936">
        <v>13333</v>
      </c>
      <c r="L13" s="936">
        <v>24567</v>
      </c>
      <c r="M13" s="880"/>
      <c r="N13" s="936">
        <v>45558</v>
      </c>
      <c r="O13" s="936">
        <v>340401</v>
      </c>
    </row>
    <row r="14" spans="1:15">
      <c r="A14" s="789"/>
      <c r="B14" s="836"/>
      <c r="C14" s="835"/>
      <c r="D14" s="835"/>
      <c r="E14" s="835"/>
      <c r="F14" s="835"/>
      <c r="G14" s="835"/>
      <c r="H14" s="835"/>
      <c r="I14" s="960"/>
      <c r="J14" s="835"/>
      <c r="K14" s="835"/>
      <c r="L14" s="835"/>
      <c r="M14" s="835"/>
      <c r="N14" s="835"/>
      <c r="O14" s="835"/>
    </row>
    <row r="15" spans="1:15" ht="13" thickBot="1">
      <c r="A15" s="789"/>
      <c r="B15" s="959" t="s">
        <v>316</v>
      </c>
      <c r="C15" s="957"/>
      <c r="D15" s="957"/>
      <c r="E15" s="835"/>
      <c r="F15" s="957"/>
      <c r="G15" s="957"/>
      <c r="H15" s="957"/>
      <c r="I15" s="958"/>
      <c r="J15" s="835"/>
      <c r="K15" s="957"/>
      <c r="L15" s="957"/>
      <c r="M15" s="835"/>
      <c r="N15" s="957"/>
      <c r="O15" s="957"/>
    </row>
    <row r="16" spans="1:15">
      <c r="A16" s="789"/>
      <c r="B16" s="956" t="s">
        <v>15</v>
      </c>
      <c r="C16" s="955">
        <v>9349</v>
      </c>
      <c r="D16" s="955">
        <v>55055</v>
      </c>
      <c r="E16" s="880"/>
      <c r="F16" s="955">
        <v>101</v>
      </c>
      <c r="G16" s="955">
        <v>12</v>
      </c>
      <c r="H16" s="955">
        <v>0</v>
      </c>
      <c r="I16" s="955">
        <v>72</v>
      </c>
      <c r="J16" s="880"/>
      <c r="K16" s="955">
        <v>169</v>
      </c>
      <c r="L16" s="955">
        <v>0</v>
      </c>
      <c r="M16" s="880"/>
      <c r="N16" s="955">
        <v>11715</v>
      </c>
      <c r="O16" s="955">
        <v>76473</v>
      </c>
    </row>
    <row r="17" spans="1:15">
      <c r="A17" s="789"/>
      <c r="B17" s="953" t="s">
        <v>122</v>
      </c>
      <c r="C17" s="954">
        <v>4033</v>
      </c>
      <c r="D17" s="954">
        <v>13881</v>
      </c>
      <c r="E17" s="880"/>
      <c r="F17" s="954">
        <v>91</v>
      </c>
      <c r="G17" s="954">
        <v>327</v>
      </c>
      <c r="H17" s="954">
        <v>0</v>
      </c>
      <c r="I17" s="954">
        <v>12</v>
      </c>
      <c r="J17" s="880"/>
      <c r="K17" s="954">
        <v>3</v>
      </c>
      <c r="L17" s="954">
        <v>487</v>
      </c>
      <c r="M17" s="880"/>
      <c r="N17" s="954">
        <v>3024</v>
      </c>
      <c r="O17" s="954">
        <v>21858</v>
      </c>
    </row>
    <row r="18" spans="1:15">
      <c r="A18" s="789"/>
      <c r="B18" s="953" t="s">
        <v>315</v>
      </c>
      <c r="C18" s="954">
        <v>4612</v>
      </c>
      <c r="D18" s="954">
        <v>467</v>
      </c>
      <c r="E18" s="880"/>
      <c r="F18" s="954">
        <v>85</v>
      </c>
      <c r="G18" s="954">
        <v>33</v>
      </c>
      <c r="H18" s="954">
        <v>0</v>
      </c>
      <c r="I18" s="954">
        <v>13</v>
      </c>
      <c r="J18" s="880"/>
      <c r="K18" s="954">
        <v>0</v>
      </c>
      <c r="L18" s="954">
        <v>293</v>
      </c>
      <c r="M18" s="880"/>
      <c r="N18" s="954">
        <v>1546</v>
      </c>
      <c r="O18" s="954">
        <v>7049</v>
      </c>
    </row>
    <row r="19" spans="1:15">
      <c r="A19" s="789"/>
      <c r="B19" s="953" t="s">
        <v>124</v>
      </c>
      <c r="C19" s="952">
        <v>41151</v>
      </c>
      <c r="D19" s="952">
        <v>50854</v>
      </c>
      <c r="E19" s="821"/>
      <c r="F19" s="952">
        <v>20426</v>
      </c>
      <c r="G19" s="952">
        <v>23636</v>
      </c>
      <c r="H19" s="952">
        <v>159</v>
      </c>
      <c r="I19" s="952">
        <v>2897</v>
      </c>
      <c r="J19" s="821"/>
      <c r="K19" s="952">
        <v>14173</v>
      </c>
      <c r="L19" s="952">
        <v>25811</v>
      </c>
      <c r="M19" s="821"/>
      <c r="N19" s="952">
        <v>24179</v>
      </c>
      <c r="O19" s="952">
        <v>203286</v>
      </c>
    </row>
    <row r="20" spans="1:15">
      <c r="A20" s="789"/>
      <c r="B20" s="953" t="s">
        <v>125</v>
      </c>
      <c r="C20" s="952">
        <v>19462</v>
      </c>
      <c r="D20" s="952">
        <v>917</v>
      </c>
      <c r="E20" s="821"/>
      <c r="F20" s="952">
        <v>0</v>
      </c>
      <c r="G20" s="952">
        <v>0</v>
      </c>
      <c r="H20" s="952">
        <v>0</v>
      </c>
      <c r="I20" s="952">
        <v>0</v>
      </c>
      <c r="J20" s="821"/>
      <c r="K20" s="952">
        <v>0</v>
      </c>
      <c r="L20" s="952">
        <v>0</v>
      </c>
      <c r="M20" s="821"/>
      <c r="N20" s="952">
        <v>4051</v>
      </c>
      <c r="O20" s="952">
        <v>24430</v>
      </c>
    </row>
    <row r="21" spans="1:15" ht="13" thickBot="1">
      <c r="A21" s="789"/>
      <c r="B21" s="951" t="s">
        <v>11</v>
      </c>
      <c r="C21" s="950">
        <v>6470</v>
      </c>
      <c r="D21" s="950">
        <v>10609</v>
      </c>
      <c r="E21" s="821"/>
      <c r="F21" s="950">
        <v>1</v>
      </c>
      <c r="G21" s="950">
        <v>21</v>
      </c>
      <c r="H21" s="950">
        <v>0</v>
      </c>
      <c r="I21" s="950">
        <v>4</v>
      </c>
      <c r="J21" s="821"/>
      <c r="K21" s="950">
        <v>1</v>
      </c>
      <c r="L21" s="950">
        <v>188</v>
      </c>
      <c r="M21" s="821"/>
      <c r="N21" s="950">
        <v>1043</v>
      </c>
      <c r="O21" s="950">
        <v>18337</v>
      </c>
    </row>
    <row r="22" spans="1:15">
      <c r="A22" s="789"/>
      <c r="B22" s="949" t="s">
        <v>12</v>
      </c>
      <c r="C22" s="948">
        <v>85077</v>
      </c>
      <c r="D22" s="948">
        <v>131783</v>
      </c>
      <c r="E22" s="821"/>
      <c r="F22" s="948">
        <v>20704</v>
      </c>
      <c r="G22" s="948">
        <v>24029</v>
      </c>
      <c r="H22" s="948">
        <v>159</v>
      </c>
      <c r="I22" s="948">
        <v>2998</v>
      </c>
      <c r="J22" s="821"/>
      <c r="K22" s="948">
        <v>14346</v>
      </c>
      <c r="L22" s="948">
        <v>26779</v>
      </c>
      <c r="M22" s="821"/>
      <c r="N22" s="948">
        <v>45558</v>
      </c>
      <c r="O22" s="948">
        <v>351433</v>
      </c>
    </row>
    <row r="23" spans="1:15">
      <c r="B23" s="836"/>
      <c r="C23" s="835"/>
      <c r="D23" s="835"/>
      <c r="E23" s="835"/>
      <c r="F23" s="835"/>
      <c r="G23" s="835"/>
      <c r="H23" s="835"/>
      <c r="I23" s="960"/>
      <c r="J23" s="835"/>
      <c r="K23" s="835"/>
      <c r="L23" s="835"/>
      <c r="M23" s="835"/>
      <c r="N23" s="835"/>
      <c r="O23" s="835"/>
    </row>
    <row r="24" spans="1:15" ht="13" thickBot="1">
      <c r="B24" s="959" t="s">
        <v>127</v>
      </c>
      <c r="C24" s="957"/>
      <c r="D24" s="957"/>
      <c r="E24" s="835"/>
      <c r="F24" s="957"/>
      <c r="G24" s="957"/>
      <c r="H24" s="957"/>
      <c r="I24" s="958"/>
      <c r="J24" s="835"/>
      <c r="K24" s="957"/>
      <c r="L24" s="957"/>
      <c r="M24" s="835"/>
      <c r="N24" s="957"/>
      <c r="O24" s="957"/>
    </row>
    <row r="25" spans="1:15">
      <c r="B25" s="956" t="s">
        <v>15</v>
      </c>
      <c r="C25" s="955">
        <v>10472</v>
      </c>
      <c r="D25" s="955">
        <v>50761</v>
      </c>
      <c r="E25" s="880"/>
      <c r="F25" s="955">
        <v>178</v>
      </c>
      <c r="G25" s="955">
        <v>0</v>
      </c>
      <c r="H25" s="955">
        <v>0</v>
      </c>
      <c r="I25" s="955">
        <v>94</v>
      </c>
      <c r="J25" s="880"/>
      <c r="K25" s="955">
        <v>274</v>
      </c>
      <c r="L25" s="955">
        <v>0</v>
      </c>
      <c r="M25" s="880"/>
      <c r="N25" s="955">
        <v>11715</v>
      </c>
      <c r="O25" s="955">
        <v>73494</v>
      </c>
    </row>
    <row r="26" spans="1:15">
      <c r="B26" s="953" t="s">
        <v>122</v>
      </c>
      <c r="C26" s="954">
        <v>3458</v>
      </c>
      <c r="D26" s="954">
        <v>13415</v>
      </c>
      <c r="E26" s="880"/>
      <c r="F26" s="954">
        <v>262</v>
      </c>
      <c r="G26" s="954">
        <v>167</v>
      </c>
      <c r="H26" s="954">
        <v>0</v>
      </c>
      <c r="I26" s="954">
        <v>14</v>
      </c>
      <c r="J26" s="880"/>
      <c r="K26" s="954">
        <v>2</v>
      </c>
      <c r="L26" s="954">
        <v>541</v>
      </c>
      <c r="M26" s="880"/>
      <c r="N26" s="954">
        <v>3024</v>
      </c>
      <c r="O26" s="954">
        <v>20883</v>
      </c>
    </row>
    <row r="27" spans="1:15">
      <c r="B27" s="953" t="s">
        <v>315</v>
      </c>
      <c r="C27" s="954">
        <v>4611</v>
      </c>
      <c r="D27" s="954">
        <v>455</v>
      </c>
      <c r="E27" s="880"/>
      <c r="F27" s="954">
        <v>182</v>
      </c>
      <c r="G27" s="954">
        <v>27</v>
      </c>
      <c r="H27" s="954">
        <v>0</v>
      </c>
      <c r="I27" s="954">
        <v>30</v>
      </c>
      <c r="J27" s="880"/>
      <c r="K27" s="954">
        <v>1</v>
      </c>
      <c r="L27" s="954">
        <v>322</v>
      </c>
      <c r="M27" s="880"/>
      <c r="N27" s="954">
        <v>1546</v>
      </c>
      <c r="O27" s="954">
        <v>7174</v>
      </c>
    </row>
    <row r="28" spans="1:15">
      <c r="B28" s="953" t="s">
        <v>124</v>
      </c>
      <c r="C28" s="952">
        <v>37749</v>
      </c>
      <c r="D28" s="952">
        <v>52190</v>
      </c>
      <c r="E28" s="821"/>
      <c r="F28" s="952">
        <v>18512</v>
      </c>
      <c r="G28" s="952">
        <v>21873</v>
      </c>
      <c r="H28" s="952">
        <v>159</v>
      </c>
      <c r="I28" s="952">
        <v>3248</v>
      </c>
      <c r="J28" s="821"/>
      <c r="K28" s="952">
        <v>14623</v>
      </c>
      <c r="L28" s="952">
        <v>24749</v>
      </c>
      <c r="M28" s="821"/>
      <c r="N28" s="952">
        <v>24179</v>
      </c>
      <c r="O28" s="952">
        <v>197282</v>
      </c>
    </row>
    <row r="29" spans="1:15">
      <c r="B29" s="953" t="s">
        <v>125</v>
      </c>
      <c r="C29" s="952">
        <v>19824</v>
      </c>
      <c r="D29" s="952">
        <v>966</v>
      </c>
      <c r="E29" s="821"/>
      <c r="F29" s="952">
        <v>0</v>
      </c>
      <c r="G29" s="952">
        <v>0</v>
      </c>
      <c r="H29" s="952">
        <v>0</v>
      </c>
      <c r="I29" s="952">
        <v>0</v>
      </c>
      <c r="J29" s="821"/>
      <c r="K29" s="952">
        <v>0</v>
      </c>
      <c r="L29" s="952">
        <v>0</v>
      </c>
      <c r="M29" s="821"/>
      <c r="N29" s="952">
        <v>4051</v>
      </c>
      <c r="O29" s="952">
        <v>24841</v>
      </c>
    </row>
    <row r="30" spans="1:15" ht="13" thickBot="1">
      <c r="B30" s="951" t="s">
        <v>11</v>
      </c>
      <c r="C30" s="950">
        <v>6772</v>
      </c>
      <c r="D30" s="950">
        <v>10951</v>
      </c>
      <c r="E30" s="821"/>
      <c r="F30" s="950">
        <v>1</v>
      </c>
      <c r="G30" s="950">
        <v>21</v>
      </c>
      <c r="H30" s="950">
        <v>0</v>
      </c>
      <c r="I30" s="950">
        <v>6</v>
      </c>
      <c r="J30" s="821"/>
      <c r="K30" s="950">
        <v>1</v>
      </c>
      <c r="L30" s="950">
        <v>248</v>
      </c>
      <c r="M30" s="821"/>
      <c r="N30" s="950">
        <v>1043</v>
      </c>
      <c r="O30" s="950">
        <v>19043</v>
      </c>
    </row>
    <row r="31" spans="1:15">
      <c r="B31" s="949" t="s">
        <v>12</v>
      </c>
      <c r="C31" s="948">
        <v>82886</v>
      </c>
      <c r="D31" s="948">
        <v>128738</v>
      </c>
      <c r="E31" s="821"/>
      <c r="F31" s="948">
        <v>19135</v>
      </c>
      <c r="G31" s="948">
        <v>22088</v>
      </c>
      <c r="H31" s="948">
        <v>159</v>
      </c>
      <c r="I31" s="948">
        <v>3392</v>
      </c>
      <c r="J31" s="821"/>
      <c r="K31" s="948">
        <v>14901</v>
      </c>
      <c r="L31" s="948">
        <v>25860</v>
      </c>
      <c r="M31" s="821"/>
      <c r="N31" s="948">
        <v>45558</v>
      </c>
      <c r="O31" s="948">
        <v>342717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3D9B-0D1A-4160-8221-F3093F61B103}">
  <dimension ref="A1:G14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41.453125" style="500" customWidth="1"/>
    <col min="3" max="7" width="11" style="500" customWidth="1"/>
    <col min="8" max="16384" width="13.7265625" style="500"/>
  </cols>
  <sheetData>
    <row r="1" spans="1:7">
      <c r="A1" s="789"/>
      <c r="B1" s="789"/>
      <c r="C1" s="789"/>
      <c r="D1" s="789"/>
      <c r="E1" s="789"/>
      <c r="F1" s="789"/>
      <c r="G1" s="789"/>
    </row>
    <row r="2" spans="1:7" ht="15.5">
      <c r="A2" s="789"/>
      <c r="B2" s="1150" t="s">
        <v>338</v>
      </c>
      <c r="C2" s="1150"/>
      <c r="D2" s="1150"/>
      <c r="E2" s="1150"/>
      <c r="F2" s="1150"/>
      <c r="G2" s="1150"/>
    </row>
    <row r="3" spans="1:7" ht="15" customHeight="1">
      <c r="A3" s="789"/>
      <c r="B3" s="968"/>
      <c r="C3" s="968"/>
      <c r="D3" s="968"/>
      <c r="E3" s="968"/>
      <c r="F3" s="968"/>
      <c r="G3" s="968"/>
    </row>
    <row r="4" spans="1:7" ht="21">
      <c r="A4" s="789"/>
      <c r="B4" s="978"/>
      <c r="C4" s="786" t="s">
        <v>337</v>
      </c>
      <c r="D4" s="786" t="s">
        <v>324</v>
      </c>
      <c r="E4" s="786" t="s">
        <v>336</v>
      </c>
      <c r="F4" s="786" t="s">
        <v>322</v>
      </c>
      <c r="G4" s="786" t="s">
        <v>262</v>
      </c>
    </row>
    <row r="5" spans="1:7" ht="13" thickBot="1">
      <c r="A5" s="789"/>
      <c r="B5" s="977"/>
      <c r="C5" s="906" t="s">
        <v>1</v>
      </c>
      <c r="D5" s="906" t="s">
        <v>1</v>
      </c>
      <c r="E5" s="906" t="s">
        <v>1</v>
      </c>
      <c r="F5" s="906" t="s">
        <v>1</v>
      </c>
      <c r="G5" s="906" t="s">
        <v>1</v>
      </c>
    </row>
    <row r="6" spans="1:7">
      <c r="A6" s="789"/>
      <c r="B6" s="937" t="s">
        <v>335</v>
      </c>
      <c r="C6" s="976">
        <v>211624</v>
      </c>
      <c r="D6" s="976">
        <v>44774</v>
      </c>
      <c r="E6" s="976">
        <v>40761</v>
      </c>
      <c r="F6" s="976">
        <v>45558</v>
      </c>
      <c r="G6" s="976">
        <v>342717</v>
      </c>
    </row>
    <row r="7" spans="1:7">
      <c r="A7" s="789"/>
      <c r="B7" s="975" t="s">
        <v>334</v>
      </c>
      <c r="C7" s="974">
        <v>-69</v>
      </c>
      <c r="D7" s="974">
        <v>4115</v>
      </c>
      <c r="E7" s="974">
        <v>-2123</v>
      </c>
      <c r="F7" s="974">
        <v>0</v>
      </c>
      <c r="G7" s="974">
        <v>1923</v>
      </c>
    </row>
    <row r="8" spans="1:7">
      <c r="A8" s="789"/>
      <c r="B8" s="975" t="s">
        <v>333</v>
      </c>
      <c r="C8" s="974">
        <v>-856</v>
      </c>
      <c r="D8" s="974">
        <v>0</v>
      </c>
      <c r="E8" s="974">
        <v>0</v>
      </c>
      <c r="F8" s="974">
        <v>0</v>
      </c>
      <c r="G8" s="974">
        <v>-856</v>
      </c>
    </row>
    <row r="9" spans="1:7">
      <c r="A9" s="789"/>
      <c r="B9" s="975" t="s">
        <v>332</v>
      </c>
      <c r="C9" s="974">
        <v>-1054</v>
      </c>
      <c r="D9" s="974">
        <v>-245</v>
      </c>
      <c r="E9" s="974">
        <v>0</v>
      </c>
      <c r="F9" s="974">
        <v>0</v>
      </c>
      <c r="G9" s="974">
        <v>-1299</v>
      </c>
    </row>
    <row r="10" spans="1:7">
      <c r="A10" s="789"/>
      <c r="B10" s="975" t="s">
        <v>331</v>
      </c>
      <c r="C10" s="974">
        <v>196</v>
      </c>
      <c r="D10" s="974">
        <v>680</v>
      </c>
      <c r="E10" s="974">
        <v>0</v>
      </c>
      <c r="F10" s="974">
        <v>0</v>
      </c>
      <c r="G10" s="974">
        <v>876</v>
      </c>
    </row>
    <row r="11" spans="1:7">
      <c r="A11" s="789"/>
      <c r="B11" s="975" t="s">
        <v>330</v>
      </c>
      <c r="C11" s="974">
        <v>4155</v>
      </c>
      <c r="D11" s="974">
        <v>398</v>
      </c>
      <c r="E11" s="974">
        <v>0</v>
      </c>
      <c r="F11" s="974">
        <v>0</v>
      </c>
      <c r="G11" s="974">
        <v>4553</v>
      </c>
    </row>
    <row r="12" spans="1:7" ht="13" thickBot="1">
      <c r="A12" s="789"/>
      <c r="B12" s="973" t="s">
        <v>329</v>
      </c>
      <c r="C12" s="972">
        <v>-4595</v>
      </c>
      <c r="D12" s="972">
        <v>-2180</v>
      </c>
      <c r="E12" s="972">
        <v>-738</v>
      </c>
      <c r="F12" s="972">
        <v>0</v>
      </c>
      <c r="G12" s="972">
        <v>-7513</v>
      </c>
    </row>
    <row r="13" spans="1:7" ht="13" thickBot="1">
      <c r="A13" s="789"/>
      <c r="B13" s="971" t="s">
        <v>328</v>
      </c>
      <c r="C13" s="970">
        <v>-2223</v>
      </c>
      <c r="D13" s="970">
        <v>2768</v>
      </c>
      <c r="E13" s="970">
        <v>-2861</v>
      </c>
      <c r="F13" s="970">
        <v>0</v>
      </c>
      <c r="G13" s="970">
        <v>-2316</v>
      </c>
    </row>
    <row r="14" spans="1:7">
      <c r="A14" s="789"/>
      <c r="B14" s="937" t="s">
        <v>327</v>
      </c>
      <c r="C14" s="969">
        <v>209401</v>
      </c>
      <c r="D14" s="969">
        <v>47542</v>
      </c>
      <c r="E14" s="969">
        <v>37900</v>
      </c>
      <c r="F14" s="969">
        <v>45558</v>
      </c>
      <c r="G14" s="969">
        <v>340401</v>
      </c>
    </row>
  </sheetData>
  <mergeCells count="1"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8F9A-A60A-482D-85AC-C8A8B3358C8A}">
  <dimension ref="A1:F43"/>
  <sheetViews>
    <sheetView showGridLines="0" showRuler="0" workbookViewId="0"/>
  </sheetViews>
  <sheetFormatPr defaultColWidth="13.7265625" defaultRowHeight="12.5"/>
  <cols>
    <col min="1" max="1" width="9.453125" style="500" customWidth="1"/>
    <col min="2" max="2" width="58.81640625" style="500" customWidth="1"/>
    <col min="3" max="4" width="10.453125" style="500" customWidth="1"/>
    <col min="5" max="5" width="9.81640625" style="500" customWidth="1"/>
    <col min="6" max="16384" width="13.7265625" style="500"/>
  </cols>
  <sheetData>
    <row r="1" spans="1:6" ht="15" customHeight="1">
      <c r="A1" s="789"/>
      <c r="B1" s="930"/>
      <c r="C1" s="890"/>
      <c r="D1" s="890"/>
      <c r="E1" s="890"/>
    </row>
    <row r="2" spans="1:6" ht="22">
      <c r="A2" s="789"/>
      <c r="B2" s="930" t="s">
        <v>342</v>
      </c>
      <c r="C2" s="1065" t="s">
        <v>169</v>
      </c>
      <c r="D2" s="1065" t="s">
        <v>316</v>
      </c>
      <c r="E2" s="1065" t="s">
        <v>127</v>
      </c>
    </row>
    <row r="3" spans="1:6" ht="13" thickBot="1">
      <c r="A3" s="789"/>
      <c r="B3" s="987"/>
      <c r="C3" s="945" t="s">
        <v>1</v>
      </c>
      <c r="D3" s="945" t="s">
        <v>1</v>
      </c>
      <c r="E3" s="945" t="s">
        <v>1</v>
      </c>
    </row>
    <row r="4" spans="1:6">
      <c r="A4" s="923"/>
      <c r="B4" s="986" t="s">
        <v>21</v>
      </c>
      <c r="C4" s="985">
        <v>4.9000000000000004</v>
      </c>
      <c r="D4" s="984">
        <v>5</v>
      </c>
      <c r="E4" s="984">
        <v>5.2</v>
      </c>
    </row>
    <row r="5" spans="1:6">
      <c r="A5" s="923"/>
      <c r="B5" s="880" t="s">
        <v>272</v>
      </c>
      <c r="C5" s="785">
        <v>58769</v>
      </c>
      <c r="D5" s="979">
        <v>60654</v>
      </c>
      <c r="E5" s="979">
        <v>60507</v>
      </c>
    </row>
    <row r="6" spans="1:6">
      <c r="A6" s="923"/>
      <c r="B6" s="880" t="s">
        <v>22</v>
      </c>
      <c r="C6" s="980">
        <v>1197445</v>
      </c>
      <c r="D6" s="979">
        <v>1222722</v>
      </c>
      <c r="E6" s="979">
        <v>1168275</v>
      </c>
    </row>
    <row r="7" spans="1:6">
      <c r="A7" s="923"/>
      <c r="B7" s="981" t="s">
        <v>341</v>
      </c>
      <c r="C7" s="983">
        <v>4.5999999999999996</v>
      </c>
      <c r="D7" s="982">
        <v>4.7</v>
      </c>
      <c r="E7" s="982">
        <v>4.8</v>
      </c>
    </row>
    <row r="8" spans="1:6">
      <c r="A8" s="923"/>
      <c r="B8" s="981" t="s">
        <v>340</v>
      </c>
      <c r="C8" s="785">
        <v>59328</v>
      </c>
      <c r="D8" s="979">
        <v>60617</v>
      </c>
      <c r="E8" s="979">
        <v>60343</v>
      </c>
    </row>
    <row r="9" spans="1:6" ht="13">
      <c r="A9" s="923"/>
      <c r="B9" s="981" t="s">
        <v>339</v>
      </c>
      <c r="C9" s="980">
        <v>1277714</v>
      </c>
      <c r="D9" s="979">
        <v>1300424</v>
      </c>
      <c r="E9" s="979">
        <v>1266880</v>
      </c>
      <c r="F9" s="874"/>
    </row>
    <row r="10" spans="1:6" ht="13">
      <c r="A10" s="923"/>
      <c r="C10" s="874"/>
      <c r="D10" s="874"/>
      <c r="E10" s="874"/>
    </row>
    <row r="11" spans="1:6" ht="13">
      <c r="A11" s="923"/>
      <c r="C11" s="874"/>
      <c r="D11" s="874"/>
      <c r="E11" s="874"/>
    </row>
    <row r="12" spans="1:6" ht="13">
      <c r="A12" s="923"/>
      <c r="C12" s="874"/>
      <c r="D12" s="874"/>
      <c r="E12" s="874"/>
    </row>
    <row r="13" spans="1:6">
      <c r="A13" s="923"/>
    </row>
    <row r="14" spans="1:6">
      <c r="A14" s="923"/>
    </row>
    <row r="15" spans="1:6">
      <c r="A15" s="789"/>
    </row>
    <row r="16" spans="1:6">
      <c r="A16" s="789"/>
    </row>
    <row r="17" spans="1:1">
      <c r="A17" s="789"/>
    </row>
    <row r="18" spans="1:1">
      <c r="A18" s="789"/>
    </row>
    <row r="19" spans="1:1">
      <c r="A19" s="789"/>
    </row>
    <row r="20" spans="1:1">
      <c r="A20" s="789"/>
    </row>
    <row r="21" spans="1:1">
      <c r="A21" s="789"/>
    </row>
    <row r="22" spans="1:1">
      <c r="A22" s="789"/>
    </row>
    <row r="23" spans="1:1">
      <c r="A23" s="789"/>
    </row>
    <row r="24" spans="1:1">
      <c r="A24" s="789"/>
    </row>
    <row r="25" spans="1:1">
      <c r="A25" s="789"/>
    </row>
    <row r="26" spans="1:1">
      <c r="A26" s="789"/>
    </row>
    <row r="27" spans="1:1">
      <c r="A27" s="789"/>
    </row>
    <row r="28" spans="1:1">
      <c r="A28" s="789"/>
    </row>
    <row r="29" spans="1:1">
      <c r="A29" s="789"/>
    </row>
    <row r="30" spans="1:1">
      <c r="A30" s="789"/>
    </row>
    <row r="31" spans="1:1">
      <c r="A31" s="789"/>
    </row>
    <row r="32" spans="1:1">
      <c r="A32" s="789"/>
    </row>
    <row r="33" spans="1:1">
      <c r="A33" s="789"/>
    </row>
    <row r="34" spans="1:1">
      <c r="A34" s="789"/>
    </row>
    <row r="35" spans="1:1">
      <c r="A35" s="789"/>
    </row>
    <row r="36" spans="1:1">
      <c r="A36" s="789"/>
    </row>
    <row r="37" spans="1:1">
      <c r="A37" s="789"/>
    </row>
    <row r="38" spans="1:1">
      <c r="A38" s="789"/>
    </row>
    <row r="39" spans="1:1">
      <c r="A39" s="789"/>
    </row>
    <row r="40" spans="1:1">
      <c r="A40" s="789"/>
    </row>
    <row r="41" spans="1:1">
      <c r="A41" s="789"/>
    </row>
    <row r="42" spans="1:1">
      <c r="A42" s="789"/>
    </row>
    <row r="43" spans="1:1">
      <c r="A43" s="789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451A-88F1-40A3-ACA1-DEE49AC1528F}">
  <dimension ref="A1:D33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65" style="500" customWidth="1"/>
    <col min="3" max="4" width="11" style="500" customWidth="1"/>
    <col min="5" max="16384" width="13.7265625" style="500"/>
  </cols>
  <sheetData>
    <row r="1" spans="1:4">
      <c r="A1" s="789"/>
      <c r="B1" s="789"/>
      <c r="C1" s="789"/>
    </row>
    <row r="2" spans="1:4" ht="15.5">
      <c r="A2" s="789"/>
      <c r="B2" s="968" t="s">
        <v>350</v>
      </c>
      <c r="C2" s="789"/>
    </row>
    <row r="3" spans="1:4">
      <c r="A3" s="789"/>
      <c r="B3" s="836"/>
      <c r="C3" s="890"/>
    </row>
    <row r="4" spans="1:4" ht="21">
      <c r="A4" s="789"/>
      <c r="B4" s="836"/>
      <c r="C4" s="1005" t="s">
        <v>195</v>
      </c>
      <c r="D4" s="1005" t="s">
        <v>196</v>
      </c>
    </row>
    <row r="5" spans="1:4" ht="13" thickBot="1">
      <c r="A5" s="789"/>
      <c r="B5" s="1004"/>
      <c r="C5" s="1003" t="s">
        <v>1</v>
      </c>
      <c r="D5" s="1003" t="s">
        <v>1</v>
      </c>
    </row>
    <row r="6" spans="1:4">
      <c r="B6" s="994" t="s">
        <v>18</v>
      </c>
      <c r="C6" s="1001">
        <v>19824</v>
      </c>
      <c r="D6" s="1000">
        <v>19780</v>
      </c>
    </row>
    <row r="7" spans="1:4">
      <c r="B7" s="880" t="s">
        <v>349</v>
      </c>
      <c r="C7" s="941">
        <v>-11951</v>
      </c>
      <c r="D7" s="887">
        <v>-11979</v>
      </c>
    </row>
    <row r="8" spans="1:4">
      <c r="B8" s="880" t="s">
        <v>136</v>
      </c>
      <c r="C8" s="941">
        <v>-93</v>
      </c>
      <c r="D8" s="887">
        <v>0</v>
      </c>
    </row>
    <row r="9" spans="1:4" ht="13" thickBot="1">
      <c r="B9" s="905" t="s">
        <v>3</v>
      </c>
      <c r="C9" s="996">
        <v>-99</v>
      </c>
      <c r="D9" s="995">
        <v>-32</v>
      </c>
    </row>
    <row r="10" spans="1:4">
      <c r="B10" s="994" t="s">
        <v>348</v>
      </c>
      <c r="C10" s="1001">
        <v>-12143</v>
      </c>
      <c r="D10" s="1000">
        <v>-12011</v>
      </c>
    </row>
    <row r="11" spans="1:4" ht="13" thickBot="1">
      <c r="B11" s="905" t="s">
        <v>49</v>
      </c>
      <c r="C11" s="1002">
        <v>37</v>
      </c>
      <c r="D11" s="995">
        <v>7</v>
      </c>
    </row>
    <row r="12" spans="1:4">
      <c r="B12" s="994" t="s">
        <v>108</v>
      </c>
      <c r="C12" s="1001">
        <v>7718</v>
      </c>
      <c r="D12" s="1000">
        <v>7776</v>
      </c>
    </row>
    <row r="13" spans="1:4" ht="13" thickBot="1">
      <c r="B13" s="905" t="s">
        <v>48</v>
      </c>
      <c r="C13" s="996">
        <v>-1271</v>
      </c>
      <c r="D13" s="995">
        <v>-1329</v>
      </c>
    </row>
    <row r="14" spans="1:4">
      <c r="B14" s="994" t="s">
        <v>19</v>
      </c>
      <c r="C14" s="993">
        <v>6447</v>
      </c>
      <c r="D14" s="992">
        <v>6447</v>
      </c>
    </row>
    <row r="15" spans="1:4" ht="13" thickBot="1">
      <c r="B15" s="905" t="s">
        <v>89</v>
      </c>
      <c r="C15" s="996">
        <v>-1304</v>
      </c>
      <c r="D15" s="995">
        <v>-1257</v>
      </c>
    </row>
    <row r="16" spans="1:4">
      <c r="B16" s="994" t="s">
        <v>79</v>
      </c>
      <c r="C16" s="993">
        <v>5143</v>
      </c>
      <c r="D16" s="992">
        <v>5190</v>
      </c>
    </row>
    <row r="17" spans="2:4">
      <c r="B17" s="835"/>
      <c r="D17" s="833"/>
    </row>
    <row r="18" spans="2:4" ht="13" thickBot="1">
      <c r="B18" s="991" t="s">
        <v>347</v>
      </c>
      <c r="D18" s="999"/>
    </row>
    <row r="19" spans="2:4">
      <c r="B19" s="910" t="s">
        <v>346</v>
      </c>
      <c r="C19" s="998">
        <v>4351</v>
      </c>
      <c r="D19" s="997">
        <v>4385</v>
      </c>
    </row>
    <row r="20" spans="2:4" ht="13" thickBot="1">
      <c r="B20" s="905" t="s">
        <v>345</v>
      </c>
      <c r="C20" s="996">
        <v>763</v>
      </c>
      <c r="D20" s="995">
        <v>766</v>
      </c>
    </row>
    <row r="21" spans="2:4">
      <c r="B21" s="994" t="s">
        <v>344</v>
      </c>
      <c r="C21" s="993">
        <v>5114</v>
      </c>
      <c r="D21" s="992">
        <v>5151</v>
      </c>
    </row>
    <row r="22" spans="2:4" ht="13" thickBot="1">
      <c r="B22" s="905" t="s">
        <v>80</v>
      </c>
      <c r="C22" s="996">
        <v>29</v>
      </c>
      <c r="D22" s="995">
        <v>39</v>
      </c>
    </row>
    <row r="23" spans="2:4">
      <c r="B23" s="994" t="s">
        <v>79</v>
      </c>
      <c r="C23" s="993">
        <v>5143</v>
      </c>
      <c r="D23" s="992">
        <v>5190</v>
      </c>
    </row>
    <row r="24" spans="2:4">
      <c r="B24" s="835"/>
      <c r="C24" s="833"/>
      <c r="D24" s="833"/>
    </row>
    <row r="25" spans="2:4" ht="13" thickBot="1">
      <c r="B25" s="991" t="s">
        <v>343</v>
      </c>
      <c r="C25" s="990"/>
      <c r="D25" s="990"/>
    </row>
    <row r="26" spans="2:4">
      <c r="B26" s="910" t="s">
        <v>143</v>
      </c>
      <c r="C26" s="989" t="s">
        <v>421</v>
      </c>
      <c r="D26" s="988" t="s">
        <v>422</v>
      </c>
    </row>
    <row r="27" spans="2:4" ht="13">
      <c r="B27" s="874"/>
    </row>
    <row r="28" spans="2:4" ht="13">
      <c r="B28" s="874"/>
    </row>
    <row r="29" spans="2:4" ht="13">
      <c r="B29" s="874"/>
    </row>
    <row r="30" spans="2:4" ht="13">
      <c r="B30" s="874"/>
    </row>
    <row r="31" spans="2:4" ht="13">
      <c r="B31" s="874"/>
    </row>
    <row r="32" spans="2:4" ht="13">
      <c r="B32" s="874"/>
    </row>
    <row r="33" spans="2:2" ht="13">
      <c r="B33" s="87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5A11-7E15-4DF9-BED1-021E266AAE6C}">
  <dimension ref="A1:D47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80.54296875" style="500" customWidth="1"/>
    <col min="3" max="16384" width="13.7265625" style="500"/>
  </cols>
  <sheetData>
    <row r="1" spans="1:4">
      <c r="A1" s="789"/>
      <c r="B1" s="789"/>
      <c r="C1" s="789"/>
      <c r="D1" s="789"/>
    </row>
    <row r="2" spans="1:4" ht="15.5">
      <c r="A2" s="789"/>
      <c r="B2" s="1150" t="s">
        <v>382</v>
      </c>
      <c r="C2" s="1150"/>
      <c r="D2" s="1016"/>
    </row>
    <row r="3" spans="1:4" ht="13">
      <c r="A3" s="789"/>
      <c r="B3" s="1015"/>
      <c r="C3" s="786" t="s">
        <v>169</v>
      </c>
      <c r="D3" s="786" t="s">
        <v>127</v>
      </c>
    </row>
    <row r="4" spans="1:4" ht="13" thickBot="1">
      <c r="A4" s="789"/>
      <c r="B4" s="957" t="s">
        <v>381</v>
      </c>
      <c r="C4" s="945" t="s">
        <v>1</v>
      </c>
      <c r="D4" s="945" t="s">
        <v>1</v>
      </c>
    </row>
    <row r="5" spans="1:4">
      <c r="A5" s="789"/>
      <c r="B5" s="986" t="s">
        <v>380</v>
      </c>
      <c r="C5" s="1011">
        <v>215061</v>
      </c>
      <c r="D5" s="1010">
        <v>224634</v>
      </c>
    </row>
    <row r="6" spans="1:4">
      <c r="A6" s="789"/>
      <c r="B6" s="880" t="s">
        <v>31</v>
      </c>
      <c r="C6" s="941">
        <v>141703</v>
      </c>
      <c r="D6" s="1009">
        <v>108889</v>
      </c>
    </row>
    <row r="7" spans="1:4">
      <c r="A7" s="789"/>
      <c r="B7" s="880" t="s">
        <v>110</v>
      </c>
      <c r="C7" s="941">
        <v>64637</v>
      </c>
      <c r="D7" s="1009">
        <v>56749</v>
      </c>
    </row>
    <row r="8" spans="1:4">
      <c r="A8" s="789"/>
      <c r="B8" s="880" t="s">
        <v>379</v>
      </c>
      <c r="C8" s="941">
        <v>8120</v>
      </c>
      <c r="D8" s="1009">
        <v>9459</v>
      </c>
    </row>
    <row r="9" spans="1:4">
      <c r="A9" s="789"/>
      <c r="B9" s="880" t="s">
        <v>378</v>
      </c>
      <c r="C9" s="941">
        <v>326427</v>
      </c>
      <c r="D9" s="1009">
        <v>333288</v>
      </c>
    </row>
    <row r="10" spans="1:4">
      <c r="A10" s="789"/>
      <c r="B10" s="880" t="s">
        <v>377</v>
      </c>
      <c r="C10" s="941">
        <v>3579</v>
      </c>
      <c r="D10" s="1009">
        <v>2594</v>
      </c>
    </row>
    <row r="11" spans="1:4">
      <c r="A11" s="789"/>
      <c r="B11" s="880" t="s">
        <v>37</v>
      </c>
      <c r="C11" s="941">
        <v>187400</v>
      </c>
      <c r="D11" s="1009">
        <v>174605</v>
      </c>
    </row>
    <row r="12" spans="1:4">
      <c r="A12" s="789"/>
      <c r="B12" s="880" t="s">
        <v>34</v>
      </c>
      <c r="C12" s="941">
        <v>214257</v>
      </c>
      <c r="D12" s="1009">
        <v>206651</v>
      </c>
    </row>
    <row r="13" spans="1:4">
      <c r="A13" s="789"/>
      <c r="B13" s="880" t="s">
        <v>363</v>
      </c>
      <c r="C13" s="941">
        <v>258622</v>
      </c>
      <c r="D13" s="1009">
        <v>256836</v>
      </c>
    </row>
    <row r="14" spans="1:4">
      <c r="A14" s="789"/>
      <c r="B14" s="880" t="s">
        <v>376</v>
      </c>
      <c r="C14" s="941">
        <v>80778</v>
      </c>
      <c r="D14" s="1009">
        <v>71836</v>
      </c>
    </row>
    <row r="15" spans="1:4">
      <c r="A15" s="789"/>
      <c r="B15" s="880" t="s">
        <v>375</v>
      </c>
      <c r="C15" s="941">
        <v>894</v>
      </c>
      <c r="D15" s="1009">
        <v>879</v>
      </c>
    </row>
    <row r="16" spans="1:4">
      <c r="A16" s="789"/>
      <c r="B16" s="880" t="s">
        <v>283</v>
      </c>
      <c r="C16" s="941">
        <v>8123</v>
      </c>
      <c r="D16" s="1009">
        <v>7794</v>
      </c>
    </row>
    <row r="17" spans="1:4">
      <c r="A17" s="789"/>
      <c r="B17" s="880" t="s">
        <v>374</v>
      </c>
      <c r="C17" s="941">
        <v>144</v>
      </c>
      <c r="D17" s="1009">
        <v>121</v>
      </c>
    </row>
    <row r="18" spans="1:4">
      <c r="A18" s="789"/>
      <c r="B18" s="880" t="s">
        <v>373</v>
      </c>
      <c r="C18" s="941">
        <v>5569</v>
      </c>
      <c r="D18" s="1009">
        <v>5960</v>
      </c>
    </row>
    <row r="19" spans="1:4" ht="13" thickBot="1">
      <c r="A19" s="789"/>
      <c r="B19" s="939" t="s">
        <v>372</v>
      </c>
      <c r="C19" s="940">
        <v>15821</v>
      </c>
      <c r="D19" s="1008">
        <v>17192</v>
      </c>
    </row>
    <row r="20" spans="1:4">
      <c r="A20" s="789"/>
      <c r="B20" s="937" t="s">
        <v>8</v>
      </c>
      <c r="C20" s="936">
        <v>1531135</v>
      </c>
      <c r="D20" s="1006">
        <v>1477487</v>
      </c>
    </row>
    <row r="21" spans="1:4">
      <c r="A21" s="789"/>
      <c r="B21" s="835"/>
    </row>
    <row r="22" spans="1:4" ht="13" thickBot="1">
      <c r="A22" s="789"/>
      <c r="B22" s="957" t="s">
        <v>371</v>
      </c>
      <c r="C22" s="1007"/>
      <c r="D22" s="1014"/>
    </row>
    <row r="23" spans="1:4">
      <c r="A23" s="789"/>
      <c r="B23" s="986" t="s">
        <v>370</v>
      </c>
      <c r="C23" s="1011">
        <v>18037</v>
      </c>
      <c r="D23" s="1010">
        <v>14472</v>
      </c>
    </row>
    <row r="24" spans="1:4">
      <c r="A24" s="789"/>
      <c r="B24" s="880" t="s">
        <v>369</v>
      </c>
      <c r="C24" s="941">
        <v>524717</v>
      </c>
      <c r="D24" s="1009">
        <v>524317</v>
      </c>
    </row>
    <row r="25" spans="1:4">
      <c r="A25" s="789"/>
      <c r="B25" s="880" t="s">
        <v>31</v>
      </c>
      <c r="C25" s="941">
        <v>135060</v>
      </c>
      <c r="D25" s="1009">
        <v>94084</v>
      </c>
    </row>
    <row r="26" spans="1:4">
      <c r="A26" s="789"/>
      <c r="B26" s="880" t="s">
        <v>368</v>
      </c>
      <c r="C26" s="941">
        <v>45250</v>
      </c>
      <c r="D26" s="1009">
        <v>41601</v>
      </c>
    </row>
    <row r="27" spans="1:4">
      <c r="B27" s="880" t="s">
        <v>367</v>
      </c>
      <c r="C27" s="941">
        <v>89424</v>
      </c>
      <c r="D27" s="1009">
        <v>96825</v>
      </c>
    </row>
    <row r="28" spans="1:4">
      <c r="B28" s="880" t="s">
        <v>366</v>
      </c>
      <c r="C28" s="941">
        <v>11322</v>
      </c>
      <c r="D28" s="1009">
        <v>10494</v>
      </c>
    </row>
    <row r="29" spans="1:4">
      <c r="B29" s="880" t="s">
        <v>365</v>
      </c>
      <c r="C29" s="941">
        <v>64284</v>
      </c>
      <c r="D29" s="1009">
        <v>58669</v>
      </c>
    </row>
    <row r="30" spans="1:4">
      <c r="B30" s="880" t="s">
        <v>364</v>
      </c>
      <c r="C30" s="941">
        <v>305328</v>
      </c>
      <c r="D30" s="1009">
        <v>297539</v>
      </c>
    </row>
    <row r="31" spans="1:4">
      <c r="B31" s="880" t="s">
        <v>363</v>
      </c>
      <c r="C31" s="941">
        <v>249861</v>
      </c>
      <c r="D31" s="1009">
        <v>250044</v>
      </c>
    </row>
    <row r="32" spans="1:4">
      <c r="B32" s="880" t="s">
        <v>362</v>
      </c>
      <c r="C32" s="941">
        <v>625</v>
      </c>
      <c r="D32" s="1009">
        <v>529</v>
      </c>
    </row>
    <row r="33" spans="2:4">
      <c r="B33" s="880" t="s">
        <v>361</v>
      </c>
      <c r="C33" s="941">
        <v>22</v>
      </c>
      <c r="D33" s="1009">
        <v>22</v>
      </c>
    </row>
    <row r="34" spans="2:4" ht="13" thickBot="1">
      <c r="B34" s="939" t="s">
        <v>360</v>
      </c>
      <c r="C34" s="940">
        <v>15573</v>
      </c>
      <c r="D34" s="1008">
        <v>17027</v>
      </c>
    </row>
    <row r="35" spans="2:4">
      <c r="B35" s="937" t="s">
        <v>359</v>
      </c>
      <c r="C35" s="936">
        <v>1459503</v>
      </c>
      <c r="D35" s="1006">
        <v>1405623</v>
      </c>
    </row>
    <row r="36" spans="2:4">
      <c r="B36" s="880"/>
      <c r="C36" s="1013"/>
      <c r="D36" s="923"/>
    </row>
    <row r="37" spans="2:4" ht="13" thickBot="1">
      <c r="B37" s="957" t="s">
        <v>358</v>
      </c>
      <c r="C37" s="1007"/>
      <c r="D37" s="1012"/>
    </row>
    <row r="38" spans="2:4">
      <c r="B38" s="986" t="s">
        <v>357</v>
      </c>
      <c r="C38" s="1011">
        <v>4205</v>
      </c>
      <c r="D38" s="1010">
        <v>4288</v>
      </c>
    </row>
    <row r="39" spans="2:4">
      <c r="B39" s="880" t="s">
        <v>303</v>
      </c>
      <c r="C39" s="941">
        <v>-476</v>
      </c>
      <c r="D39" s="1009">
        <v>-77</v>
      </c>
    </row>
    <row r="40" spans="2:4" ht="13" thickBot="1">
      <c r="B40" s="939" t="s">
        <v>356</v>
      </c>
      <c r="C40" s="940">
        <v>55504</v>
      </c>
      <c r="D40" s="1008">
        <v>53734</v>
      </c>
    </row>
    <row r="41" spans="2:4">
      <c r="B41" s="937" t="s">
        <v>355</v>
      </c>
      <c r="C41" s="936">
        <v>59233</v>
      </c>
      <c r="D41" s="1006">
        <v>57945</v>
      </c>
    </row>
    <row r="42" spans="2:4" ht="13" thickBot="1">
      <c r="B42" s="939" t="s">
        <v>354</v>
      </c>
      <c r="C42" s="940">
        <v>11739</v>
      </c>
      <c r="D42" s="1008">
        <v>13259</v>
      </c>
    </row>
    <row r="43" spans="2:4">
      <c r="B43" s="937" t="s">
        <v>353</v>
      </c>
      <c r="C43" s="936">
        <v>70972</v>
      </c>
      <c r="D43" s="1006">
        <v>71204</v>
      </c>
    </row>
    <row r="44" spans="2:4" ht="13" thickBot="1">
      <c r="B44" s="939" t="s">
        <v>80</v>
      </c>
      <c r="C44" s="940">
        <v>660</v>
      </c>
      <c r="D44" s="1008">
        <v>660</v>
      </c>
    </row>
    <row r="45" spans="2:4">
      <c r="B45" s="937" t="s">
        <v>352</v>
      </c>
      <c r="C45" s="936">
        <v>71632</v>
      </c>
      <c r="D45" s="1006">
        <v>71864</v>
      </c>
    </row>
    <row r="46" spans="2:4" ht="13" thickBot="1">
      <c r="B46" s="957"/>
      <c r="C46" s="1007"/>
      <c r="D46" s="1007"/>
    </row>
    <row r="47" spans="2:4">
      <c r="B47" s="937" t="s">
        <v>351</v>
      </c>
      <c r="C47" s="936">
        <v>1531135</v>
      </c>
      <c r="D47" s="1006">
        <v>1477487</v>
      </c>
    </row>
  </sheetData>
  <mergeCells count="1">
    <mergeCell ref="B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E076-26CE-4D7C-93F6-DCDE812CD61B}">
  <dimension ref="A1:I67"/>
  <sheetViews>
    <sheetView showGridLines="0" showRuler="0" zoomScaleNormal="100" workbookViewId="0"/>
  </sheetViews>
  <sheetFormatPr defaultColWidth="13.7265625" defaultRowHeight="12.5"/>
  <cols>
    <col min="1" max="1" width="9.453125" style="500" customWidth="1"/>
    <col min="2" max="2" width="43.7265625" style="500" customWidth="1"/>
    <col min="3" max="9" width="11" style="500" customWidth="1"/>
    <col min="10" max="16384" width="13.7265625" style="500"/>
  </cols>
  <sheetData>
    <row r="1" spans="1:9">
      <c r="A1" s="789"/>
      <c r="B1" s="789"/>
      <c r="C1" s="789"/>
      <c r="D1" s="789"/>
      <c r="E1" s="789"/>
      <c r="F1" s="789"/>
      <c r="G1" s="789"/>
      <c r="H1" s="789"/>
      <c r="I1" s="789"/>
    </row>
    <row r="2" spans="1:9" ht="15.5">
      <c r="A2" s="789"/>
      <c r="B2" s="1150" t="s">
        <v>412</v>
      </c>
      <c r="C2" s="1150"/>
      <c r="D2" s="1150"/>
      <c r="E2" s="1150"/>
      <c r="F2" s="1150"/>
      <c r="G2" s="1150"/>
      <c r="H2" s="1150"/>
      <c r="I2" s="1150"/>
    </row>
    <row r="3" spans="1:9" ht="42">
      <c r="A3" s="789"/>
      <c r="B3" s="915"/>
      <c r="C3" s="786" t="s">
        <v>357</v>
      </c>
      <c r="D3" s="786" t="s">
        <v>354</v>
      </c>
      <c r="E3" s="786" t="s">
        <v>303</v>
      </c>
      <c r="F3" s="786" t="s">
        <v>411</v>
      </c>
      <c r="G3" s="786" t="s">
        <v>410</v>
      </c>
      <c r="H3" s="786" t="s">
        <v>80</v>
      </c>
      <c r="I3" s="786" t="s">
        <v>409</v>
      </c>
    </row>
    <row r="4" spans="1:9" ht="13" thickBot="1">
      <c r="A4" s="789"/>
      <c r="B4" s="1004" t="s">
        <v>408</v>
      </c>
      <c r="C4" s="963" t="s">
        <v>1</v>
      </c>
      <c r="D4" s="963" t="s">
        <v>1</v>
      </c>
      <c r="E4" s="963" t="s">
        <v>1</v>
      </c>
      <c r="F4" s="963" t="s">
        <v>1</v>
      </c>
      <c r="G4" s="963" t="s">
        <v>1</v>
      </c>
      <c r="H4" s="963" t="s">
        <v>1</v>
      </c>
      <c r="I4" s="963" t="s">
        <v>1</v>
      </c>
    </row>
    <row r="5" spans="1:9">
      <c r="A5" s="789"/>
      <c r="B5" s="1030" t="s">
        <v>407</v>
      </c>
      <c r="C5" s="1032">
        <v>4288</v>
      </c>
      <c r="D5" s="1032">
        <v>13259</v>
      </c>
      <c r="E5" s="1032">
        <v>-77</v>
      </c>
      <c r="F5" s="1032">
        <v>53734</v>
      </c>
      <c r="G5" s="1031">
        <v>71204</v>
      </c>
      <c r="H5" s="1032">
        <v>660</v>
      </c>
      <c r="I5" s="1031">
        <v>71864</v>
      </c>
    </row>
    <row r="6" spans="1:9">
      <c r="A6" s="789"/>
      <c r="B6" s="1028" t="s">
        <v>79</v>
      </c>
      <c r="C6" s="887">
        <v>0</v>
      </c>
      <c r="D6" s="887">
        <v>763</v>
      </c>
      <c r="E6" s="887">
        <v>0</v>
      </c>
      <c r="F6" s="887">
        <v>4351</v>
      </c>
      <c r="G6" s="785">
        <v>5114</v>
      </c>
      <c r="H6" s="887">
        <v>29</v>
      </c>
      <c r="I6" s="785">
        <v>5143</v>
      </c>
    </row>
    <row r="7" spans="1:9">
      <c r="A7" s="789"/>
      <c r="B7" s="1028" t="s">
        <v>402</v>
      </c>
      <c r="C7" s="887">
        <v>0</v>
      </c>
      <c r="D7" s="887">
        <v>0</v>
      </c>
      <c r="E7" s="887">
        <v>-1328</v>
      </c>
      <c r="F7" s="887">
        <v>0</v>
      </c>
      <c r="G7" s="785">
        <v>-1328</v>
      </c>
      <c r="H7" s="887">
        <v>0</v>
      </c>
      <c r="I7" s="785">
        <v>-1328</v>
      </c>
    </row>
    <row r="8" spans="1:9">
      <c r="A8" s="789"/>
      <c r="B8" s="1028" t="s">
        <v>305</v>
      </c>
      <c r="C8" s="887">
        <v>0</v>
      </c>
      <c r="D8" s="887">
        <v>0</v>
      </c>
      <c r="E8" s="887">
        <v>-150</v>
      </c>
      <c r="F8" s="887">
        <v>0</v>
      </c>
      <c r="G8" s="785">
        <v>-150</v>
      </c>
      <c r="H8" s="887">
        <v>0</v>
      </c>
      <c r="I8" s="785">
        <v>-150</v>
      </c>
    </row>
    <row r="9" spans="1:9">
      <c r="A9" s="789"/>
      <c r="B9" s="1028" t="s">
        <v>401</v>
      </c>
      <c r="C9" s="887">
        <v>0</v>
      </c>
      <c r="D9" s="887">
        <v>0</v>
      </c>
      <c r="E9" s="887">
        <v>1409</v>
      </c>
      <c r="F9" s="887">
        <v>0</v>
      </c>
      <c r="G9" s="785">
        <v>1409</v>
      </c>
      <c r="H9" s="887">
        <v>0</v>
      </c>
      <c r="I9" s="785">
        <v>1409</v>
      </c>
    </row>
    <row r="10" spans="1:9">
      <c r="A10" s="789"/>
      <c r="B10" s="1028" t="s">
        <v>400</v>
      </c>
      <c r="C10" s="887">
        <v>0</v>
      </c>
      <c r="D10" s="887">
        <v>0</v>
      </c>
      <c r="E10" s="887">
        <v>0</v>
      </c>
      <c r="F10" s="887">
        <v>-127</v>
      </c>
      <c r="G10" s="785">
        <v>-127</v>
      </c>
      <c r="H10" s="887">
        <v>0</v>
      </c>
      <c r="I10" s="785">
        <v>-127</v>
      </c>
    </row>
    <row r="11" spans="1:9" ht="13" thickBot="1">
      <c r="A11" s="789"/>
      <c r="B11" s="1027" t="s">
        <v>399</v>
      </c>
      <c r="C11" s="995">
        <v>0</v>
      </c>
      <c r="D11" s="995">
        <v>0</v>
      </c>
      <c r="E11" s="995">
        <v>-491</v>
      </c>
      <c r="F11" s="995">
        <v>0</v>
      </c>
      <c r="G11" s="1002">
        <v>-491</v>
      </c>
      <c r="H11" s="995">
        <v>0</v>
      </c>
      <c r="I11" s="1002">
        <v>-491</v>
      </c>
    </row>
    <row r="12" spans="1:9">
      <c r="A12" s="789"/>
      <c r="B12" s="994" t="s">
        <v>398</v>
      </c>
      <c r="C12" s="1000">
        <v>0</v>
      </c>
      <c r="D12" s="1000">
        <v>763</v>
      </c>
      <c r="E12" s="1000">
        <v>-560</v>
      </c>
      <c r="F12" s="1000">
        <v>4224</v>
      </c>
      <c r="G12" s="1018">
        <v>4427</v>
      </c>
      <c r="H12" s="1000">
        <v>29</v>
      </c>
      <c r="I12" s="1018">
        <v>4456</v>
      </c>
    </row>
    <row r="13" spans="1:9">
      <c r="A13" s="789"/>
      <c r="B13" s="1028" t="s">
        <v>397</v>
      </c>
      <c r="C13" s="887">
        <v>80</v>
      </c>
      <c r="D13" s="887">
        <v>0</v>
      </c>
      <c r="E13" s="887">
        <v>0</v>
      </c>
      <c r="F13" s="887">
        <v>740</v>
      </c>
      <c r="G13" s="785">
        <v>820</v>
      </c>
      <c r="H13" s="887">
        <v>0</v>
      </c>
      <c r="I13" s="785">
        <v>820</v>
      </c>
    </row>
    <row r="14" spans="1:9">
      <c r="A14" s="789"/>
      <c r="B14" s="1028" t="s">
        <v>396</v>
      </c>
      <c r="C14" s="887">
        <v>0</v>
      </c>
      <c r="D14" s="887">
        <v>-1508</v>
      </c>
      <c r="E14" s="887">
        <v>0</v>
      </c>
      <c r="F14" s="887">
        <v>-97</v>
      </c>
      <c r="G14" s="785">
        <v>-1605</v>
      </c>
      <c r="H14" s="887">
        <v>0</v>
      </c>
      <c r="I14" s="785">
        <v>-1605</v>
      </c>
    </row>
    <row r="15" spans="1:9">
      <c r="A15" s="789"/>
      <c r="B15" s="1028" t="s">
        <v>395</v>
      </c>
      <c r="C15" s="887">
        <v>0</v>
      </c>
      <c r="D15" s="887">
        <v>-763</v>
      </c>
      <c r="E15" s="887">
        <v>0</v>
      </c>
      <c r="F15" s="887">
        <v>0</v>
      </c>
      <c r="G15" s="785">
        <v>-763</v>
      </c>
      <c r="H15" s="887">
        <v>0</v>
      </c>
      <c r="I15" s="785">
        <v>-763</v>
      </c>
    </row>
    <row r="16" spans="1:9" hidden="1">
      <c r="A16" s="789"/>
      <c r="B16" s="1028" t="s">
        <v>406</v>
      </c>
      <c r="C16" s="887">
        <v>0</v>
      </c>
      <c r="D16" s="887">
        <v>0</v>
      </c>
      <c r="E16" s="887">
        <v>262</v>
      </c>
      <c r="F16" s="887">
        <v>-495</v>
      </c>
      <c r="G16" s="785">
        <v>-233</v>
      </c>
      <c r="H16" s="887">
        <v>0</v>
      </c>
      <c r="I16" s="785">
        <v>-233</v>
      </c>
    </row>
    <row r="17" spans="1:9" hidden="1">
      <c r="A17" s="789"/>
      <c r="B17" s="1028" t="s">
        <v>405</v>
      </c>
      <c r="C17" s="887">
        <v>0</v>
      </c>
      <c r="D17" s="887">
        <v>0</v>
      </c>
      <c r="E17" s="887">
        <v>-266</v>
      </c>
      <c r="F17" s="887">
        <v>0</v>
      </c>
      <c r="G17" s="785">
        <v>-266</v>
      </c>
      <c r="H17" s="887">
        <v>0</v>
      </c>
      <c r="I17" s="785">
        <v>-266</v>
      </c>
    </row>
    <row r="18" spans="1:9">
      <c r="A18" s="789"/>
      <c r="B18" s="1028" t="s">
        <v>392</v>
      </c>
      <c r="C18" s="887">
        <v>0</v>
      </c>
      <c r="D18" s="887">
        <v>0</v>
      </c>
      <c r="E18" s="887">
        <v>-4</v>
      </c>
      <c r="F18" s="887">
        <v>-495</v>
      </c>
      <c r="G18" s="785">
        <v>-499</v>
      </c>
      <c r="H18" s="887">
        <v>0</v>
      </c>
      <c r="I18" s="785">
        <v>-499</v>
      </c>
    </row>
    <row r="19" spans="1:9">
      <c r="B19" s="1028" t="s">
        <v>391</v>
      </c>
      <c r="C19" s="887">
        <v>0</v>
      </c>
      <c r="D19" s="887">
        <v>0</v>
      </c>
      <c r="E19" s="887">
        <v>0</v>
      </c>
      <c r="F19" s="887">
        <v>-1221</v>
      </c>
      <c r="G19" s="785">
        <v>-1221</v>
      </c>
      <c r="H19" s="887">
        <v>-29</v>
      </c>
      <c r="I19" s="785">
        <v>-1250</v>
      </c>
    </row>
    <row r="20" spans="1:9">
      <c r="B20" s="1028" t="s">
        <v>390</v>
      </c>
      <c r="C20" s="887">
        <v>-163</v>
      </c>
      <c r="D20" s="887">
        <v>0</v>
      </c>
      <c r="E20" s="887">
        <v>163</v>
      </c>
      <c r="F20" s="887">
        <v>-1373</v>
      </c>
      <c r="G20" s="785">
        <v>-1373</v>
      </c>
      <c r="H20" s="887">
        <v>0</v>
      </c>
      <c r="I20" s="785">
        <v>-1373</v>
      </c>
    </row>
    <row r="21" spans="1:9" hidden="1">
      <c r="B21" s="1028" t="s">
        <v>389</v>
      </c>
      <c r="C21" s="887">
        <v>0</v>
      </c>
      <c r="D21" s="887">
        <v>0</v>
      </c>
      <c r="E21" s="887">
        <v>0</v>
      </c>
      <c r="F21" s="887">
        <v>0</v>
      </c>
      <c r="G21" s="785">
        <v>0</v>
      </c>
      <c r="H21" s="887">
        <v>0</v>
      </c>
      <c r="I21" s="785">
        <v>0</v>
      </c>
    </row>
    <row r="22" spans="1:9" ht="13" thickBot="1">
      <c r="B22" s="1027" t="s">
        <v>388</v>
      </c>
      <c r="C22" s="995">
        <v>0</v>
      </c>
      <c r="D22" s="995">
        <v>-12</v>
      </c>
      <c r="E22" s="995">
        <v>2</v>
      </c>
      <c r="F22" s="995">
        <v>-8</v>
      </c>
      <c r="G22" s="1002">
        <v>-18</v>
      </c>
      <c r="H22" s="995">
        <v>0</v>
      </c>
      <c r="I22" s="1002">
        <v>-18</v>
      </c>
    </row>
    <row r="23" spans="1:9">
      <c r="B23" s="994" t="s">
        <v>387</v>
      </c>
      <c r="C23" s="1000">
        <v>4205</v>
      </c>
      <c r="D23" s="1000">
        <v>11739</v>
      </c>
      <c r="E23" s="1000">
        <v>-476</v>
      </c>
      <c r="F23" s="1000">
        <v>55504</v>
      </c>
      <c r="G23" s="1018">
        <v>70972</v>
      </c>
      <c r="H23" s="1000">
        <v>660</v>
      </c>
      <c r="I23" s="1018">
        <v>71632</v>
      </c>
    </row>
    <row r="24" spans="1:9">
      <c r="B24" s="836"/>
      <c r="C24" s="964"/>
      <c r="D24" s="964"/>
      <c r="E24" s="964"/>
      <c r="F24" s="964"/>
      <c r="G24" s="964"/>
      <c r="H24" s="964"/>
      <c r="I24" s="964"/>
    </row>
    <row r="25" spans="1:9" ht="13" thickBot="1">
      <c r="B25" s="1004" t="s">
        <v>404</v>
      </c>
      <c r="C25" s="963" t="s">
        <v>1</v>
      </c>
      <c r="D25" s="963" t="s">
        <v>1</v>
      </c>
      <c r="E25" s="963" t="s">
        <v>1</v>
      </c>
      <c r="F25" s="963" t="s">
        <v>1</v>
      </c>
      <c r="G25" s="963" t="s">
        <v>1</v>
      </c>
      <c r="H25" s="963" t="s">
        <v>1</v>
      </c>
      <c r="I25" s="963" t="s">
        <v>1</v>
      </c>
    </row>
    <row r="26" spans="1:9">
      <c r="B26" s="1030" t="s">
        <v>403</v>
      </c>
      <c r="C26" s="1006">
        <v>4256</v>
      </c>
      <c r="D26" s="1006">
        <v>12959</v>
      </c>
      <c r="E26" s="1006">
        <v>-882</v>
      </c>
      <c r="F26" s="1006">
        <v>54840</v>
      </c>
      <c r="G26" s="1029">
        <v>71173</v>
      </c>
      <c r="H26" s="1006">
        <v>660</v>
      </c>
      <c r="I26" s="1029">
        <v>71833</v>
      </c>
    </row>
    <row r="27" spans="1:9">
      <c r="B27" s="1028" t="s">
        <v>79</v>
      </c>
      <c r="C27" s="887">
        <v>0</v>
      </c>
      <c r="D27" s="887">
        <v>253</v>
      </c>
      <c r="E27" s="887">
        <v>0</v>
      </c>
      <c r="F27" s="887">
        <v>1564</v>
      </c>
      <c r="G27" s="785">
        <v>1817</v>
      </c>
      <c r="H27" s="887">
        <v>3</v>
      </c>
      <c r="I27" s="785">
        <v>1820</v>
      </c>
    </row>
    <row r="28" spans="1:9">
      <c r="B28" s="1028" t="s">
        <v>402</v>
      </c>
      <c r="C28" s="887">
        <v>0</v>
      </c>
      <c r="D28" s="887">
        <v>0</v>
      </c>
      <c r="E28" s="887">
        <v>-1244</v>
      </c>
      <c r="F28" s="887">
        <v>0</v>
      </c>
      <c r="G28" s="785">
        <v>-1244</v>
      </c>
      <c r="H28" s="887">
        <v>0</v>
      </c>
      <c r="I28" s="785">
        <v>-1244</v>
      </c>
    </row>
    <row r="29" spans="1:9">
      <c r="B29" s="1028" t="s">
        <v>305</v>
      </c>
      <c r="C29" s="887">
        <v>0</v>
      </c>
      <c r="D29" s="887">
        <v>0</v>
      </c>
      <c r="E29" s="887">
        <v>119</v>
      </c>
      <c r="F29" s="887">
        <v>0</v>
      </c>
      <c r="G29" s="785">
        <v>119</v>
      </c>
      <c r="H29" s="887">
        <v>0</v>
      </c>
      <c r="I29" s="785">
        <v>119</v>
      </c>
    </row>
    <row r="30" spans="1:9">
      <c r="B30" s="1028" t="s">
        <v>401</v>
      </c>
      <c r="C30" s="887">
        <v>0</v>
      </c>
      <c r="D30" s="887">
        <v>0</v>
      </c>
      <c r="E30" s="887">
        <v>1499</v>
      </c>
      <c r="F30" s="887">
        <v>0</v>
      </c>
      <c r="G30" s="785">
        <v>1499</v>
      </c>
      <c r="H30" s="887">
        <v>0</v>
      </c>
      <c r="I30" s="785">
        <v>1499</v>
      </c>
    </row>
    <row r="31" spans="1:9">
      <c r="B31" s="1028" t="s">
        <v>400</v>
      </c>
      <c r="C31" s="887">
        <v>0</v>
      </c>
      <c r="D31" s="887">
        <v>0</v>
      </c>
      <c r="E31" s="887">
        <v>0</v>
      </c>
      <c r="F31" s="887">
        <v>-30</v>
      </c>
      <c r="G31" s="785">
        <v>-30</v>
      </c>
      <c r="H31" s="887">
        <v>0</v>
      </c>
      <c r="I31" s="785">
        <v>-30</v>
      </c>
    </row>
    <row r="32" spans="1:9" ht="13" thickBot="1">
      <c r="B32" s="1027" t="s">
        <v>399</v>
      </c>
      <c r="C32" s="995">
        <v>0</v>
      </c>
      <c r="D32" s="995">
        <v>0</v>
      </c>
      <c r="E32" s="995">
        <v>-29</v>
      </c>
      <c r="F32" s="995">
        <v>0</v>
      </c>
      <c r="G32" s="1002">
        <v>-29</v>
      </c>
      <c r="H32" s="995">
        <v>0</v>
      </c>
      <c r="I32" s="1002">
        <v>-29</v>
      </c>
    </row>
    <row r="33" spans="2:9">
      <c r="B33" s="994" t="s">
        <v>398</v>
      </c>
      <c r="C33" s="1000">
        <v>0</v>
      </c>
      <c r="D33" s="1000">
        <v>253</v>
      </c>
      <c r="E33" s="1000">
        <v>345</v>
      </c>
      <c r="F33" s="1000">
        <v>1534</v>
      </c>
      <c r="G33" s="1018">
        <v>2132</v>
      </c>
      <c r="H33" s="1000">
        <v>3</v>
      </c>
      <c r="I33" s="1018">
        <v>2135</v>
      </c>
    </row>
    <row r="34" spans="2:9">
      <c r="B34" s="1028" t="s">
        <v>397</v>
      </c>
      <c r="C34" s="887">
        <v>15</v>
      </c>
      <c r="D34" s="887">
        <v>0</v>
      </c>
      <c r="E34" s="887">
        <v>0</v>
      </c>
      <c r="F34" s="887">
        <v>158</v>
      </c>
      <c r="G34" s="785">
        <v>173</v>
      </c>
      <c r="H34" s="887">
        <v>0</v>
      </c>
      <c r="I34" s="785">
        <v>173</v>
      </c>
    </row>
    <row r="35" spans="2:9">
      <c r="B35" s="1028" t="s">
        <v>396</v>
      </c>
      <c r="C35" s="887">
        <v>0</v>
      </c>
      <c r="D35" s="887">
        <v>-1245</v>
      </c>
      <c r="E35" s="887">
        <v>0</v>
      </c>
      <c r="F35" s="887">
        <v>-5</v>
      </c>
      <c r="G35" s="785">
        <v>-1250</v>
      </c>
      <c r="H35" s="887">
        <v>0</v>
      </c>
      <c r="I35" s="785">
        <v>-1250</v>
      </c>
    </row>
    <row r="36" spans="2:9">
      <c r="B36" s="1028" t="s">
        <v>395</v>
      </c>
      <c r="C36" s="887">
        <v>0</v>
      </c>
      <c r="D36" s="887">
        <v>-253</v>
      </c>
      <c r="E36" s="887">
        <v>0</v>
      </c>
      <c r="F36" s="887">
        <v>0</v>
      </c>
      <c r="G36" s="785">
        <v>-253</v>
      </c>
      <c r="H36" s="887">
        <v>0</v>
      </c>
      <c r="I36" s="785">
        <v>-253</v>
      </c>
    </row>
    <row r="37" spans="2:9" hidden="1">
      <c r="B37" s="1028" t="s">
        <v>394</v>
      </c>
      <c r="C37" s="887">
        <v>0</v>
      </c>
      <c r="D37" s="887">
        <v>0</v>
      </c>
      <c r="E37" s="887">
        <v>-10</v>
      </c>
      <c r="F37" s="887">
        <v>0</v>
      </c>
      <c r="G37" s="785">
        <v>-10</v>
      </c>
      <c r="H37" s="887">
        <v>0</v>
      </c>
      <c r="I37" s="785">
        <v>-10</v>
      </c>
    </row>
    <row r="38" spans="2:9" hidden="1">
      <c r="B38" s="1028" t="s">
        <v>393</v>
      </c>
      <c r="C38" s="887">
        <v>0</v>
      </c>
      <c r="D38" s="887">
        <v>0</v>
      </c>
      <c r="E38" s="887">
        <v>3</v>
      </c>
      <c r="F38" s="887">
        <v>-7</v>
      </c>
      <c r="G38" s="785">
        <v>-4</v>
      </c>
      <c r="H38" s="887">
        <v>0</v>
      </c>
      <c r="I38" s="785">
        <v>-4</v>
      </c>
    </row>
    <row r="39" spans="2:9">
      <c r="B39" s="1028" t="s">
        <v>392</v>
      </c>
      <c r="C39" s="887">
        <v>0</v>
      </c>
      <c r="D39" s="887">
        <v>0</v>
      </c>
      <c r="E39" s="887">
        <v>-7</v>
      </c>
      <c r="F39" s="887">
        <v>-7</v>
      </c>
      <c r="G39" s="785">
        <v>-14</v>
      </c>
      <c r="H39" s="887">
        <v>0</v>
      </c>
      <c r="I39" s="785">
        <v>-14</v>
      </c>
    </row>
    <row r="40" spans="2:9">
      <c r="B40" s="1028" t="s">
        <v>391</v>
      </c>
      <c r="C40" s="887">
        <v>0</v>
      </c>
      <c r="D40" s="887">
        <v>0</v>
      </c>
      <c r="E40" s="887">
        <v>0</v>
      </c>
      <c r="F40" s="887">
        <v>-425</v>
      </c>
      <c r="G40" s="785">
        <v>-425</v>
      </c>
      <c r="H40" s="887">
        <v>-3</v>
      </c>
      <c r="I40" s="785">
        <v>-428</v>
      </c>
    </row>
    <row r="41" spans="2:9">
      <c r="B41" s="1028" t="s">
        <v>390</v>
      </c>
      <c r="C41" s="887">
        <v>-66</v>
      </c>
      <c r="D41" s="887">
        <v>0</v>
      </c>
      <c r="E41" s="887">
        <v>66</v>
      </c>
      <c r="F41" s="887">
        <v>-591</v>
      </c>
      <c r="G41" s="785">
        <v>-591</v>
      </c>
      <c r="H41" s="887">
        <v>0</v>
      </c>
      <c r="I41" s="785">
        <v>-591</v>
      </c>
    </row>
    <row r="42" spans="2:9" hidden="1">
      <c r="B42" s="1028" t="s">
        <v>389</v>
      </c>
      <c r="C42" s="887">
        <v>0</v>
      </c>
      <c r="D42" s="887">
        <v>0</v>
      </c>
      <c r="E42" s="887">
        <v>0</v>
      </c>
      <c r="F42" s="887">
        <v>0</v>
      </c>
      <c r="G42" s="785">
        <v>0</v>
      </c>
      <c r="H42" s="887">
        <v>0</v>
      </c>
      <c r="I42" s="785">
        <v>0</v>
      </c>
    </row>
    <row r="43" spans="2:9" ht="13" thickBot="1">
      <c r="B43" s="1027" t="s">
        <v>388</v>
      </c>
      <c r="C43" s="995">
        <v>0</v>
      </c>
      <c r="D43" s="995">
        <v>25</v>
      </c>
      <c r="E43" s="995">
        <v>2</v>
      </c>
      <c r="F43" s="995">
        <v>0</v>
      </c>
      <c r="G43" s="1002">
        <v>27</v>
      </c>
      <c r="H43" s="995">
        <v>0</v>
      </c>
      <c r="I43" s="1002">
        <v>27</v>
      </c>
    </row>
    <row r="44" spans="2:9">
      <c r="B44" s="994" t="s">
        <v>387</v>
      </c>
      <c r="C44" s="1000">
        <v>4205</v>
      </c>
      <c r="D44" s="1000">
        <v>11739</v>
      </c>
      <c r="E44" s="1000">
        <v>-476</v>
      </c>
      <c r="F44" s="1000">
        <v>55504</v>
      </c>
      <c r="G44" s="1018">
        <v>70972</v>
      </c>
      <c r="H44" s="1000">
        <v>660</v>
      </c>
      <c r="I44" s="1018">
        <v>71632</v>
      </c>
    </row>
    <row r="45" spans="2:9">
      <c r="B45" s="835"/>
      <c r="C45" s="851"/>
      <c r="D45" s="851"/>
      <c r="E45" s="851"/>
      <c r="F45" s="851"/>
      <c r="G45" s="851"/>
      <c r="H45" s="851"/>
      <c r="I45" s="851"/>
    </row>
    <row r="46" spans="2:9">
      <c r="C46" s="1073" t="s">
        <v>169</v>
      </c>
      <c r="D46" s="1073" t="s">
        <v>127</v>
      </c>
    </row>
    <row r="47" spans="2:9" ht="13" thickBot="1">
      <c r="B47" s="1026" t="s">
        <v>386</v>
      </c>
      <c r="C47" s="1025" t="s">
        <v>1</v>
      </c>
      <c r="D47" s="1025" t="s">
        <v>1</v>
      </c>
    </row>
    <row r="48" spans="2:9">
      <c r="B48" s="1024" t="s">
        <v>304</v>
      </c>
      <c r="C48" s="1023">
        <v>2343</v>
      </c>
      <c r="D48" s="1022">
        <v>3671</v>
      </c>
    </row>
    <row r="49" spans="2:4">
      <c r="B49" s="867" t="s">
        <v>305</v>
      </c>
      <c r="C49" s="785">
        <v>-1516</v>
      </c>
      <c r="D49" s="820">
        <v>-1366</v>
      </c>
    </row>
    <row r="50" spans="2:4">
      <c r="B50" s="867" t="s">
        <v>385</v>
      </c>
      <c r="C50" s="785">
        <v>-2298</v>
      </c>
      <c r="D50" s="820">
        <v>-3707</v>
      </c>
    </row>
    <row r="51" spans="2:4">
      <c r="B51" s="867" t="s">
        <v>384</v>
      </c>
      <c r="C51" s="785">
        <v>-729</v>
      </c>
      <c r="D51" s="820">
        <v>-240</v>
      </c>
    </row>
    <row r="52" spans="2:4" ht="13" thickBot="1">
      <c r="B52" s="1021" t="s">
        <v>383</v>
      </c>
      <c r="C52" s="1002">
        <v>1724</v>
      </c>
      <c r="D52" s="1020">
        <v>1565</v>
      </c>
    </row>
    <row r="53" spans="2:4">
      <c r="B53" s="1019" t="s">
        <v>214</v>
      </c>
      <c r="C53" s="1018">
        <v>-476</v>
      </c>
      <c r="D53" s="1017">
        <v>-77</v>
      </c>
    </row>
    <row r="65" spans="7:9">
      <c r="G65" s="835"/>
      <c r="H65" s="835"/>
      <c r="I65" s="835"/>
    </row>
    <row r="66" spans="7:9">
      <c r="G66" s="835"/>
      <c r="H66" s="835"/>
      <c r="I66" s="835"/>
    </row>
    <row r="67" spans="7:9">
      <c r="G67" s="835"/>
      <c r="H67" s="835"/>
      <c r="I67" s="835"/>
    </row>
  </sheetData>
  <mergeCells count="1">
    <mergeCell ref="B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B2:M29"/>
  <sheetViews>
    <sheetView showGridLines="0" zoomScaleNormal="100" workbookViewId="0"/>
  </sheetViews>
  <sheetFormatPr defaultColWidth="8.81640625" defaultRowHeight="12.5"/>
  <cols>
    <col min="1" max="1" width="4" customWidth="1"/>
    <col min="2" max="2" width="41.453125" customWidth="1"/>
    <col min="3" max="3" width="15.1796875" customWidth="1"/>
    <col min="4" max="6" width="12.54296875" customWidth="1"/>
    <col min="7" max="7" width="12" customWidth="1"/>
    <col min="8" max="9" width="11.54296875" customWidth="1"/>
  </cols>
  <sheetData>
    <row r="2" spans="2:13" ht="15.5">
      <c r="B2" s="1151" t="s">
        <v>134</v>
      </c>
      <c r="C2" s="1151"/>
      <c r="K2" s="9"/>
      <c r="L2" s="9"/>
      <c r="M2" s="325"/>
    </row>
    <row r="3" spans="2:13">
      <c r="K3" s="9"/>
      <c r="L3" s="9"/>
      <c r="M3" s="325"/>
    </row>
    <row r="4" spans="2:13" ht="15.5">
      <c r="B4" s="1151" t="s">
        <v>206</v>
      </c>
      <c r="C4" s="1151"/>
      <c r="K4" s="9"/>
      <c r="L4" s="9"/>
      <c r="M4" s="325"/>
    </row>
    <row r="5" spans="2:13" ht="15.5">
      <c r="B5" s="583"/>
      <c r="C5" s="583"/>
      <c r="K5" s="9"/>
      <c r="L5" s="9"/>
      <c r="M5" s="325"/>
    </row>
    <row r="6" spans="2:13" ht="12.75" customHeight="1">
      <c r="C6" s="1152" t="s">
        <v>195</v>
      </c>
      <c r="D6" s="1152"/>
      <c r="E6" s="1152"/>
      <c r="F6" s="1152"/>
      <c r="G6" s="1152"/>
      <c r="H6" s="1152"/>
      <c r="K6" s="9"/>
      <c r="L6" s="9"/>
      <c r="M6" s="325"/>
    </row>
    <row r="7" spans="2:13" ht="31.5">
      <c r="B7" s="447"/>
      <c r="C7" s="448" t="s">
        <v>15</v>
      </c>
      <c r="D7" s="448" t="s">
        <v>122</v>
      </c>
      <c r="E7" s="448" t="s">
        <v>123</v>
      </c>
      <c r="F7" s="448" t="s">
        <v>124</v>
      </c>
      <c r="G7" s="448" t="s">
        <v>125</v>
      </c>
      <c r="H7" s="448" t="s">
        <v>11</v>
      </c>
      <c r="I7" s="448" t="s">
        <v>12</v>
      </c>
      <c r="K7" s="9"/>
      <c r="L7" s="9"/>
      <c r="M7" s="325"/>
    </row>
    <row r="8" spans="2:13">
      <c r="B8" s="449" t="s">
        <v>98</v>
      </c>
      <c r="C8" s="382" t="s">
        <v>1</v>
      </c>
      <c r="D8" s="382" t="s">
        <v>1</v>
      </c>
      <c r="E8" s="382" t="s">
        <v>1</v>
      </c>
      <c r="F8" s="382" t="s">
        <v>1</v>
      </c>
      <c r="G8" s="382" t="s">
        <v>1</v>
      </c>
      <c r="H8" s="382" t="s">
        <v>1</v>
      </c>
      <c r="I8" s="382" t="s">
        <v>1</v>
      </c>
      <c r="K8" s="9"/>
      <c r="L8" s="9"/>
      <c r="M8" s="325"/>
    </row>
    <row r="9" spans="2:13">
      <c r="B9" s="353" t="s">
        <v>6</v>
      </c>
      <c r="C9" s="450">
        <v>1684</v>
      </c>
      <c r="D9" s="450">
        <v>392</v>
      </c>
      <c r="E9" s="451">
        <v>225</v>
      </c>
      <c r="F9" s="451">
        <v>2266</v>
      </c>
      <c r="G9" s="451">
        <v>208</v>
      </c>
      <c r="H9" s="450">
        <v>-424</v>
      </c>
      <c r="I9" s="719">
        <v>4351</v>
      </c>
      <c r="K9" s="9"/>
      <c r="L9" s="9"/>
      <c r="M9" s="325"/>
    </row>
    <row r="10" spans="2:13">
      <c r="K10" s="9"/>
      <c r="L10" s="9"/>
      <c r="M10" s="325"/>
    </row>
    <row r="11" spans="2:13">
      <c r="B11" s="449"/>
      <c r="C11" s="442" t="s">
        <v>43</v>
      </c>
      <c r="D11" s="442" t="s">
        <v>43</v>
      </c>
      <c r="E11" s="442" t="s">
        <v>43</v>
      </c>
      <c r="F11" s="442" t="s">
        <v>43</v>
      </c>
      <c r="G11" s="442" t="s">
        <v>43</v>
      </c>
      <c r="H11" s="442" t="s">
        <v>43</v>
      </c>
      <c r="I11" s="442" t="s">
        <v>43</v>
      </c>
      <c r="K11" s="9"/>
      <c r="L11" s="9"/>
      <c r="M11" s="325"/>
    </row>
    <row r="12" spans="2:13">
      <c r="B12" s="365" t="s">
        <v>154</v>
      </c>
      <c r="C12" s="452">
        <v>14.4</v>
      </c>
      <c r="D12" s="609">
        <v>3</v>
      </c>
      <c r="E12" s="452">
        <v>1.1000000000000001</v>
      </c>
      <c r="F12" s="452">
        <v>29.8</v>
      </c>
      <c r="G12" s="452">
        <v>3.7</v>
      </c>
      <c r="H12" s="452">
        <v>6.3</v>
      </c>
      <c r="I12" s="446">
        <v>58.3</v>
      </c>
      <c r="K12" s="9"/>
      <c r="L12" s="9"/>
      <c r="M12" s="325"/>
    </row>
    <row r="13" spans="2:13">
      <c r="B13" s="357" t="s">
        <v>20</v>
      </c>
      <c r="C13" s="458">
        <v>-3.9</v>
      </c>
      <c r="D13" s="459">
        <v>0</v>
      </c>
      <c r="E13" s="460">
        <v>-0.1</v>
      </c>
      <c r="F13" s="459">
        <v>0</v>
      </c>
      <c r="G13" s="460">
        <v>-0.4</v>
      </c>
      <c r="H13" s="460">
        <v>-3.5</v>
      </c>
      <c r="I13" s="461">
        <v>-7.9</v>
      </c>
      <c r="K13" s="9"/>
      <c r="L13" s="9"/>
      <c r="M13" s="325"/>
    </row>
    <row r="14" spans="2:13">
      <c r="B14" s="353" t="s">
        <v>155</v>
      </c>
      <c r="C14" s="475">
        <v>10.5</v>
      </c>
      <c r="D14" s="475">
        <v>3</v>
      </c>
      <c r="E14" s="475">
        <v>1</v>
      </c>
      <c r="F14" s="475">
        <v>29.8</v>
      </c>
      <c r="G14" s="368">
        <v>3.3</v>
      </c>
      <c r="H14" s="368">
        <v>2.8</v>
      </c>
      <c r="I14" s="454">
        <v>50.4</v>
      </c>
      <c r="K14" s="9"/>
      <c r="L14" s="9"/>
      <c r="M14" s="325"/>
    </row>
    <row r="15" spans="2:13">
      <c r="K15" s="9"/>
      <c r="L15" s="9"/>
      <c r="M15" s="325"/>
    </row>
    <row r="16" spans="2:13">
      <c r="B16" s="353" t="s">
        <v>98</v>
      </c>
      <c r="C16" s="477">
        <v>0.214</v>
      </c>
      <c r="D16" s="477">
        <v>0.17300000000000001</v>
      </c>
      <c r="E16" s="477">
        <v>0.29499999999999998</v>
      </c>
      <c r="F16" s="477">
        <v>0.10099999999999999</v>
      </c>
      <c r="G16" s="477">
        <v>8.4000000000000005E-2</v>
      </c>
      <c r="H16" s="477" t="s">
        <v>192</v>
      </c>
      <c r="I16" s="478">
        <v>0.115</v>
      </c>
      <c r="K16" s="9"/>
      <c r="L16" s="9"/>
      <c r="M16" s="325"/>
    </row>
    <row r="17" spans="2:13">
      <c r="K17" s="9"/>
      <c r="L17" s="9"/>
      <c r="M17" s="325"/>
    </row>
    <row r="18" spans="2:13">
      <c r="K18" s="325"/>
      <c r="L18" s="325"/>
      <c r="M18" s="325"/>
    </row>
    <row r="19" spans="2:13" ht="12.75" customHeight="1">
      <c r="C19" s="1152" t="s">
        <v>196</v>
      </c>
      <c r="D19" s="1152"/>
      <c r="E19" s="1152"/>
      <c r="F19" s="1152"/>
      <c r="G19" s="1152"/>
      <c r="H19" s="1152"/>
    </row>
    <row r="20" spans="2:13" ht="31.5">
      <c r="B20" s="447"/>
      <c r="C20" s="448" t="s">
        <v>15</v>
      </c>
      <c r="D20" s="448" t="s">
        <v>122</v>
      </c>
      <c r="E20" s="448" t="s">
        <v>126</v>
      </c>
      <c r="F20" s="448" t="s">
        <v>124</v>
      </c>
      <c r="G20" s="448" t="s">
        <v>125</v>
      </c>
      <c r="H20" s="448" t="s">
        <v>11</v>
      </c>
      <c r="I20" s="448" t="s">
        <v>12</v>
      </c>
    </row>
    <row r="21" spans="2:13">
      <c r="B21" s="449" t="s">
        <v>98</v>
      </c>
      <c r="C21" s="382" t="s">
        <v>1</v>
      </c>
      <c r="D21" s="382" t="s">
        <v>1</v>
      </c>
      <c r="E21" s="382" t="s">
        <v>1</v>
      </c>
      <c r="F21" s="382" t="s">
        <v>1</v>
      </c>
      <c r="G21" s="382" t="s">
        <v>1</v>
      </c>
      <c r="H21" s="382" t="s">
        <v>1</v>
      </c>
      <c r="I21" s="382" t="s">
        <v>1</v>
      </c>
    </row>
    <row r="22" spans="2:13">
      <c r="B22" s="365" t="s">
        <v>6</v>
      </c>
      <c r="C22" s="450">
        <v>1580</v>
      </c>
      <c r="D22" s="450">
        <v>525</v>
      </c>
      <c r="E22" s="450">
        <v>283</v>
      </c>
      <c r="F22" s="450">
        <v>2190</v>
      </c>
      <c r="G22" s="450">
        <v>134</v>
      </c>
      <c r="H22" s="450">
        <v>-327</v>
      </c>
      <c r="I22" s="719">
        <v>4385</v>
      </c>
    </row>
    <row r="24" spans="2:13">
      <c r="B24" s="449"/>
      <c r="C24" s="394" t="s">
        <v>43</v>
      </c>
      <c r="D24" s="394" t="s">
        <v>43</v>
      </c>
      <c r="E24" s="442" t="s">
        <v>43</v>
      </c>
      <c r="F24" s="442" t="s">
        <v>43</v>
      </c>
      <c r="G24" s="442" t="s">
        <v>43</v>
      </c>
      <c r="H24" s="442" t="s">
        <v>43</v>
      </c>
      <c r="I24" s="442" t="s">
        <v>43</v>
      </c>
    </row>
    <row r="25" spans="2:13">
      <c r="B25" s="365" t="s">
        <v>135</v>
      </c>
      <c r="C25" s="455">
        <v>14</v>
      </c>
      <c r="D25" s="455">
        <v>2.9</v>
      </c>
      <c r="E25" s="456">
        <v>1.1000000000000001</v>
      </c>
      <c r="F25" s="456">
        <v>29</v>
      </c>
      <c r="G25" s="456">
        <v>3.9</v>
      </c>
      <c r="H25" s="456">
        <v>4.5999999999999996</v>
      </c>
      <c r="I25" s="457">
        <v>55.5</v>
      </c>
    </row>
    <row r="26" spans="2:13">
      <c r="B26" s="357" t="s">
        <v>20</v>
      </c>
      <c r="C26" s="458">
        <v>-3.8</v>
      </c>
      <c r="D26" s="459">
        <v>0</v>
      </c>
      <c r="E26" s="460">
        <v>-0.1</v>
      </c>
      <c r="F26" s="459">
        <v>0</v>
      </c>
      <c r="G26" s="460">
        <v>-0.7</v>
      </c>
      <c r="H26" s="460">
        <v>-3.9</v>
      </c>
      <c r="I26" s="461">
        <v>-8.5</v>
      </c>
    </row>
    <row r="27" spans="2:13">
      <c r="B27" s="353" t="s">
        <v>97</v>
      </c>
      <c r="C27" s="453">
        <v>10.199999999999999</v>
      </c>
      <c r="D27" s="453">
        <v>2.9</v>
      </c>
      <c r="E27" s="462">
        <v>1</v>
      </c>
      <c r="F27" s="462">
        <v>29</v>
      </c>
      <c r="G27" s="462">
        <v>3.2</v>
      </c>
      <c r="H27" s="462">
        <v>0.7</v>
      </c>
      <c r="I27" s="463">
        <v>47</v>
      </c>
    </row>
    <row r="29" spans="2:13">
      <c r="B29" s="353" t="s">
        <v>98</v>
      </c>
      <c r="C29" s="464">
        <v>0.20600000000000002</v>
      </c>
      <c r="D29" s="464">
        <v>0.24399999999999999</v>
      </c>
      <c r="E29" s="465">
        <v>0.371</v>
      </c>
      <c r="F29" s="465">
        <v>0.10099999999999999</v>
      </c>
      <c r="G29" s="465">
        <v>5.7000000000000002E-2</v>
      </c>
      <c r="H29" s="368" t="s">
        <v>192</v>
      </c>
      <c r="I29" s="466">
        <v>0.125</v>
      </c>
    </row>
  </sheetData>
  <mergeCells count="4">
    <mergeCell ref="B2:C2"/>
    <mergeCell ref="C6:H6"/>
    <mergeCell ref="C19:H19"/>
    <mergeCell ref="B4:C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L77"/>
  <sheetViews>
    <sheetView showGridLines="0" zoomScaleNormal="100" workbookViewId="0"/>
  </sheetViews>
  <sheetFormatPr defaultColWidth="9" defaultRowHeight="12.5"/>
  <cols>
    <col min="1" max="1" width="3.81640625" style="9" customWidth="1"/>
    <col min="2" max="2" width="44.54296875" style="9" bestFit="1" customWidth="1"/>
    <col min="3" max="3" width="7.1796875" style="9" customWidth="1"/>
    <col min="4" max="4" width="7.1796875" style="281" customWidth="1"/>
    <col min="5" max="5" width="7.1796875" style="9" customWidth="1"/>
    <col min="6" max="6" width="1.81640625" style="9" customWidth="1"/>
    <col min="7" max="8" width="7.1796875" style="9" customWidth="1"/>
    <col min="9" max="9" width="7.1796875" style="281" customWidth="1"/>
    <col min="10" max="10" width="7.1796875" style="9" customWidth="1"/>
    <col min="11" max="11" width="1.81640625" style="9" customWidth="1"/>
    <col min="12" max="12" width="7.1796875" style="9" customWidth="1"/>
    <col min="13" max="13" width="3.1796875" style="9" customWidth="1"/>
    <col min="14" max="16384" width="9" style="9"/>
  </cols>
  <sheetData>
    <row r="2" spans="2:12" ht="18.75" customHeight="1">
      <c r="B2" s="80" t="s">
        <v>12</v>
      </c>
      <c r="C2" s="10"/>
      <c r="D2" s="278"/>
      <c r="E2" s="10"/>
      <c r="F2" s="10"/>
      <c r="G2" s="10"/>
      <c r="H2" s="10"/>
      <c r="I2" s="278"/>
      <c r="J2" s="10"/>
      <c r="K2" s="10"/>
      <c r="L2" s="10"/>
    </row>
    <row r="3" spans="2:12" ht="12" customHeight="1">
      <c r="B3" s="150"/>
      <c r="C3" s="267" t="s">
        <v>191</v>
      </c>
      <c r="D3" s="267" t="s">
        <v>151</v>
      </c>
      <c r="E3" s="267" t="s">
        <v>130</v>
      </c>
      <c r="F3" s="204"/>
      <c r="G3" s="123" t="s">
        <v>131</v>
      </c>
      <c r="H3" s="123" t="s">
        <v>132</v>
      </c>
      <c r="I3" s="123" t="s">
        <v>133</v>
      </c>
      <c r="J3" s="267" t="s">
        <v>111</v>
      </c>
      <c r="K3" s="204"/>
      <c r="L3" s="140" t="s">
        <v>115</v>
      </c>
    </row>
    <row r="4" spans="2:12">
      <c r="B4" s="151" t="s">
        <v>52</v>
      </c>
      <c r="C4" s="204" t="s">
        <v>1</v>
      </c>
      <c r="D4" s="268" t="s">
        <v>1</v>
      </c>
      <c r="E4" s="124" t="s">
        <v>1</v>
      </c>
      <c r="F4" s="204"/>
      <c r="G4" s="124" t="s">
        <v>1</v>
      </c>
      <c r="H4" s="124" t="s">
        <v>1</v>
      </c>
      <c r="I4" s="268" t="s">
        <v>1</v>
      </c>
      <c r="J4" s="141" t="s">
        <v>1</v>
      </c>
      <c r="K4" s="204"/>
      <c r="L4" s="141" t="s">
        <v>1</v>
      </c>
    </row>
    <row r="5" spans="2:12">
      <c r="B5" s="111" t="s">
        <v>6</v>
      </c>
      <c r="C5" s="468">
        <v>1564</v>
      </c>
      <c r="D5" s="181">
        <v>1237</v>
      </c>
      <c r="E5" s="153">
        <v>1550</v>
      </c>
      <c r="F5" s="114"/>
      <c r="G5" s="153">
        <v>-111</v>
      </c>
      <c r="H5" s="152">
        <v>1274</v>
      </c>
      <c r="I5" s="181">
        <v>1328</v>
      </c>
      <c r="J5" s="153">
        <v>1783</v>
      </c>
      <c r="K5" s="114"/>
      <c r="L5" s="153">
        <v>1036</v>
      </c>
    </row>
    <row r="6" spans="2:12">
      <c r="B6" s="154"/>
      <c r="C6" s="146"/>
      <c r="D6" s="182"/>
      <c r="E6" s="155"/>
      <c r="F6" s="146"/>
      <c r="G6" s="155"/>
      <c r="H6" s="146"/>
      <c r="I6" s="182"/>
      <c r="J6" s="155"/>
      <c r="K6" s="146"/>
      <c r="L6" s="155"/>
    </row>
    <row r="7" spans="2:12" ht="11.25" customHeight="1">
      <c r="B7" s="151"/>
      <c r="C7" s="124" t="s">
        <v>43</v>
      </c>
      <c r="D7" s="268" t="s">
        <v>43</v>
      </c>
      <c r="E7" s="141" t="s">
        <v>43</v>
      </c>
      <c r="F7" s="146"/>
      <c r="G7" s="141" t="s">
        <v>43</v>
      </c>
      <c r="H7" s="124" t="s">
        <v>43</v>
      </c>
      <c r="I7" s="268" t="s">
        <v>43</v>
      </c>
      <c r="J7" s="141" t="s">
        <v>43</v>
      </c>
      <c r="K7" s="146"/>
      <c r="L7" s="141" t="s">
        <v>43</v>
      </c>
    </row>
    <row r="8" spans="2:12" ht="11.25" customHeight="1">
      <c r="B8" s="111" t="s">
        <v>94</v>
      </c>
      <c r="C8" s="125">
        <v>59.1</v>
      </c>
      <c r="D8" s="156">
        <v>57.7</v>
      </c>
      <c r="E8" s="201">
        <v>58.3</v>
      </c>
      <c r="F8" s="146"/>
      <c r="G8" s="201">
        <v>57.1</v>
      </c>
      <c r="H8" s="125">
        <v>55.1</v>
      </c>
      <c r="I8" s="156">
        <v>55.4</v>
      </c>
      <c r="J8" s="201">
        <v>55.9</v>
      </c>
      <c r="K8" s="146"/>
      <c r="L8" s="201">
        <v>54.9</v>
      </c>
    </row>
    <row r="9" spans="2:12" ht="11.25" customHeight="1">
      <c r="B9" s="116" t="s">
        <v>20</v>
      </c>
      <c r="C9" s="144">
        <v>-8.1</v>
      </c>
      <c r="D9" s="157">
        <v>-7.9</v>
      </c>
      <c r="E9" s="221">
        <v>-7.8</v>
      </c>
      <c r="F9" s="146"/>
      <c r="G9" s="221">
        <v>-8.1999999999999993</v>
      </c>
      <c r="H9" s="144">
        <v>-8.6</v>
      </c>
      <c r="I9" s="157">
        <v>-8.6999999999999993</v>
      </c>
      <c r="J9" s="221">
        <v>-8.3000000000000007</v>
      </c>
      <c r="K9" s="146"/>
      <c r="L9" s="221">
        <v>-8.1999999999999993</v>
      </c>
    </row>
    <row r="10" spans="2:12" ht="11.25" customHeight="1">
      <c r="B10" s="158" t="s">
        <v>77</v>
      </c>
      <c r="C10" s="159">
        <v>51</v>
      </c>
      <c r="D10" s="279">
        <v>49.8</v>
      </c>
      <c r="E10" s="272">
        <v>50.5</v>
      </c>
      <c r="F10" s="146"/>
      <c r="G10" s="272">
        <v>48.9</v>
      </c>
      <c r="H10" s="159">
        <v>46.5</v>
      </c>
      <c r="I10" s="279">
        <v>46.7</v>
      </c>
      <c r="J10" s="272">
        <v>47.6</v>
      </c>
      <c r="K10" s="146"/>
      <c r="L10" s="272">
        <v>46.7</v>
      </c>
    </row>
    <row r="11" spans="2:12" ht="12.75" customHeight="1">
      <c r="B11" s="126"/>
      <c r="C11" s="160"/>
      <c r="D11" s="186"/>
      <c r="E11" s="161"/>
      <c r="F11" s="146"/>
      <c r="G11" s="161"/>
      <c r="H11" s="160"/>
      <c r="I11" s="186"/>
      <c r="J11" s="161"/>
      <c r="K11" s="146"/>
      <c r="L11" s="161"/>
    </row>
    <row r="12" spans="2:12">
      <c r="B12" s="162" t="s">
        <v>52</v>
      </c>
      <c r="C12" s="163">
        <v>0.12300000000000001</v>
      </c>
      <c r="D12" s="331">
        <v>9.9000000000000005E-2</v>
      </c>
      <c r="E12" s="273">
        <v>0.12300000000000001</v>
      </c>
      <c r="F12" s="274"/>
      <c r="G12" s="754">
        <v>-9.0000000000000011E-3</v>
      </c>
      <c r="H12" s="163">
        <v>0.11</v>
      </c>
      <c r="I12" s="280">
        <v>0.114</v>
      </c>
      <c r="J12" s="273">
        <v>0.15</v>
      </c>
      <c r="K12" s="274"/>
      <c r="L12" s="273">
        <v>8.900000000000001E-2</v>
      </c>
    </row>
    <row r="13" spans="2:12">
      <c r="B13" s="11"/>
      <c r="C13" s="11"/>
      <c r="D13" s="196"/>
      <c r="E13" s="11"/>
      <c r="F13" s="11"/>
      <c r="G13" s="11"/>
      <c r="H13" s="11"/>
      <c r="I13" s="196"/>
      <c r="J13" s="41"/>
      <c r="K13" s="11"/>
      <c r="L13" s="41"/>
    </row>
    <row r="15" spans="2:12" ht="15.5">
      <c r="B15" s="83" t="s">
        <v>15</v>
      </c>
      <c r="C15" s="84"/>
      <c r="D15" s="285"/>
      <c r="E15" s="275"/>
      <c r="F15" s="84"/>
      <c r="G15" s="275"/>
      <c r="H15" s="84"/>
      <c r="I15" s="285"/>
      <c r="J15" s="275"/>
      <c r="K15" s="84"/>
      <c r="L15" s="275"/>
    </row>
    <row r="16" spans="2:12">
      <c r="B16" s="447"/>
      <c r="C16" s="267" t="s">
        <v>191</v>
      </c>
      <c r="D16" s="267" t="s">
        <v>151</v>
      </c>
      <c r="E16" s="267" t="s">
        <v>130</v>
      </c>
      <c r="F16" s="204"/>
      <c r="G16" s="123" t="s">
        <v>131</v>
      </c>
      <c r="H16" s="123" t="s">
        <v>132</v>
      </c>
      <c r="I16" s="123" t="s">
        <v>133</v>
      </c>
      <c r="J16" s="267" t="s">
        <v>111</v>
      </c>
      <c r="K16" s="204"/>
      <c r="L16" s="140" t="s">
        <v>115</v>
      </c>
    </row>
    <row r="17" spans="2:12">
      <c r="B17" s="449" t="s">
        <v>13</v>
      </c>
      <c r="C17" s="382" t="s">
        <v>1</v>
      </c>
      <c r="D17" s="445" t="s">
        <v>1</v>
      </c>
      <c r="E17" s="445" t="s">
        <v>1</v>
      </c>
      <c r="F17" s="444"/>
      <c r="G17" s="445" t="s">
        <v>1</v>
      </c>
      <c r="H17" s="382" t="s">
        <v>1</v>
      </c>
      <c r="I17" s="445" t="s">
        <v>1</v>
      </c>
      <c r="J17" s="445" t="s">
        <v>1</v>
      </c>
      <c r="K17" s="444"/>
      <c r="L17" s="445" t="s">
        <v>1</v>
      </c>
    </row>
    <row r="18" spans="2:12">
      <c r="B18" s="365" t="s">
        <v>50</v>
      </c>
      <c r="C18" s="468">
        <v>621</v>
      </c>
      <c r="D18" s="469">
        <v>584</v>
      </c>
      <c r="E18" s="469">
        <v>479</v>
      </c>
      <c r="F18" s="393"/>
      <c r="G18" s="469">
        <v>382</v>
      </c>
      <c r="H18" s="468">
        <v>531</v>
      </c>
      <c r="I18" s="469">
        <v>534</v>
      </c>
      <c r="J18" s="469">
        <v>515</v>
      </c>
      <c r="K18" s="393"/>
      <c r="L18" s="469">
        <v>474</v>
      </c>
    </row>
    <row r="19" spans="2:12">
      <c r="B19" s="443"/>
      <c r="C19" s="362"/>
      <c r="D19" s="363"/>
      <c r="E19" s="363"/>
      <c r="F19" s="363"/>
      <c r="G19" s="363"/>
      <c r="H19" s="362"/>
      <c r="I19" s="363"/>
      <c r="J19" s="363"/>
      <c r="K19" s="363"/>
      <c r="L19" s="363"/>
    </row>
    <row r="20" spans="2:12">
      <c r="B20" s="449"/>
      <c r="C20" s="394" t="s">
        <v>43</v>
      </c>
      <c r="D20" s="394" t="s">
        <v>43</v>
      </c>
      <c r="E20" s="394" t="s">
        <v>43</v>
      </c>
      <c r="F20" s="470"/>
      <c r="G20" s="394" t="s">
        <v>43</v>
      </c>
      <c r="H20" s="394" t="s">
        <v>43</v>
      </c>
      <c r="I20" s="394" t="s">
        <v>43</v>
      </c>
      <c r="J20" s="394" t="s">
        <v>43</v>
      </c>
      <c r="K20" s="470"/>
      <c r="L20" s="394" t="s">
        <v>43</v>
      </c>
    </row>
    <row r="21" spans="2:12">
      <c r="B21" s="365" t="s">
        <v>156</v>
      </c>
      <c r="C21" s="457">
        <v>14.5</v>
      </c>
      <c r="D21" s="455">
        <v>14.4</v>
      </c>
      <c r="E21" s="455">
        <v>14.3</v>
      </c>
      <c r="F21" s="377"/>
      <c r="G21" s="455">
        <v>14.1</v>
      </c>
      <c r="H21" s="457">
        <v>14</v>
      </c>
      <c r="I21" s="455">
        <v>14.2</v>
      </c>
      <c r="J21" s="455">
        <v>13.9</v>
      </c>
      <c r="K21" s="377"/>
      <c r="L21" s="455">
        <v>13.7</v>
      </c>
    </row>
    <row r="22" spans="2:12">
      <c r="B22" s="357" t="s">
        <v>157</v>
      </c>
      <c r="C22" s="461">
        <v>-3.9</v>
      </c>
      <c r="D22" s="458">
        <v>-3.9</v>
      </c>
      <c r="E22" s="458">
        <v>-3.9</v>
      </c>
      <c r="F22" s="377"/>
      <c r="G22" s="458">
        <v>-3.9</v>
      </c>
      <c r="H22" s="461">
        <v>-3.9</v>
      </c>
      <c r="I22" s="458">
        <v>-4</v>
      </c>
      <c r="J22" s="458">
        <v>-3.6</v>
      </c>
      <c r="K22" s="377"/>
      <c r="L22" s="458">
        <v>-3.5</v>
      </c>
    </row>
    <row r="23" spans="2:12">
      <c r="B23" s="353" t="s">
        <v>158</v>
      </c>
      <c r="C23" s="463">
        <v>10.6</v>
      </c>
      <c r="D23" s="453">
        <v>10.5</v>
      </c>
      <c r="E23" s="453">
        <v>10.4</v>
      </c>
      <c r="F23" s="363"/>
      <c r="G23" s="453">
        <v>10.199999999999999</v>
      </c>
      <c r="H23" s="463">
        <v>10.1</v>
      </c>
      <c r="I23" s="453">
        <v>10.199999999999999</v>
      </c>
      <c r="J23" s="453">
        <v>10.3</v>
      </c>
      <c r="K23" s="363"/>
      <c r="L23" s="453">
        <v>10.199999999999999</v>
      </c>
    </row>
    <row r="24" spans="2:12">
      <c r="B24" s="471"/>
      <c r="C24" s="352"/>
      <c r="D24" s="472"/>
      <c r="E24" s="472"/>
      <c r="F24" s="363"/>
      <c r="G24" s="472"/>
      <c r="H24" s="352"/>
      <c r="I24" s="472"/>
      <c r="J24" s="472"/>
      <c r="K24" s="363"/>
      <c r="L24" s="472"/>
    </row>
    <row r="25" spans="2:12">
      <c r="B25" s="473" t="s">
        <v>13</v>
      </c>
      <c r="C25" s="466">
        <v>0.23399999999999999</v>
      </c>
      <c r="D25" s="464">
        <v>0.223</v>
      </c>
      <c r="E25" s="464">
        <v>0.185</v>
      </c>
      <c r="F25" s="363"/>
      <c r="G25" s="464">
        <v>0.14899999999999999</v>
      </c>
      <c r="H25" s="466">
        <v>0.21</v>
      </c>
      <c r="I25" s="464">
        <v>0.20899999999999999</v>
      </c>
      <c r="J25" s="464">
        <v>0.2</v>
      </c>
      <c r="K25" s="363"/>
      <c r="L25" s="464">
        <v>0.187</v>
      </c>
    </row>
    <row r="28" spans="2:12" ht="15.5">
      <c r="B28" s="80" t="s">
        <v>122</v>
      </c>
      <c r="C28" s="90"/>
      <c r="D28" s="298"/>
      <c r="E28" s="90"/>
      <c r="F28" s="276"/>
      <c r="G28" s="90"/>
      <c r="H28" s="90"/>
      <c r="I28" s="298"/>
      <c r="J28" s="90"/>
      <c r="K28" s="276"/>
      <c r="L28" s="276"/>
    </row>
    <row r="29" spans="2:12">
      <c r="B29" s="150"/>
      <c r="C29" s="267" t="s">
        <v>191</v>
      </c>
      <c r="D29" s="267" t="s">
        <v>151</v>
      </c>
      <c r="E29" s="267" t="s">
        <v>130</v>
      </c>
      <c r="F29" s="204"/>
      <c r="G29" s="123" t="s">
        <v>131</v>
      </c>
      <c r="H29" s="123" t="s">
        <v>132</v>
      </c>
      <c r="I29" s="123" t="s">
        <v>133</v>
      </c>
      <c r="J29" s="267" t="s">
        <v>111</v>
      </c>
      <c r="K29" s="204"/>
      <c r="L29" s="140" t="s">
        <v>115</v>
      </c>
    </row>
    <row r="30" spans="2:12">
      <c r="B30" s="150" t="s">
        <v>13</v>
      </c>
      <c r="C30" s="268" t="s">
        <v>1</v>
      </c>
      <c r="D30" s="268" t="s">
        <v>1</v>
      </c>
      <c r="E30" s="141" t="s">
        <v>1</v>
      </c>
      <c r="F30" s="204"/>
      <c r="G30" s="141" t="s">
        <v>1</v>
      </c>
      <c r="H30" s="141" t="s">
        <v>1</v>
      </c>
      <c r="I30" s="268" t="s">
        <v>1</v>
      </c>
      <c r="J30" s="141" t="s">
        <v>1</v>
      </c>
      <c r="K30" s="204"/>
      <c r="L30" s="141" t="s">
        <v>1</v>
      </c>
    </row>
    <row r="31" spans="2:12">
      <c r="B31" s="111" t="s">
        <v>50</v>
      </c>
      <c r="C31" s="152">
        <v>144</v>
      </c>
      <c r="D31" s="181">
        <v>135</v>
      </c>
      <c r="E31" s="153">
        <v>113</v>
      </c>
      <c r="F31" s="114"/>
      <c r="G31" s="153">
        <v>59</v>
      </c>
      <c r="H31" s="152">
        <v>129</v>
      </c>
      <c r="I31" s="181">
        <v>239</v>
      </c>
      <c r="J31" s="153">
        <v>157</v>
      </c>
      <c r="K31" s="114"/>
      <c r="L31" s="153">
        <v>131</v>
      </c>
    </row>
    <row r="32" spans="2:12">
      <c r="B32" s="154"/>
      <c r="C32" s="146"/>
      <c r="D32" s="182"/>
      <c r="E32" s="155"/>
      <c r="F32" s="146"/>
      <c r="G32" s="155"/>
      <c r="H32" s="146"/>
      <c r="I32" s="182"/>
      <c r="J32" s="155"/>
      <c r="K32" s="146"/>
      <c r="L32" s="155"/>
    </row>
    <row r="33" spans="2:12">
      <c r="B33" s="151"/>
      <c r="C33" s="127" t="s">
        <v>43</v>
      </c>
      <c r="D33" s="183" t="s">
        <v>43</v>
      </c>
      <c r="E33" s="164" t="s">
        <v>43</v>
      </c>
      <c r="F33" s="225"/>
      <c r="G33" s="164" t="s">
        <v>43</v>
      </c>
      <c r="H33" s="127" t="s">
        <v>43</v>
      </c>
      <c r="I33" s="183" t="s">
        <v>43</v>
      </c>
      <c r="J33" s="164" t="s">
        <v>43</v>
      </c>
      <c r="K33" s="225"/>
      <c r="L33" s="164" t="s">
        <v>43</v>
      </c>
    </row>
    <row r="34" spans="2:12">
      <c r="B34" s="111" t="s">
        <v>95</v>
      </c>
      <c r="C34" s="125">
        <v>3.1</v>
      </c>
      <c r="D34" s="156">
        <v>3</v>
      </c>
      <c r="E34" s="201">
        <v>3</v>
      </c>
      <c r="F34" s="142"/>
      <c r="G34" s="201">
        <v>2.8</v>
      </c>
      <c r="H34" s="125">
        <v>2.8</v>
      </c>
      <c r="I34" s="156">
        <v>2.9</v>
      </c>
      <c r="J34" s="201">
        <v>2.9</v>
      </c>
      <c r="K34" s="142"/>
      <c r="L34" s="201">
        <v>2.9</v>
      </c>
    </row>
    <row r="35" spans="2:12">
      <c r="B35" s="116" t="s">
        <v>20</v>
      </c>
      <c r="C35" s="166">
        <v>0</v>
      </c>
      <c r="D35" s="299">
        <v>0</v>
      </c>
      <c r="E35" s="277">
        <v>0</v>
      </c>
      <c r="F35" s="225"/>
      <c r="G35" s="277">
        <v>0</v>
      </c>
      <c r="H35" s="166">
        <v>0</v>
      </c>
      <c r="I35" s="299">
        <v>0</v>
      </c>
      <c r="J35" s="277">
        <v>0</v>
      </c>
      <c r="K35" s="225"/>
      <c r="L35" s="277">
        <v>0</v>
      </c>
    </row>
    <row r="36" spans="2:12">
      <c r="B36" s="115" t="s">
        <v>14</v>
      </c>
      <c r="C36" s="159">
        <v>3.1</v>
      </c>
      <c r="D36" s="279">
        <v>3</v>
      </c>
      <c r="E36" s="272">
        <v>3</v>
      </c>
      <c r="F36" s="146"/>
      <c r="G36" s="272">
        <v>2.8</v>
      </c>
      <c r="H36" s="159">
        <v>2.8</v>
      </c>
      <c r="I36" s="279">
        <v>2.9</v>
      </c>
      <c r="J36" s="272">
        <v>2.9</v>
      </c>
      <c r="K36" s="146"/>
      <c r="L36" s="272">
        <v>2.9</v>
      </c>
    </row>
    <row r="37" spans="2:12">
      <c r="B37" s="126"/>
      <c r="C37" s="160"/>
      <c r="D37" s="186"/>
      <c r="E37" s="161"/>
      <c r="F37" s="146"/>
      <c r="G37" s="161"/>
      <c r="H37" s="160"/>
      <c r="I37" s="186"/>
      <c r="J37" s="161"/>
      <c r="K37" s="146"/>
      <c r="L37" s="161"/>
    </row>
    <row r="38" spans="2:12">
      <c r="B38" s="162" t="s">
        <v>13</v>
      </c>
      <c r="C38" s="149">
        <v>0.188</v>
      </c>
      <c r="D38" s="148">
        <v>0.18</v>
      </c>
      <c r="E38" s="165">
        <v>0.152</v>
      </c>
      <c r="F38" s="148"/>
      <c r="G38" s="165">
        <v>8.4000000000000005E-2</v>
      </c>
      <c r="H38" s="149">
        <v>0.18300000000000002</v>
      </c>
      <c r="I38" s="148">
        <v>0.32900000000000001</v>
      </c>
      <c r="J38" s="165">
        <v>0.217</v>
      </c>
      <c r="K38" s="148"/>
      <c r="L38" s="165">
        <v>0.17800000000000002</v>
      </c>
    </row>
    <row r="39" spans="2:12">
      <c r="B39" s="23"/>
      <c r="C39" s="1"/>
      <c r="D39" s="188"/>
      <c r="E39" s="1"/>
      <c r="F39" s="1"/>
      <c r="G39" s="1"/>
      <c r="H39" s="1"/>
      <c r="I39" s="188"/>
      <c r="J39" s="1"/>
      <c r="K39" s="1"/>
      <c r="L39" s="1"/>
    </row>
    <row r="40" spans="2:12">
      <c r="B40" s="23"/>
      <c r="C40" s="1"/>
      <c r="D40" s="188"/>
      <c r="E40" s="1"/>
      <c r="F40" s="1"/>
      <c r="G40" s="1"/>
      <c r="H40" s="1"/>
      <c r="I40" s="188"/>
      <c r="J40" s="1"/>
      <c r="K40" s="1"/>
      <c r="L40" s="1"/>
    </row>
    <row r="41" spans="2:12" ht="31">
      <c r="B41" s="43" t="s">
        <v>126</v>
      </c>
      <c r="C41" s="43"/>
      <c r="D41" s="300"/>
      <c r="E41" s="43"/>
      <c r="F41" s="43"/>
      <c r="G41" s="43"/>
      <c r="H41" s="43"/>
      <c r="I41" s="300"/>
      <c r="J41" s="43"/>
      <c r="K41" s="43"/>
      <c r="L41" s="10" t="s">
        <v>10</v>
      </c>
    </row>
    <row r="42" spans="2:12">
      <c r="B42" s="150"/>
      <c r="C42" s="267" t="s">
        <v>191</v>
      </c>
      <c r="D42" s="267" t="s">
        <v>151</v>
      </c>
      <c r="E42" s="267" t="s">
        <v>130</v>
      </c>
      <c r="F42" s="204"/>
      <c r="G42" s="123" t="s">
        <v>131</v>
      </c>
      <c r="H42" s="123" t="s">
        <v>132</v>
      </c>
      <c r="I42" s="123" t="s">
        <v>133</v>
      </c>
      <c r="J42" s="267" t="s">
        <v>111</v>
      </c>
      <c r="K42" s="204"/>
      <c r="L42" s="140" t="s">
        <v>115</v>
      </c>
    </row>
    <row r="43" spans="2:12">
      <c r="B43" s="150" t="s">
        <v>13</v>
      </c>
      <c r="C43" s="268" t="s">
        <v>1</v>
      </c>
      <c r="D43" s="268" t="s">
        <v>1</v>
      </c>
      <c r="E43" s="141" t="s">
        <v>1</v>
      </c>
      <c r="F43" s="204"/>
      <c r="G43" s="141" t="s">
        <v>1</v>
      </c>
      <c r="H43" s="141" t="s">
        <v>1</v>
      </c>
      <c r="I43" s="268" t="s">
        <v>1</v>
      </c>
      <c r="J43" s="141" t="s">
        <v>1</v>
      </c>
      <c r="K43" s="204"/>
      <c r="L43" s="141" t="s">
        <v>1</v>
      </c>
    </row>
    <row r="44" spans="2:12">
      <c r="B44" s="111" t="s">
        <v>50</v>
      </c>
      <c r="C44" s="152">
        <v>74</v>
      </c>
      <c r="D44" s="181">
        <v>77</v>
      </c>
      <c r="E44" s="153">
        <v>74</v>
      </c>
      <c r="F44" s="114"/>
      <c r="G44" s="153">
        <v>47</v>
      </c>
      <c r="H44" s="152">
        <v>102</v>
      </c>
      <c r="I44" s="181">
        <v>91</v>
      </c>
      <c r="J44" s="153">
        <v>90</v>
      </c>
      <c r="K44" s="114"/>
      <c r="L44" s="153">
        <v>92</v>
      </c>
    </row>
    <row r="45" spans="2:12">
      <c r="B45" s="154"/>
      <c r="C45" s="146"/>
      <c r="D45" s="182"/>
      <c r="E45" s="155"/>
      <c r="F45" s="146"/>
      <c r="G45" s="155"/>
      <c r="H45" s="146"/>
      <c r="I45" s="182"/>
      <c r="J45" s="155"/>
      <c r="K45" s="146"/>
      <c r="L45" s="155"/>
    </row>
    <row r="46" spans="2:12">
      <c r="B46" s="151"/>
      <c r="C46" s="164" t="s">
        <v>43</v>
      </c>
      <c r="D46" s="127" t="s">
        <v>43</v>
      </c>
      <c r="E46" s="183" t="s">
        <v>43</v>
      </c>
      <c r="F46" s="225"/>
      <c r="G46" s="164" t="s">
        <v>43</v>
      </c>
      <c r="H46" s="127" t="s">
        <v>43</v>
      </c>
      <c r="I46" s="183" t="s">
        <v>43</v>
      </c>
      <c r="J46" s="164" t="s">
        <v>43</v>
      </c>
      <c r="K46" s="225"/>
      <c r="L46" s="164" t="s">
        <v>43</v>
      </c>
    </row>
    <row r="47" spans="2:12">
      <c r="B47" s="111" t="s">
        <v>95</v>
      </c>
      <c r="C47" s="125">
        <v>1.1000000000000001</v>
      </c>
      <c r="D47" s="156">
        <v>1.1000000000000001</v>
      </c>
      <c r="E47" s="201">
        <v>1.1000000000000001</v>
      </c>
      <c r="F47" s="142"/>
      <c r="G47" s="201">
        <v>1.1000000000000001</v>
      </c>
      <c r="H47" s="125">
        <v>1.1000000000000001</v>
      </c>
      <c r="I47" s="156">
        <v>1.1000000000000001</v>
      </c>
      <c r="J47" s="201">
        <v>1.1000000000000001</v>
      </c>
      <c r="K47" s="142"/>
      <c r="L47" s="201">
        <v>1.2</v>
      </c>
    </row>
    <row r="48" spans="2:12">
      <c r="B48" s="116" t="s">
        <v>20</v>
      </c>
      <c r="C48" s="166">
        <v>-0.1</v>
      </c>
      <c r="D48" s="299">
        <v>-0.1</v>
      </c>
      <c r="E48" s="277">
        <v>-0.1</v>
      </c>
      <c r="F48" s="225"/>
      <c r="G48" s="277">
        <v>-0.1</v>
      </c>
      <c r="H48" s="166">
        <v>-0.1</v>
      </c>
      <c r="I48" s="299">
        <v>-0.1</v>
      </c>
      <c r="J48" s="277">
        <v>-0.1</v>
      </c>
      <c r="K48" s="225"/>
      <c r="L48" s="277">
        <v>-0.1</v>
      </c>
    </row>
    <row r="49" spans="2:12">
      <c r="B49" s="115" t="s">
        <v>14</v>
      </c>
      <c r="C49" s="159">
        <v>1</v>
      </c>
      <c r="D49" s="279">
        <v>1</v>
      </c>
      <c r="E49" s="272">
        <v>1</v>
      </c>
      <c r="F49" s="146"/>
      <c r="G49" s="272">
        <v>1</v>
      </c>
      <c r="H49" s="159">
        <v>1</v>
      </c>
      <c r="I49" s="279">
        <v>1</v>
      </c>
      <c r="J49" s="272">
        <v>1</v>
      </c>
      <c r="K49" s="146"/>
      <c r="L49" s="272">
        <v>1.1000000000000001</v>
      </c>
    </row>
    <row r="50" spans="2:12">
      <c r="B50" s="126"/>
      <c r="C50" s="160"/>
      <c r="D50" s="186"/>
      <c r="E50" s="161"/>
      <c r="F50" s="146"/>
      <c r="G50" s="161"/>
      <c r="H50" s="160"/>
      <c r="I50" s="186"/>
      <c r="J50" s="161"/>
      <c r="K50" s="146"/>
      <c r="L50" s="161"/>
    </row>
    <row r="51" spans="2:12">
      <c r="B51" s="162" t="s">
        <v>13</v>
      </c>
      <c r="C51" s="149">
        <v>0.28999999999999998</v>
      </c>
      <c r="D51" s="148">
        <v>0.308</v>
      </c>
      <c r="E51" s="165">
        <v>0.28699999999999998</v>
      </c>
      <c r="F51" s="148"/>
      <c r="G51" s="165">
        <v>0.19100000000000003</v>
      </c>
      <c r="H51" s="149">
        <v>0.41200000000000003</v>
      </c>
      <c r="I51" s="148">
        <v>0.35899999999999999</v>
      </c>
      <c r="J51" s="165">
        <v>0.34500000000000003</v>
      </c>
      <c r="K51" s="148"/>
      <c r="L51" s="165">
        <v>0.34899999999999998</v>
      </c>
    </row>
    <row r="52" spans="2:12">
      <c r="B52" s="322"/>
      <c r="C52" s="322"/>
      <c r="D52" s="322"/>
      <c r="E52" s="322"/>
      <c r="F52" s="322"/>
      <c r="G52" s="322"/>
      <c r="H52" s="322"/>
      <c r="I52" s="323"/>
      <c r="J52" s="324"/>
      <c r="K52" s="323"/>
      <c r="L52" s="324"/>
    </row>
    <row r="54" spans="2:12" ht="15.5">
      <c r="B54" s="43" t="s">
        <v>124</v>
      </c>
      <c r="C54" s="43"/>
      <c r="D54" s="300"/>
      <c r="E54" s="43"/>
      <c r="F54" s="276"/>
      <c r="G54" s="43"/>
      <c r="H54" s="43"/>
      <c r="I54" s="300"/>
      <c r="J54" s="43"/>
      <c r="K54" s="276"/>
      <c r="L54" s="276" t="s">
        <v>10</v>
      </c>
    </row>
    <row r="55" spans="2:12">
      <c r="B55" s="150"/>
      <c r="C55" s="267" t="s">
        <v>191</v>
      </c>
      <c r="D55" s="267" t="s">
        <v>151</v>
      </c>
      <c r="E55" s="267" t="s">
        <v>130</v>
      </c>
      <c r="F55" s="204"/>
      <c r="G55" s="123" t="s">
        <v>131</v>
      </c>
      <c r="H55" s="123" t="s">
        <v>132</v>
      </c>
      <c r="I55" s="123" t="s">
        <v>133</v>
      </c>
      <c r="J55" s="267" t="s">
        <v>111</v>
      </c>
      <c r="K55" s="204"/>
      <c r="L55" s="140" t="s">
        <v>115</v>
      </c>
    </row>
    <row r="56" spans="2:12">
      <c r="B56" s="150" t="s">
        <v>13</v>
      </c>
      <c r="C56" s="268" t="s">
        <v>1</v>
      </c>
      <c r="D56" s="268" t="s">
        <v>1</v>
      </c>
      <c r="E56" s="141" t="s">
        <v>1</v>
      </c>
      <c r="F56" s="204"/>
      <c r="G56" s="141" t="s">
        <v>1</v>
      </c>
      <c r="H56" s="141" t="s">
        <v>1</v>
      </c>
      <c r="I56" s="268" t="s">
        <v>1</v>
      </c>
      <c r="J56" s="141" t="s">
        <v>1</v>
      </c>
      <c r="K56" s="204"/>
      <c r="L56" s="141" t="s">
        <v>1</v>
      </c>
    </row>
    <row r="57" spans="2:12">
      <c r="B57" s="111" t="s">
        <v>6</v>
      </c>
      <c r="C57" s="1067">
        <v>652</v>
      </c>
      <c r="D57" s="469">
        <v>715</v>
      </c>
      <c r="E57" s="469">
        <v>899</v>
      </c>
      <c r="F57" s="501"/>
      <c r="G57" s="469">
        <v>-149</v>
      </c>
      <c r="H57" s="1067">
        <v>580</v>
      </c>
      <c r="I57" s="574">
        <v>562</v>
      </c>
      <c r="J57" s="574">
        <v>1048</v>
      </c>
      <c r="K57" s="393"/>
      <c r="L57" s="469">
        <v>313</v>
      </c>
    </row>
    <row r="58" spans="2:12">
      <c r="B58" s="154"/>
      <c r="C58" s="362"/>
      <c r="D58" s="363"/>
      <c r="E58" s="363"/>
      <c r="F58" s="501"/>
      <c r="G58" s="363"/>
      <c r="H58" s="363"/>
      <c r="I58" s="362"/>
      <c r="J58" s="362"/>
      <c r="K58" s="363"/>
      <c r="L58" s="363"/>
    </row>
    <row r="59" spans="2:12">
      <c r="B59" s="151"/>
      <c r="C59" s="394" t="s">
        <v>43</v>
      </c>
      <c r="D59" s="394" t="s">
        <v>43</v>
      </c>
      <c r="E59" s="394" t="s">
        <v>43</v>
      </c>
      <c r="F59" s="501"/>
      <c r="G59" s="394" t="s">
        <v>43</v>
      </c>
      <c r="H59" s="394" t="s">
        <v>43</v>
      </c>
      <c r="I59" s="394" t="s">
        <v>43</v>
      </c>
      <c r="J59" s="442" t="s">
        <v>43</v>
      </c>
      <c r="K59" s="470"/>
      <c r="L59" s="394" t="s">
        <v>43</v>
      </c>
    </row>
    <row r="60" spans="2:12">
      <c r="B60" s="111" t="s">
        <v>95</v>
      </c>
      <c r="C60" s="1068">
        <v>29.5</v>
      </c>
      <c r="D60" s="385">
        <v>29.9</v>
      </c>
      <c r="E60" s="385">
        <v>30</v>
      </c>
      <c r="F60" s="501"/>
      <c r="G60" s="385">
        <v>28.9</v>
      </c>
      <c r="H60" s="1072">
        <v>28.8</v>
      </c>
      <c r="I60" s="564">
        <v>29</v>
      </c>
      <c r="J60" s="564">
        <v>29.1</v>
      </c>
      <c r="K60" s="377"/>
      <c r="L60" s="385">
        <v>30.9</v>
      </c>
    </row>
    <row r="61" spans="2:12">
      <c r="B61" s="116" t="s">
        <v>20</v>
      </c>
      <c r="C61" s="1069">
        <v>0</v>
      </c>
      <c r="D61" s="459">
        <v>0</v>
      </c>
      <c r="E61" s="459">
        <v>0</v>
      </c>
      <c r="F61" s="501"/>
      <c r="G61" s="459">
        <v>0</v>
      </c>
      <c r="H61" s="1069">
        <v>0</v>
      </c>
      <c r="I61" s="566">
        <v>0</v>
      </c>
      <c r="J61" s="566">
        <v>0</v>
      </c>
      <c r="K61" s="377"/>
      <c r="L61" s="459">
        <v>0</v>
      </c>
    </row>
    <row r="62" spans="2:12">
      <c r="B62" s="115" t="s">
        <v>14</v>
      </c>
      <c r="C62" s="1070">
        <v>29.5</v>
      </c>
      <c r="D62" s="453">
        <v>29.9</v>
      </c>
      <c r="E62" s="453">
        <v>30</v>
      </c>
      <c r="F62" s="501"/>
      <c r="G62" s="453">
        <v>28.9</v>
      </c>
      <c r="H62" s="1070">
        <v>28.8</v>
      </c>
      <c r="I62" s="462">
        <v>29</v>
      </c>
      <c r="J62" s="462">
        <v>29.1</v>
      </c>
      <c r="K62" s="363"/>
      <c r="L62" s="453">
        <v>30.9</v>
      </c>
    </row>
    <row r="63" spans="2:12">
      <c r="B63" s="126"/>
      <c r="C63" s="541"/>
      <c r="D63" s="541"/>
      <c r="E63" s="541"/>
      <c r="F63" s="501"/>
      <c r="G63" s="541"/>
      <c r="H63" s="541"/>
      <c r="I63" s="541"/>
      <c r="J63" s="541"/>
      <c r="K63" s="501"/>
      <c r="L63" s="541"/>
    </row>
    <row r="64" spans="2:12">
      <c r="B64" s="162" t="s">
        <v>13</v>
      </c>
      <c r="C64" s="1071">
        <v>8.8000000000000009E-2</v>
      </c>
      <c r="D64" s="464">
        <v>9.6000000000000002E-2</v>
      </c>
      <c r="E64" s="464">
        <v>0.12</v>
      </c>
      <c r="F64" s="501"/>
      <c r="G64" s="464">
        <v>-2.1000000000000001E-2</v>
      </c>
      <c r="H64" s="1071">
        <v>0.08</v>
      </c>
      <c r="I64" s="465">
        <v>7.6999999999999999E-2</v>
      </c>
      <c r="J64" s="465">
        <v>0.14400000000000002</v>
      </c>
      <c r="K64" s="363"/>
      <c r="L64" s="464">
        <v>0.04</v>
      </c>
    </row>
    <row r="67" spans="2:12" ht="15.5">
      <c r="B67" s="43" t="s">
        <v>125</v>
      </c>
      <c r="C67" s="43"/>
      <c r="D67" s="300"/>
      <c r="E67" s="43"/>
      <c r="F67" s="276"/>
      <c r="G67" s="43"/>
      <c r="H67" s="43"/>
      <c r="I67" s="300"/>
      <c r="J67" s="43"/>
      <c r="K67" s="276"/>
      <c r="L67" s="276" t="s">
        <v>10</v>
      </c>
    </row>
    <row r="68" spans="2:12">
      <c r="B68" s="150"/>
      <c r="C68" s="267" t="s">
        <v>191</v>
      </c>
      <c r="D68" s="267" t="s">
        <v>151</v>
      </c>
      <c r="E68" s="267" t="s">
        <v>130</v>
      </c>
      <c r="F68" s="204"/>
      <c r="G68" s="123" t="s">
        <v>131</v>
      </c>
      <c r="H68" s="123" t="s">
        <v>132</v>
      </c>
      <c r="I68" s="123" t="s">
        <v>133</v>
      </c>
      <c r="J68" s="267" t="s">
        <v>111</v>
      </c>
      <c r="K68" s="204"/>
      <c r="L68" s="140" t="s">
        <v>115</v>
      </c>
    </row>
    <row r="69" spans="2:12">
      <c r="B69" s="150" t="s">
        <v>13</v>
      </c>
      <c r="C69" s="268" t="s">
        <v>1</v>
      </c>
      <c r="D69" s="268" t="s">
        <v>1</v>
      </c>
      <c r="E69" s="141" t="s">
        <v>1</v>
      </c>
      <c r="F69" s="204"/>
      <c r="G69" s="141" t="s">
        <v>1</v>
      </c>
      <c r="H69" s="141" t="s">
        <v>1</v>
      </c>
      <c r="I69" s="268" t="s">
        <v>1</v>
      </c>
      <c r="J69" s="141" t="s">
        <v>1</v>
      </c>
      <c r="K69" s="204"/>
      <c r="L69" s="141" t="s">
        <v>1</v>
      </c>
    </row>
    <row r="70" spans="2:12">
      <c r="B70" s="111" t="s">
        <v>6</v>
      </c>
      <c r="C70" s="152">
        <v>89</v>
      </c>
      <c r="D70" s="181">
        <v>75</v>
      </c>
      <c r="E70" s="153">
        <v>44</v>
      </c>
      <c r="F70" s="114"/>
      <c r="G70" s="153">
        <v>-3</v>
      </c>
      <c r="H70" s="152">
        <v>3</v>
      </c>
      <c r="I70" s="181">
        <v>72</v>
      </c>
      <c r="J70" s="153">
        <v>59</v>
      </c>
      <c r="K70" s="114"/>
      <c r="L70" s="153">
        <v>101</v>
      </c>
    </row>
    <row r="71" spans="2:12">
      <c r="B71" s="154"/>
      <c r="C71" s="146"/>
      <c r="D71" s="182"/>
      <c r="E71" s="155"/>
      <c r="F71" s="146"/>
      <c r="G71" s="155"/>
      <c r="H71" s="146"/>
      <c r="I71" s="182"/>
      <c r="J71" s="155"/>
      <c r="K71" s="146"/>
      <c r="L71" s="155"/>
    </row>
    <row r="72" spans="2:12">
      <c r="B72" s="151"/>
      <c r="C72" s="127" t="s">
        <v>43</v>
      </c>
      <c r="D72" s="183" t="s">
        <v>43</v>
      </c>
      <c r="E72" s="164" t="s">
        <v>43</v>
      </c>
      <c r="F72" s="225"/>
      <c r="G72" s="164" t="s">
        <v>43</v>
      </c>
      <c r="H72" s="127" t="s">
        <v>43</v>
      </c>
      <c r="I72" s="183" t="s">
        <v>43</v>
      </c>
      <c r="J72" s="164" t="s">
        <v>43</v>
      </c>
      <c r="K72" s="225"/>
      <c r="L72" s="164" t="s">
        <v>43</v>
      </c>
    </row>
    <row r="73" spans="2:12">
      <c r="B73" s="111" t="s">
        <v>95</v>
      </c>
      <c r="C73" s="125">
        <v>3.8</v>
      </c>
      <c r="D73" s="156">
        <v>3.6</v>
      </c>
      <c r="E73" s="201">
        <v>3.6</v>
      </c>
      <c r="F73" s="142"/>
      <c r="G73" s="201">
        <v>3.6</v>
      </c>
      <c r="H73" s="125">
        <v>3.8</v>
      </c>
      <c r="I73" s="156">
        <v>3.9</v>
      </c>
      <c r="J73" s="201">
        <v>3.9</v>
      </c>
      <c r="K73" s="142"/>
      <c r="L73" s="201">
        <v>4.0999999999999996</v>
      </c>
    </row>
    <row r="74" spans="2:12">
      <c r="B74" s="116" t="s">
        <v>20</v>
      </c>
      <c r="C74" s="166">
        <v>-0.5</v>
      </c>
      <c r="D74" s="299">
        <v>-0.3</v>
      </c>
      <c r="E74" s="277">
        <v>-0.3</v>
      </c>
      <c r="F74" s="225"/>
      <c r="G74" s="277">
        <v>-0.3</v>
      </c>
      <c r="H74" s="166">
        <v>-0.7</v>
      </c>
      <c r="I74" s="299">
        <v>-0.8</v>
      </c>
      <c r="J74" s="277">
        <v>-0.8</v>
      </c>
      <c r="K74" s="225"/>
      <c r="L74" s="277">
        <v>-0.9</v>
      </c>
    </row>
    <row r="75" spans="2:12">
      <c r="B75" s="115" t="s">
        <v>14</v>
      </c>
      <c r="C75" s="159">
        <v>3.3</v>
      </c>
      <c r="D75" s="279">
        <v>3.3</v>
      </c>
      <c r="E75" s="272">
        <v>3.3</v>
      </c>
      <c r="F75" s="146"/>
      <c r="G75" s="272">
        <v>3.3</v>
      </c>
      <c r="H75" s="159">
        <v>3.1</v>
      </c>
      <c r="I75" s="279">
        <v>3.1</v>
      </c>
      <c r="J75" s="272">
        <v>3.1</v>
      </c>
      <c r="K75" s="146"/>
      <c r="L75" s="272">
        <v>3.2</v>
      </c>
    </row>
    <row r="76" spans="2:12">
      <c r="B76" s="126"/>
      <c r="C76" s="160"/>
      <c r="D76" s="186"/>
      <c r="E76" s="161"/>
      <c r="F76" s="146"/>
      <c r="G76" s="161"/>
      <c r="H76" s="160"/>
      <c r="I76" s="186"/>
      <c r="J76" s="161"/>
      <c r="K76" s="146"/>
      <c r="L76" s="161"/>
    </row>
    <row r="77" spans="2:12">
      <c r="B77" s="162" t="s">
        <v>13</v>
      </c>
      <c r="C77" s="149">
        <v>0.109</v>
      </c>
      <c r="D77" s="331">
        <v>9.1999999999999998E-2</v>
      </c>
      <c r="E77" s="165">
        <v>5.2999999999999999E-2</v>
      </c>
      <c r="F77" s="148"/>
      <c r="G77" s="464">
        <v>-3.0000000000000001E-3</v>
      </c>
      <c r="H77" s="321">
        <v>4.0000000000000001E-3</v>
      </c>
      <c r="I77" s="148">
        <v>9.3000000000000013E-2</v>
      </c>
      <c r="J77" s="165">
        <v>7.4999999999999997E-2</v>
      </c>
      <c r="K77" s="148"/>
      <c r="L77" s="165">
        <v>0.126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4A63-CBD8-4769-93B5-F2FF4BD78771}">
  <dimension ref="B2:L44"/>
  <sheetViews>
    <sheetView showGridLines="0" showRuler="0" zoomScaleNormal="100" workbookViewId="0"/>
  </sheetViews>
  <sheetFormatPr defaultColWidth="13.7265625" defaultRowHeight="13"/>
  <cols>
    <col min="1" max="1" width="4.7265625" style="1091" customWidth="1"/>
    <col min="2" max="2" width="50" style="1091" customWidth="1"/>
    <col min="3" max="10" width="14.453125" style="1091" customWidth="1"/>
    <col min="11" max="16384" width="13.7265625" style="1091"/>
  </cols>
  <sheetData>
    <row r="2" spans="2:9" ht="15" customHeight="1">
      <c r="B2" s="736" t="s">
        <v>205</v>
      </c>
    </row>
    <row r="3" spans="2:9" ht="15" customHeight="1">
      <c r="B3" s="736"/>
    </row>
    <row r="4" spans="2:9" ht="15" customHeight="1">
      <c r="C4" s="1153" t="s">
        <v>195</v>
      </c>
      <c r="D4" s="1153"/>
      <c r="E4" s="1153"/>
      <c r="F4" s="1153"/>
      <c r="G4" s="1153"/>
      <c r="H4" s="1153"/>
      <c r="I4" s="1153"/>
    </row>
    <row r="5" spans="2:9" ht="43.4" customHeight="1">
      <c r="B5" s="1092"/>
      <c r="C5" s="1093" t="s">
        <v>15</v>
      </c>
      <c r="D5" s="1093" t="s">
        <v>122</v>
      </c>
      <c r="E5" s="1093" t="s">
        <v>126</v>
      </c>
      <c r="F5" s="1093" t="s">
        <v>124</v>
      </c>
      <c r="G5" s="1093" t="s">
        <v>125</v>
      </c>
      <c r="H5" s="1093" t="s">
        <v>11</v>
      </c>
      <c r="I5" s="1093" t="s">
        <v>12</v>
      </c>
    </row>
    <row r="6" spans="2:9">
      <c r="B6" s="1094"/>
      <c r="C6" s="81" t="s">
        <v>1</v>
      </c>
      <c r="D6" s="81" t="s">
        <v>1</v>
      </c>
      <c r="E6" s="81" t="s">
        <v>1</v>
      </c>
      <c r="F6" s="81" t="s">
        <v>1</v>
      </c>
      <c r="G6" s="81" t="s">
        <v>1</v>
      </c>
      <c r="H6" s="81" t="s">
        <v>1</v>
      </c>
      <c r="I6" s="81" t="s">
        <v>1</v>
      </c>
    </row>
    <row r="7" spans="2:9">
      <c r="B7" s="1095" t="s">
        <v>18</v>
      </c>
      <c r="C7" s="1096">
        <v>5659</v>
      </c>
      <c r="D7" s="1096">
        <v>1322</v>
      </c>
      <c r="E7" s="1096">
        <v>958</v>
      </c>
      <c r="F7" s="1096">
        <v>9198</v>
      </c>
      <c r="G7" s="1096">
        <v>2469</v>
      </c>
      <c r="H7" s="1096">
        <v>218</v>
      </c>
      <c r="I7" s="1097">
        <v>19824</v>
      </c>
    </row>
    <row r="8" spans="2:9">
      <c r="B8" s="1098" t="s">
        <v>162</v>
      </c>
      <c r="C8" s="1099">
        <v>0</v>
      </c>
      <c r="D8" s="1099">
        <v>0</v>
      </c>
      <c r="E8" s="1099">
        <v>0</v>
      </c>
      <c r="F8" s="1099">
        <v>0</v>
      </c>
      <c r="G8" s="1099">
        <v>0</v>
      </c>
      <c r="H8" s="1099">
        <v>-240</v>
      </c>
      <c r="I8" s="1100">
        <v>-240</v>
      </c>
    </row>
    <row r="9" spans="2:9">
      <c r="B9" s="1101" t="s">
        <v>163</v>
      </c>
      <c r="C9" s="1102">
        <v>5659</v>
      </c>
      <c r="D9" s="1102">
        <v>1322</v>
      </c>
      <c r="E9" s="1103">
        <v>958</v>
      </c>
      <c r="F9" s="1103">
        <v>9198</v>
      </c>
      <c r="G9" s="1103">
        <v>2469</v>
      </c>
      <c r="H9" s="1103">
        <v>458</v>
      </c>
      <c r="I9" s="1104">
        <v>20064</v>
      </c>
    </row>
    <row r="10" spans="2:9">
      <c r="B10" s="1094"/>
      <c r="E10" s="1105"/>
      <c r="F10" s="1105"/>
      <c r="G10" s="1105"/>
      <c r="H10" s="1105"/>
    </row>
    <row r="11" spans="2:9">
      <c r="B11" s="1101" t="s">
        <v>4</v>
      </c>
      <c r="C11" s="1103">
        <v>-3114</v>
      </c>
      <c r="D11" s="1103">
        <v>-708</v>
      </c>
      <c r="E11" s="1103">
        <v>-657</v>
      </c>
      <c r="F11" s="1103">
        <v>-5818</v>
      </c>
      <c r="G11" s="1103">
        <v>-1193</v>
      </c>
      <c r="H11" s="1103">
        <v>-653</v>
      </c>
      <c r="I11" s="1104">
        <v>-12143</v>
      </c>
    </row>
    <row r="12" spans="2:9">
      <c r="B12" s="1094"/>
      <c r="E12" s="1106"/>
      <c r="F12" s="1106"/>
      <c r="G12" s="1106"/>
      <c r="H12" s="1106"/>
    </row>
    <row r="13" spans="2:9">
      <c r="B13" s="1101" t="s">
        <v>164</v>
      </c>
      <c r="C13" s="1107">
        <v>0.55000000000000004</v>
      </c>
      <c r="D13" s="1107">
        <v>0.54</v>
      </c>
      <c r="E13" s="1107">
        <v>0.69</v>
      </c>
      <c r="F13" s="1107">
        <v>0.63</v>
      </c>
      <c r="G13" s="1107">
        <v>0.48</v>
      </c>
      <c r="H13" s="1108" t="s">
        <v>193</v>
      </c>
      <c r="I13" s="1109">
        <v>0.61</v>
      </c>
    </row>
    <row r="14" spans="2:9">
      <c r="B14" s="1110"/>
      <c r="E14" s="1111"/>
      <c r="F14" s="1111"/>
      <c r="G14" s="1111"/>
      <c r="H14" s="1111"/>
      <c r="I14" s="1112"/>
    </row>
    <row r="15" spans="2:9">
      <c r="B15" s="1095" t="s">
        <v>6</v>
      </c>
      <c r="C15" s="1113">
        <v>1684</v>
      </c>
      <c r="D15" s="1113">
        <v>392</v>
      </c>
      <c r="E15" s="1113">
        <v>225</v>
      </c>
      <c r="F15" s="1113">
        <v>2266</v>
      </c>
      <c r="G15" s="1113">
        <v>208</v>
      </c>
      <c r="H15" s="1114">
        <v>-424</v>
      </c>
      <c r="I15" s="1097">
        <v>4351</v>
      </c>
    </row>
    <row r="16" spans="2:9">
      <c r="B16" s="1098" t="s">
        <v>165</v>
      </c>
      <c r="C16" s="1099">
        <v>0</v>
      </c>
      <c r="D16" s="1099">
        <v>0</v>
      </c>
      <c r="E16" s="1099">
        <v>0</v>
      </c>
      <c r="F16" s="1099">
        <v>0</v>
      </c>
      <c r="G16" s="1099">
        <v>0</v>
      </c>
      <c r="H16" s="1099">
        <v>-233</v>
      </c>
      <c r="I16" s="1100">
        <v>-233</v>
      </c>
    </row>
    <row r="17" spans="2:12">
      <c r="B17" s="1101" t="s">
        <v>166</v>
      </c>
      <c r="C17" s="1102">
        <v>1684</v>
      </c>
      <c r="D17" s="1102">
        <v>392</v>
      </c>
      <c r="E17" s="1103">
        <v>225</v>
      </c>
      <c r="F17" s="1103">
        <v>2266</v>
      </c>
      <c r="G17" s="1103">
        <v>208</v>
      </c>
      <c r="H17" s="1103">
        <v>-191</v>
      </c>
      <c r="I17" s="1104">
        <v>4584</v>
      </c>
    </row>
    <row r="18" spans="2:12">
      <c r="B18" s="1115"/>
      <c r="C18" s="1116"/>
      <c r="D18" s="1116"/>
      <c r="E18" s="1117"/>
      <c r="F18" s="1117"/>
      <c r="G18" s="1117"/>
      <c r="H18" s="1117"/>
      <c r="I18" s="1118"/>
    </row>
    <row r="19" spans="2:12">
      <c r="B19" s="1110"/>
      <c r="E19" s="1111"/>
      <c r="F19" s="1111"/>
      <c r="G19" s="1111"/>
      <c r="H19" s="1111"/>
      <c r="I19" s="1112"/>
    </row>
    <row r="20" spans="2:12">
      <c r="B20" s="1101" t="s">
        <v>159</v>
      </c>
      <c r="C20" s="1119">
        <v>10.5</v>
      </c>
      <c r="D20" s="1120">
        <v>3</v>
      </c>
      <c r="E20" s="1120">
        <v>1</v>
      </c>
      <c r="F20" s="1120">
        <v>29.8</v>
      </c>
      <c r="G20" s="1120">
        <v>3.3</v>
      </c>
      <c r="H20" s="1120">
        <v>2.8</v>
      </c>
      <c r="I20" s="1121">
        <v>50.4</v>
      </c>
      <c r="L20" s="1122"/>
    </row>
    <row r="22" spans="2:12">
      <c r="B22" s="1101" t="s">
        <v>167</v>
      </c>
      <c r="C22" s="1123">
        <v>0.214</v>
      </c>
      <c r="D22" s="1123">
        <v>0.17300000000000001</v>
      </c>
      <c r="E22" s="1124">
        <v>0.29499999999999998</v>
      </c>
      <c r="F22" s="1124">
        <v>0.10100000000000001</v>
      </c>
      <c r="G22" s="1124">
        <v>8.4000000000000005E-2</v>
      </c>
      <c r="H22" s="1108" t="s">
        <v>193</v>
      </c>
      <c r="I22" s="1125">
        <v>0.121</v>
      </c>
      <c r="L22" s="1122"/>
    </row>
    <row r="23" spans="2:12" ht="15" customHeight="1"/>
    <row r="24" spans="2:12" ht="15" customHeight="1"/>
    <row r="25" spans="2:12" ht="15" customHeight="1"/>
    <row r="26" spans="2:12" ht="15" customHeight="1">
      <c r="C26" s="1153" t="s">
        <v>197</v>
      </c>
      <c r="D26" s="1153"/>
      <c r="E26" s="1153"/>
      <c r="F26" s="1153"/>
      <c r="G26" s="1153"/>
      <c r="H26" s="1153"/>
      <c r="I26" s="1153"/>
    </row>
    <row r="27" spans="2:12" ht="31.5">
      <c r="B27" s="1092"/>
      <c r="C27" s="1093" t="s">
        <v>15</v>
      </c>
      <c r="D27" s="1093" t="s">
        <v>122</v>
      </c>
      <c r="E27" s="1093" t="s">
        <v>126</v>
      </c>
      <c r="F27" s="1093" t="s">
        <v>124</v>
      </c>
      <c r="G27" s="1093" t="s">
        <v>125</v>
      </c>
      <c r="H27" s="1093" t="s">
        <v>11</v>
      </c>
      <c r="I27" s="1093" t="s">
        <v>12</v>
      </c>
    </row>
    <row r="28" spans="2:12" ht="15" customHeight="1">
      <c r="B28" s="1094"/>
      <c r="C28" s="81" t="s">
        <v>1</v>
      </c>
      <c r="D28" s="81" t="s">
        <v>1</v>
      </c>
      <c r="E28" s="81" t="s">
        <v>1</v>
      </c>
      <c r="F28" s="81" t="s">
        <v>1</v>
      </c>
      <c r="G28" s="81" t="s">
        <v>1</v>
      </c>
      <c r="H28" s="81" t="s">
        <v>1</v>
      </c>
      <c r="I28" s="81" t="s">
        <v>1</v>
      </c>
    </row>
    <row r="29" spans="2:12">
      <c r="B29" s="1095" t="s">
        <v>18</v>
      </c>
      <c r="C29" s="1096">
        <v>1946</v>
      </c>
      <c r="D29" s="1096">
        <v>445</v>
      </c>
      <c r="E29" s="1096">
        <v>326</v>
      </c>
      <c r="F29" s="1096">
        <v>2851</v>
      </c>
      <c r="G29" s="1096">
        <v>791</v>
      </c>
      <c r="H29" s="1096">
        <v>188</v>
      </c>
      <c r="I29" s="1097">
        <v>6547</v>
      </c>
    </row>
    <row r="30" spans="2:12">
      <c r="B30" s="1098" t="s">
        <v>162</v>
      </c>
      <c r="C30" s="1099">
        <v>0</v>
      </c>
      <c r="D30" s="1099">
        <v>0</v>
      </c>
      <c r="E30" s="1099">
        <v>0</v>
      </c>
      <c r="F30" s="1099">
        <v>0</v>
      </c>
      <c r="G30" s="1099">
        <v>0</v>
      </c>
      <c r="H30" s="1099">
        <v>0</v>
      </c>
      <c r="I30" s="1100">
        <v>0</v>
      </c>
    </row>
    <row r="31" spans="2:12">
      <c r="B31" s="1101" t="s">
        <v>163</v>
      </c>
      <c r="C31" s="1102">
        <v>1946</v>
      </c>
      <c r="D31" s="1102">
        <v>445</v>
      </c>
      <c r="E31" s="1102">
        <v>326</v>
      </c>
      <c r="F31" s="1102">
        <v>2851</v>
      </c>
      <c r="G31" s="1102">
        <v>791</v>
      </c>
      <c r="H31" s="1102">
        <v>188</v>
      </c>
      <c r="I31" s="1104">
        <v>6547</v>
      </c>
    </row>
    <row r="32" spans="2:12">
      <c r="B32" s="1094"/>
      <c r="C32" s="1126"/>
      <c r="D32" s="1126"/>
      <c r="E32" s="1105"/>
      <c r="F32" s="1105"/>
      <c r="G32" s="1105"/>
      <c r="H32" s="1105"/>
      <c r="I32" s="1127"/>
    </row>
    <row r="33" spans="2:9">
      <c r="B33" s="1101" t="s">
        <v>4</v>
      </c>
      <c r="C33" s="1103">
        <v>-1006</v>
      </c>
      <c r="D33" s="1103">
        <v>-222</v>
      </c>
      <c r="E33" s="1103">
        <v>-221</v>
      </c>
      <c r="F33" s="1103">
        <v>-1916</v>
      </c>
      <c r="G33" s="1103">
        <v>-393</v>
      </c>
      <c r="H33" s="1103">
        <v>-204</v>
      </c>
      <c r="I33" s="1104">
        <v>-3962</v>
      </c>
    </row>
    <row r="34" spans="2:9">
      <c r="B34" s="1094"/>
      <c r="C34" s="1128"/>
      <c r="D34" s="1128"/>
      <c r="E34" s="1106"/>
      <c r="F34" s="1106"/>
      <c r="G34" s="1106"/>
      <c r="H34" s="1106"/>
      <c r="I34" s="1127"/>
    </row>
    <row r="35" spans="2:9">
      <c r="B35" s="1101" t="s">
        <v>164</v>
      </c>
      <c r="C35" s="1107">
        <v>0.52</v>
      </c>
      <c r="D35" s="1107">
        <v>0.5</v>
      </c>
      <c r="E35" s="1107">
        <v>0.68</v>
      </c>
      <c r="F35" s="1107">
        <v>0.67</v>
      </c>
      <c r="G35" s="1107">
        <v>0.5</v>
      </c>
      <c r="H35" s="1129" t="s">
        <v>193</v>
      </c>
      <c r="I35" s="1109">
        <v>0.61</v>
      </c>
    </row>
    <row r="36" spans="2:9">
      <c r="B36" s="1110"/>
      <c r="E36" s="1111"/>
      <c r="F36" s="1111"/>
      <c r="G36" s="1111"/>
      <c r="H36" s="1111"/>
      <c r="I36" s="1112"/>
    </row>
    <row r="37" spans="2:9">
      <c r="B37" s="1095" t="s">
        <v>6</v>
      </c>
      <c r="C37" s="1113">
        <v>621</v>
      </c>
      <c r="D37" s="1113">
        <v>144</v>
      </c>
      <c r="E37" s="1113">
        <v>74</v>
      </c>
      <c r="F37" s="1113">
        <v>652</v>
      </c>
      <c r="G37" s="1113">
        <v>89</v>
      </c>
      <c r="H37" s="1113">
        <v>-16</v>
      </c>
      <c r="I37" s="1097">
        <v>1564</v>
      </c>
    </row>
    <row r="38" spans="2:9">
      <c r="B38" s="1098" t="s">
        <v>165</v>
      </c>
      <c r="C38" s="1099">
        <v>0</v>
      </c>
      <c r="D38" s="1099">
        <v>0</v>
      </c>
      <c r="E38" s="1099">
        <v>0</v>
      </c>
      <c r="F38" s="1099">
        <v>0</v>
      </c>
      <c r="G38" s="1099">
        <v>0</v>
      </c>
      <c r="H38" s="1099">
        <v>0</v>
      </c>
      <c r="I38" s="1100">
        <v>0</v>
      </c>
    </row>
    <row r="39" spans="2:9">
      <c r="B39" s="1101" t="s">
        <v>166</v>
      </c>
      <c r="C39" s="1102">
        <v>621</v>
      </c>
      <c r="D39" s="1102">
        <v>144</v>
      </c>
      <c r="E39" s="1102">
        <v>74</v>
      </c>
      <c r="F39" s="1102">
        <v>652</v>
      </c>
      <c r="G39" s="1102">
        <v>89</v>
      </c>
      <c r="H39" s="1102">
        <v>-16</v>
      </c>
      <c r="I39" s="1104">
        <v>1564</v>
      </c>
    </row>
    <row r="41" spans="2:9">
      <c r="B41" s="1110"/>
      <c r="E41" s="1111"/>
      <c r="F41" s="1111"/>
      <c r="G41" s="1111"/>
      <c r="H41" s="1111"/>
      <c r="I41" s="1112"/>
    </row>
    <row r="42" spans="2:9">
      <c r="B42" s="1101" t="s">
        <v>159</v>
      </c>
      <c r="C42" s="1119">
        <v>10.6</v>
      </c>
      <c r="D42" s="1120">
        <v>3.1</v>
      </c>
      <c r="E42" s="1120">
        <v>1</v>
      </c>
      <c r="F42" s="1120">
        <v>29.5</v>
      </c>
      <c r="G42" s="1120">
        <v>3.3</v>
      </c>
      <c r="H42" s="1120">
        <v>3.5</v>
      </c>
      <c r="I42" s="1121">
        <v>51</v>
      </c>
    </row>
    <row r="43" spans="2:9">
      <c r="C43" s="1130"/>
      <c r="D43" s="1130"/>
      <c r="E43" s="1130"/>
      <c r="F43" s="1130"/>
      <c r="G43" s="1130"/>
      <c r="H43" s="1130"/>
      <c r="I43" s="1130"/>
    </row>
    <row r="44" spans="2:9">
      <c r="B44" s="1101" t="s">
        <v>167</v>
      </c>
      <c r="C44" s="1131">
        <v>0.23399999999999999</v>
      </c>
      <c r="D44" s="1131">
        <v>0.188</v>
      </c>
      <c r="E44" s="1131">
        <v>0.28999999999999998</v>
      </c>
      <c r="F44" s="1131">
        <v>8.8000000000000009E-2</v>
      </c>
      <c r="G44" s="1131">
        <v>0.109</v>
      </c>
      <c r="H44" s="1129" t="s">
        <v>193</v>
      </c>
      <c r="I44" s="1125">
        <v>0.12300000000000001</v>
      </c>
    </row>
  </sheetData>
  <mergeCells count="2">
    <mergeCell ref="C26:I26"/>
    <mergeCell ref="C4:I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42A7-ED94-428D-A8B3-6ED00C8B019E}">
  <dimension ref="B1:E49"/>
  <sheetViews>
    <sheetView showGridLines="0" showRuler="0" workbookViewId="0"/>
  </sheetViews>
  <sheetFormatPr defaultColWidth="13.7265625" defaultRowHeight="12.5"/>
  <cols>
    <col min="1" max="1" width="13.7265625" style="500"/>
    <col min="2" max="2" width="62.81640625" style="500" customWidth="1"/>
    <col min="3" max="5" width="11.453125" style="500" bestFit="1" customWidth="1"/>
    <col min="6" max="16384" width="13.7265625" style="500"/>
  </cols>
  <sheetData>
    <row r="1" spans="2:5" ht="15" customHeight="1"/>
    <row r="2" spans="2:5" ht="35.9" customHeight="1">
      <c r="B2" s="1045" t="s">
        <v>39</v>
      </c>
      <c r="C2" s="871" t="s">
        <v>169</v>
      </c>
      <c r="D2" s="871" t="s">
        <v>127</v>
      </c>
      <c r="E2" s="871" t="s">
        <v>170</v>
      </c>
    </row>
    <row r="3" spans="2:5" ht="15" customHeight="1">
      <c r="B3" s="1044"/>
      <c r="C3" s="1043" t="s">
        <v>1</v>
      </c>
      <c r="D3" s="1043" t="s">
        <v>1</v>
      </c>
      <c r="E3" s="1043" t="s">
        <v>1</v>
      </c>
    </row>
    <row r="4" spans="2:5" ht="15.75" customHeight="1">
      <c r="B4" s="1037" t="s">
        <v>353</v>
      </c>
      <c r="C4" s="858">
        <v>70972</v>
      </c>
      <c r="D4" s="1042">
        <v>71204</v>
      </c>
      <c r="E4" s="1042">
        <v>68315</v>
      </c>
    </row>
    <row r="5" spans="2:5" ht="15.75" customHeight="1">
      <c r="B5" s="880" t="s">
        <v>354</v>
      </c>
      <c r="C5" s="785">
        <v>-11739</v>
      </c>
      <c r="D5" s="887">
        <v>-13259</v>
      </c>
      <c r="E5" s="887">
        <v>-11857</v>
      </c>
    </row>
    <row r="6" spans="2:5" ht="24.25" customHeight="1">
      <c r="B6" s="880" t="s">
        <v>355</v>
      </c>
      <c r="C6" s="785">
        <f>C4+C5</f>
        <v>59233</v>
      </c>
      <c r="D6" s="887">
        <f>D4+D5</f>
        <v>57945</v>
      </c>
      <c r="E6" s="887">
        <f>E4+E5</f>
        <v>56458</v>
      </c>
    </row>
    <row r="7" spans="2:5" ht="15.75" customHeight="1">
      <c r="B7" s="502" t="s">
        <v>417</v>
      </c>
      <c r="C7" s="1041">
        <v>-8123</v>
      </c>
      <c r="D7" s="1040">
        <v>-7794</v>
      </c>
      <c r="E7" s="1040">
        <v>-8265</v>
      </c>
    </row>
    <row r="8" spans="2:5" ht="24.25" customHeight="1">
      <c r="B8" s="1034" t="s">
        <v>416</v>
      </c>
      <c r="C8" s="1039">
        <v>51110</v>
      </c>
      <c r="D8" s="1038">
        <v>50151</v>
      </c>
      <c r="E8" s="1038">
        <v>48193</v>
      </c>
    </row>
    <row r="9" spans="2:5" ht="15" customHeight="1">
      <c r="B9" s="880"/>
      <c r="C9" s="778"/>
      <c r="D9" s="778"/>
      <c r="E9" s="778"/>
    </row>
    <row r="10" spans="2:5" ht="13.4" customHeight="1">
      <c r="B10" s="502"/>
      <c r="C10" s="1046" t="s">
        <v>415</v>
      </c>
      <c r="D10" s="1046" t="s">
        <v>415</v>
      </c>
      <c r="E10" s="1046" t="s">
        <v>415</v>
      </c>
    </row>
    <row r="11" spans="2:5" ht="15.75" customHeight="1">
      <c r="B11" s="1037" t="s">
        <v>414</v>
      </c>
      <c r="C11" s="1036">
        <v>14571</v>
      </c>
      <c r="D11" s="1035">
        <v>15155</v>
      </c>
      <c r="E11" s="1035">
        <v>15239</v>
      </c>
    </row>
    <row r="12" spans="2:5" ht="15" customHeight="1">
      <c r="B12" s="880"/>
      <c r="C12" s="778"/>
      <c r="D12" s="778"/>
      <c r="E12" s="778"/>
    </row>
    <row r="13" spans="2:5" ht="13.4" customHeight="1">
      <c r="B13" s="502"/>
      <c r="C13" s="1047" t="s">
        <v>413</v>
      </c>
      <c r="D13" s="1043" t="s">
        <v>413</v>
      </c>
      <c r="E13" s="1043" t="s">
        <v>413</v>
      </c>
    </row>
    <row r="14" spans="2:5" ht="13.4" customHeight="1">
      <c r="B14" s="1034" t="s">
        <v>39</v>
      </c>
      <c r="C14" s="1033">
        <v>351</v>
      </c>
      <c r="D14" s="822">
        <v>331</v>
      </c>
      <c r="E14" s="822">
        <v>316</v>
      </c>
    </row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J22"/>
  <sheetViews>
    <sheetView showGridLines="0" showRuler="0" workbookViewId="0">
      <selection activeCell="K35" sqref="K35"/>
    </sheetView>
  </sheetViews>
  <sheetFormatPr defaultColWidth="13.1796875" defaultRowHeight="12.5"/>
  <cols>
    <col min="1" max="1" width="36.1796875" customWidth="1"/>
  </cols>
  <sheetData>
    <row r="1" spans="1:10" ht="15" customHeight="1">
      <c r="A1" s="80" t="s">
        <v>120</v>
      </c>
      <c r="B1" s="171"/>
      <c r="C1" s="171"/>
    </row>
    <row r="2" spans="1:10" ht="15" customHeight="1"/>
    <row r="3" spans="1:10" ht="15" customHeight="1">
      <c r="A3" s="301"/>
      <c r="B3" s="1154" t="s">
        <v>113</v>
      </c>
      <c r="C3" s="1154"/>
      <c r="D3" s="1154" t="s">
        <v>112</v>
      </c>
      <c r="E3" s="1154"/>
    </row>
    <row r="4" spans="1:10" ht="15" customHeight="1">
      <c r="A4" s="167" t="s">
        <v>1</v>
      </c>
      <c r="B4" s="168" t="s">
        <v>19</v>
      </c>
      <c r="C4" s="168" t="s">
        <v>50</v>
      </c>
      <c r="D4" s="168" t="s">
        <v>19</v>
      </c>
      <c r="E4" s="168" t="s">
        <v>50</v>
      </c>
    </row>
    <row r="5" spans="1:10" ht="15" customHeight="1">
      <c r="A5" s="302" t="s">
        <v>101</v>
      </c>
      <c r="B5" s="303">
        <v>2598</v>
      </c>
      <c r="C5" s="303">
        <v>1783</v>
      </c>
      <c r="D5" s="304">
        <v>2234</v>
      </c>
      <c r="E5" s="304">
        <v>1404</v>
      </c>
      <c r="G5" s="5">
        <f>B5-'Group PH'!C19</f>
        <v>-3849</v>
      </c>
      <c r="H5" s="5">
        <f>'Group PH'!C24-C5</f>
        <v>2568</v>
      </c>
      <c r="I5" s="5">
        <f>D5-'Group PH'!D19</f>
        <v>-4213</v>
      </c>
      <c r="J5" s="5">
        <f>E5-'Group PH'!D24</f>
        <v>-2981</v>
      </c>
    </row>
    <row r="6" spans="1:10" ht="15" customHeight="1">
      <c r="A6" s="305" t="s">
        <v>104</v>
      </c>
      <c r="B6" s="306">
        <v>0</v>
      </c>
      <c r="C6" s="306">
        <v>0</v>
      </c>
      <c r="D6" s="307">
        <v>-320</v>
      </c>
      <c r="E6" s="307">
        <v>-240</v>
      </c>
    </row>
    <row r="7" spans="1:10" ht="15" customHeight="1">
      <c r="A7" s="308" t="s">
        <v>105</v>
      </c>
      <c r="B7" s="309">
        <v>0</v>
      </c>
      <c r="C7" s="309">
        <v>0</v>
      </c>
      <c r="D7" s="309">
        <v>-181</v>
      </c>
      <c r="E7" s="309">
        <v>-147</v>
      </c>
    </row>
    <row r="8" spans="1:10" ht="15" customHeight="1">
      <c r="A8" s="308" t="s">
        <v>103</v>
      </c>
      <c r="B8" s="309">
        <v>1</v>
      </c>
      <c r="C8" s="309">
        <v>2</v>
      </c>
      <c r="D8" s="309">
        <v>-22</v>
      </c>
      <c r="E8" s="309">
        <v>-15</v>
      </c>
    </row>
    <row r="9" spans="1:10" ht="15" customHeight="1">
      <c r="A9" s="310" t="s">
        <v>106</v>
      </c>
      <c r="B9" s="311">
        <v>0</v>
      </c>
      <c r="C9" s="311">
        <v>0</v>
      </c>
      <c r="D9" s="311">
        <v>0</v>
      </c>
      <c r="E9" s="311">
        <v>-346</v>
      </c>
    </row>
    <row r="10" spans="1:10" ht="15" customHeight="1">
      <c r="A10" s="312" t="s">
        <v>102</v>
      </c>
      <c r="B10" s="313">
        <v>2597</v>
      </c>
      <c r="C10" s="313">
        <v>1781</v>
      </c>
      <c r="D10" s="313">
        <v>2757</v>
      </c>
      <c r="E10" s="313">
        <v>2152</v>
      </c>
    </row>
    <row r="11" spans="1:10" ht="15" customHeight="1"/>
    <row r="12" spans="1:10" ht="15" customHeight="1"/>
    <row r="13" spans="1:10" ht="15" customHeight="1"/>
    <row r="14" spans="1:10" ht="15" customHeight="1"/>
    <row r="15" spans="1:10" ht="15" customHeight="1"/>
    <row r="16" spans="1:10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mergeCells count="2">
    <mergeCell ref="B3:C3"/>
    <mergeCell ref="D3:E3"/>
  </mergeCells>
  <conditionalFormatting sqref="G5:J5">
    <cfRule type="cellIs" dxfId="0" priority="1" operator="notEqual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16</vt:i4>
      </vt:variant>
    </vt:vector>
  </HeadingPairs>
  <TitlesOfParts>
    <vt:vector size="49" baseType="lpstr">
      <vt:lpstr>Group PH</vt:lpstr>
      <vt:lpstr>Ex-inorganic activity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L&amp;A to customers classified as 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BS</vt:lpstr>
      <vt:lpstr>Condensed consolidated SOCIE</vt:lpstr>
      <vt:lpstr>Returns</vt:lpstr>
      <vt:lpstr>Quarterly returns</vt:lpstr>
      <vt:lpstr>Ex-inorganic rec</vt:lpstr>
      <vt:lpstr>TNAV</vt:lpstr>
      <vt:lpstr>Notable items</vt:lpstr>
      <vt:lpstr>'Barclays PBWM YTD'!Print_Area</vt:lpstr>
      <vt:lpstr>'Barclays UK Qrtly'!Print_Area</vt:lpstr>
      <vt:lpstr>'Barclays UK YTD '!Print_Area</vt:lpstr>
      <vt:lpstr>'Condensed consolidated BS'!Print_Area</vt:lpstr>
      <vt:lpstr>'Group PH'!Print_Area</vt:lpstr>
      <vt:lpstr>'Group Qrtly'!Print_Area</vt:lpstr>
      <vt:lpstr>'Head Office Qrtly'!Print_Area</vt:lpstr>
      <vt:lpstr>'Head Office YTD '!Print_Area</vt:lpstr>
      <vt:lpstr>'Investment Bank Qrtly'!Print_Area</vt:lpstr>
      <vt:lpstr>'Investment Bank YTD'!Print_Area</vt:lpstr>
      <vt:lpstr>'PBWM Qrtly'!Print_Area</vt:lpstr>
      <vt:lpstr>'Quarterly returns'!Print_Area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Lutterbuese, Justin: Investor Relations</cp:lastModifiedBy>
  <cp:lastPrinted>2022-11-09T14:03:39Z</cp:lastPrinted>
  <dcterms:created xsi:type="dcterms:W3CDTF">2010-11-10T17:21:28Z</dcterms:created>
  <dcterms:modified xsi:type="dcterms:W3CDTF">2024-10-24T05:28:00Z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2024-10-23T19:51:16Z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92aaaedd-4b1e-4ce5-b356-38a1dee5251c</vt:lpwstr>
  </property>
  <property fmtid="{D5CDD505-2E9C-101B-9397-08002B2CF9AE}" pid="12" name="MSIP_Label_c754cbb2-29ed-4ffe-af90-a08465e0dd2c_ContentBits">
    <vt:lpwstr>0</vt:lpwstr>
  </property>
</Properties>
</file>