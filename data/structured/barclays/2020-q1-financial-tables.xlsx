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20\Q1 20\"/>
    </mc:Choice>
  </mc:AlternateContent>
  <bookViews>
    <workbookView xWindow="0" yWindow="0" windowWidth="25284" windowHeight="9036" tabRatio="693" firstSheet="1" activeTab="1"/>
  </bookViews>
  <sheets>
    <sheet name="YTD Consolidation check " sheetId="52" state="hidden" r:id="rId1"/>
    <sheet name="Group PH" sheetId="1" r:id="rId2"/>
    <sheet name="Barclays UK YTD" sheetId="47" state="hidden" r:id="rId3"/>
    <sheet name="Barclays International YTD" sheetId="48" state="hidden" r:id="rId4"/>
    <sheet name="Head Office YTD" sheetId="49" state="hidden" r:id="rId5"/>
    <sheet name="Group Qrtly" sheetId="12" r:id="rId6"/>
    <sheet name="Barclays UK Qrtly" sheetId="15" r:id="rId7"/>
    <sheet name="Barclays International Qrtly" sheetId="16" r:id="rId8"/>
    <sheet name="Head Office Qrtly" sheetId="26" r:id="rId9"/>
    <sheet name="Segmental Reporting Note" sheetId="53" state="hidden" r:id="rId10"/>
    <sheet name="Margins and balances" sheetId="54" r:id="rId11"/>
    <sheet name="L&amp;A by stage" sheetId="55" r:id="rId12"/>
    <sheet name="L&amp;A by product" sheetId="56" r:id="rId13"/>
    <sheet name="MEVs and scenario weights" sheetId="57" r:id="rId14"/>
    <sheet name="Drivers of impairment change" sheetId="58" r:id="rId15"/>
    <sheet name="Group liquidity pool" sheetId="59" r:id="rId16"/>
    <sheet name="Capital ratios and resources" sheetId="60" r:id="rId17"/>
    <sheet name="Movement in CET1 capital" sheetId="61" r:id="rId18"/>
    <sheet name="RWAs by risk type and business" sheetId="62" r:id="rId19"/>
    <sheet name="Movement in RWAs" sheetId="63" r:id="rId20"/>
    <sheet name="Leverage" sheetId="64" r:id="rId21"/>
    <sheet name="MREL ratios and position" sheetId="65" r:id="rId22"/>
    <sheet name="Condensed consolidated IS" sheetId="66" r:id="rId23"/>
    <sheet name="Condensed consolidated BS" sheetId="67" r:id="rId24"/>
    <sheet name="Condensed consolidated SOCIE" sheetId="68" r:id="rId25"/>
    <sheet name="Returns" sheetId="41" r:id="rId26"/>
    <sheet name="CYYTD performance measures excl" sheetId="50" state="hidden" r:id="rId27"/>
    <sheet name="PYYTD performance measures" sheetId="51" state="hidden" r:id="rId28"/>
    <sheet name="Group performance measures excl" sheetId="43" r:id="rId29"/>
    <sheet name="BUK performance measures excl" sheetId="44" r:id="rId30"/>
    <sheet name="BI performance measures excl" sheetId="45" r:id="rId31"/>
    <sheet name="HO performance measures excl" sheetId="46" r:id="rId32"/>
    <sheet name="TNAV" sheetId="69" r:id="rId33"/>
  </sheets>
  <externalReferences>
    <externalReference r:id="rId34"/>
    <externalReference r:id="rId35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14">#REF!</definedName>
    <definedName name="CDMQRCentralBPAClarityUploadQuarterlies_1" localSheetId="15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27">#REF!</definedName>
    <definedName name="CDMQRCentralBPAClarityUploadQuarterlies_1" localSheetId="32">#REF!</definedName>
    <definedName name="CDMQRCentralBPAClarityUploadQuarterlies_1" localSheetId="0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14">#REF!</definedName>
    <definedName name="CDMQRClarityuploadfileQ316.xlsx_1" localSheetId="15">#REF!</definedName>
    <definedName name="CDMQRClarityuploadfileQ316.xlsx_1" localSheetId="4">#REF!</definedName>
    <definedName name="CDMQRClarityuploadfileQ316.xlsx_1" localSheetId="27">#REF!</definedName>
    <definedName name="CDMQRClarityuploadfileQ316.xlsx_1" localSheetId="32">#REF!</definedName>
    <definedName name="CDMQRClarityuploadfileQ316.xlsx_1" localSheetId="0">#REF!</definedName>
    <definedName name="CDMQRClarityuploadfileQ316.xlsx_1">#REF!</definedName>
    <definedName name="CDMQRClarityuploadfileQ316.xlsx_2" localSheetId="3">#REF!</definedName>
    <definedName name="CDMQRClarityuploadfileQ316.xlsx_2" localSheetId="14">#REF!</definedName>
    <definedName name="CDMQRClarityuploadfileQ316.xlsx_2" localSheetId="15">#REF!</definedName>
    <definedName name="CDMQRClarityuploadfileQ316.xlsx_2" localSheetId="27">#REF!</definedName>
    <definedName name="CDMQRClarityuploadfileQ316.xlsx_2" localSheetId="32">#REF!</definedName>
    <definedName name="CDMQRClarityuploadfileQ316.xlsx_2" localSheetId="0">#REF!</definedName>
    <definedName name="CDMQRClarityuploadfileQ316.xlsx_2">#REF!</definedName>
    <definedName name="CDMQRClarityuploadfileQ316.xlsx_3" localSheetId="3">#REF!</definedName>
    <definedName name="CDMQRClarityuploadfileQ316.xlsx_3" localSheetId="14">#REF!</definedName>
    <definedName name="CDMQRClarityuploadfileQ316.xlsx_3" localSheetId="27">#REF!</definedName>
    <definedName name="CDMQRClarityuploadfileQ316.xlsx_3" localSheetId="32">#REF!</definedName>
    <definedName name="CDMQRClarityuploadfileQ316.xlsx_3" localSheetId="0">#REF!</definedName>
    <definedName name="CDMQRClarityuploadfileQ316.xlsx_3">#REF!</definedName>
    <definedName name="CDMQRClarityuploadfileQ316.xlsx_4" localSheetId="3">#REF!</definedName>
    <definedName name="CDMQRClarityuploadfileQ316.xlsx_4" localSheetId="14">#REF!</definedName>
    <definedName name="CDMQRClarityuploadfileQ316.xlsx_4" localSheetId="27">#REF!</definedName>
    <definedName name="CDMQRClarityuploadfileQ316.xlsx_4" localSheetId="32">#REF!</definedName>
    <definedName name="CDMQRClarityuploadfileQ316.xlsx_4" localSheetId="0">#REF!</definedName>
    <definedName name="CDMQRClarityuploadfileQ316.xlsx_4">#REF!</definedName>
    <definedName name="CQtr" localSheetId="14">#REF!</definedName>
    <definedName name="CQtr" localSheetId="32">#REF!</definedName>
    <definedName name="CQtr">#REF!</definedName>
    <definedName name="Entity">[1]Lists!$F$3:$F$501</definedName>
    <definedName name="OLE_LINK1" localSheetId="12">'L&amp;A by product'!#REF!</definedName>
    <definedName name="OLE_LINK1" localSheetId="11">'L&amp;A by stage'!$A$2</definedName>
    <definedName name="OLE_LINK1" localSheetId="10">'Margins and balances'!$A$2</definedName>
    <definedName name="PPPPPPPQtr" localSheetId="14">#REF!</definedName>
    <definedName name="PPPPPPPQtr" localSheetId="15">#REF!</definedName>
    <definedName name="PPPPPPPQtr" localSheetId="13">#REF!</definedName>
    <definedName name="PPPPPPPQtr" localSheetId="32">#REF!</definedName>
    <definedName name="PPPPPPPQtr">#REF!</definedName>
    <definedName name="PPPPPPQtr" localSheetId="14">#REF!</definedName>
    <definedName name="PPPPPPQtr" localSheetId="15">#REF!</definedName>
    <definedName name="PPPPPPQtr" localSheetId="13">#REF!</definedName>
    <definedName name="PPPPPPQtr" localSheetId="32">#REF!</definedName>
    <definedName name="PPPPPPQtr">#REF!</definedName>
    <definedName name="PPPPPQtr" localSheetId="14">#REF!</definedName>
    <definedName name="PPPPPQtr" localSheetId="15">#REF!</definedName>
    <definedName name="PPPPPQtr" localSheetId="13">#REF!</definedName>
    <definedName name="PPPPPQtr" localSheetId="32">#REF!</definedName>
    <definedName name="PPPPPQtr">#REF!</definedName>
    <definedName name="PPPPQtr" localSheetId="14">#REF!</definedName>
    <definedName name="PPPPQtr" localSheetId="32">#REF!</definedName>
    <definedName name="PPPPQtr">#REF!</definedName>
    <definedName name="PPPQtr" localSheetId="14">#REF!</definedName>
    <definedName name="PPPQtr" localSheetId="32">#REF!</definedName>
    <definedName name="PPPQtr">#REF!</definedName>
    <definedName name="PPQtr" localSheetId="14">#REF!</definedName>
    <definedName name="PPQtr" localSheetId="32">#REF!</definedName>
    <definedName name="PPQtr">#REF!</definedName>
    <definedName name="PQtr" localSheetId="14">#REF!</definedName>
    <definedName name="PQtr" localSheetId="32">#REF!</definedName>
    <definedName name="PQtr">#REF!</definedName>
    <definedName name="_xlnm.Print_Area" localSheetId="7">'Barclays International Qrtly'!$B$2:$L$133</definedName>
    <definedName name="_xlnm.Print_Area" localSheetId="3">'Barclays International YTD'!$B$2:$E$137</definedName>
    <definedName name="_xlnm.Print_Area" localSheetId="6">'Barclays UK Qrtly'!$B$2:$L$63</definedName>
    <definedName name="_xlnm.Print_Area" localSheetId="2">'Barclays UK YTD'!$B$2:$E$71</definedName>
    <definedName name="_xlnm.Print_Area" localSheetId="30">'BI performance measures excl'!$A$1:$K$85</definedName>
    <definedName name="_xlnm.Print_Area" localSheetId="29">'BUK performance measures excl'!$A$1:$K$27</definedName>
    <definedName name="_xlnm.Print_Area" localSheetId="16">'Capital ratios and resources'!$B$2:$D$40</definedName>
    <definedName name="_xlnm.Print_Area" localSheetId="23">'Condensed consolidated BS'!$B$2:$E$45</definedName>
    <definedName name="_xlnm.Print_Area" localSheetId="22">'Condensed consolidated IS'!$B$2:$E$25</definedName>
    <definedName name="_xlnm.Print_Area" localSheetId="24">'Condensed consolidated SOCIE'!$B$2:$I$25</definedName>
    <definedName name="_xlnm.Print_Area" localSheetId="26">'CYYTD performance measures excl'!$A$1:$L$34</definedName>
    <definedName name="_xlnm.Print_Area" localSheetId="14">'Drivers of impairment change'!$B$2:$D$12</definedName>
    <definedName name="_xlnm.Print_Area" localSheetId="15">'Group liquidity pool'!$B$2:$H$23</definedName>
    <definedName name="_xlnm.Print_Area" localSheetId="28">'Group performance measures excl'!$A$1:$K$34</definedName>
    <definedName name="_xlnm.Print_Area" localSheetId="1">'Group PH'!$B$1:$E$44</definedName>
    <definedName name="_xlnm.Print_Area" localSheetId="5">'Group Qrtly'!$B$1:$L$51</definedName>
    <definedName name="_xlnm.Print_Area" localSheetId="8">'Head Office Qrtly'!$B$2:$L$30</definedName>
    <definedName name="_xlnm.Print_Area" localSheetId="4">'Head Office YTD'!$B$2:$E$31</definedName>
    <definedName name="_xlnm.Print_Area" localSheetId="31">'HO performance measures excl'!$A$1:$K$11</definedName>
    <definedName name="_xlnm.Print_Area" localSheetId="12">'L&amp;A by product'!$B$2:$I$52</definedName>
    <definedName name="_xlnm.Print_Area" localSheetId="11">'L&amp;A by stage'!$B$2:$L$66</definedName>
    <definedName name="_xlnm.Print_Area" localSheetId="20">Leverage!$B$2:$D$42</definedName>
    <definedName name="_xlnm.Print_Area" localSheetId="10">'Margins and balances'!$B$2:$H$28</definedName>
    <definedName name="_xlnm.Print_Area" localSheetId="13">'MEVs and scenario weights'!$B$2:$G$20</definedName>
    <definedName name="_xlnm.Print_Area" localSheetId="17">'Movement in CET1 capital'!$B$2:$C$30</definedName>
    <definedName name="_xlnm.Print_Area" localSheetId="19">'Movement in RWAs'!$B$2:$G$12</definedName>
    <definedName name="_xlnm.Print_Area" localSheetId="21">'MREL ratios and position'!$B$2:$D$25</definedName>
    <definedName name="_xlnm.Print_Area" localSheetId="27">'PYYTD performance measures'!$A$1:$H$34</definedName>
    <definedName name="_xlnm.Print_Area" localSheetId="25">Returns!$A$1:$F$17</definedName>
    <definedName name="_xlnm.Print_Area" localSheetId="18">'RWAs by risk type and business'!$B$2:$O$19</definedName>
    <definedName name="_xlnm.Print_Area" localSheetId="32">TNAV!$B$2:$F$14</definedName>
    <definedName name="Product">[1]Lists!$S$3:$S$201</definedName>
    <definedName name="Segment">[1]Lists!$O$3:$O$31</definedName>
    <definedName name="View">[1]Lists!$K$3:$K$420</definedName>
    <definedName name="year" localSheetId="14">#REF!</definedName>
    <definedName name="year" localSheetId="15">#REF!</definedName>
    <definedName name="year" localSheetId="13">#REF!</definedName>
    <definedName name="year" localSheetId="27">[2]!Table1[Column1]</definedName>
    <definedName name="year" localSheetId="32">#REF!</definedName>
    <definedName name="year" localSheetId="0">#REF!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P22" i="50" l="1"/>
  <c r="P20" i="50"/>
  <c r="P15" i="50"/>
  <c r="P10" i="50"/>
  <c r="P8" i="50"/>
  <c r="K95" i="48"/>
  <c r="M13" i="48"/>
  <c r="M12" i="48"/>
  <c r="M11" i="48"/>
  <c r="J81" i="47" l="1"/>
  <c r="AB29" i="50"/>
  <c r="P21" i="50" l="1"/>
  <c r="AC23" i="50"/>
  <c r="O21" i="50"/>
  <c r="L135" i="48"/>
  <c r="H69" i="48"/>
  <c r="M14" i="48"/>
  <c r="M45" i="48"/>
  <c r="M44" i="48"/>
  <c r="J68" i="47"/>
  <c r="J65" i="47"/>
  <c r="J59" i="47"/>
  <c r="J54" i="47"/>
  <c r="H61" i="47"/>
  <c r="J17" i="49"/>
  <c r="L18" i="49"/>
  <c r="J63" i="48" l="1"/>
  <c r="K12" i="49" l="1"/>
  <c r="J12" i="49"/>
  <c r="H12" i="49"/>
  <c r="H13" i="48" l="1"/>
  <c r="J13" i="48"/>
  <c r="P13" i="48"/>
  <c r="N13" i="48"/>
  <c r="K107" i="48"/>
  <c r="J107" i="48"/>
  <c r="H107" i="48"/>
  <c r="K67" i="48"/>
  <c r="J67" i="48"/>
  <c r="H67" i="48"/>
  <c r="K13" i="48"/>
  <c r="M12" i="47"/>
  <c r="L12" i="47"/>
  <c r="K12" i="47"/>
  <c r="J12" i="47"/>
  <c r="H12" i="47"/>
  <c r="Q13" i="48" l="1"/>
  <c r="H53" i="48"/>
  <c r="H52" i="48"/>
  <c r="J57" i="48" l="1"/>
  <c r="M7" i="52"/>
  <c r="N7" i="52"/>
  <c r="K7" i="52"/>
  <c r="J7" i="52"/>
  <c r="N12" i="48" l="1"/>
  <c r="P8" i="51"/>
  <c r="O8" i="51"/>
  <c r="T8" i="50"/>
  <c r="S8" i="50"/>
  <c r="N11" i="48"/>
  <c r="J70" i="48" l="1"/>
  <c r="K70" i="48"/>
  <c r="K57" i="48"/>
  <c r="J103" i="48" l="1"/>
  <c r="H104" i="48" l="1"/>
  <c r="H103" i="48"/>
  <c r="H106" i="48"/>
  <c r="J112" i="48"/>
  <c r="K112" i="48"/>
  <c r="K103" i="48"/>
  <c r="H66" i="48"/>
  <c r="K53" i="48"/>
  <c r="J53" i="48"/>
  <c r="H55" i="48"/>
  <c r="H54" i="48"/>
  <c r="H56" i="48"/>
  <c r="AF50" i="52" l="1"/>
  <c r="AF23" i="52"/>
  <c r="K49" i="52"/>
  <c r="J49" i="52"/>
  <c r="N49" i="52"/>
  <c r="M49" i="52"/>
  <c r="N52" i="52"/>
  <c r="M52" i="52"/>
  <c r="N51" i="52"/>
  <c r="M51" i="52"/>
  <c r="M48" i="52"/>
  <c r="N48" i="52"/>
  <c r="N47" i="52"/>
  <c r="M47" i="52"/>
  <c r="N44" i="52"/>
  <c r="M44" i="52"/>
  <c r="M37" i="52"/>
  <c r="N37" i="52"/>
  <c r="M38" i="52"/>
  <c r="N38" i="52"/>
  <c r="M39" i="52"/>
  <c r="N39" i="52"/>
  <c r="M40" i="52"/>
  <c r="N40" i="52"/>
  <c r="M41" i="52"/>
  <c r="N41" i="52"/>
  <c r="M42" i="52"/>
  <c r="N42" i="52"/>
  <c r="M36" i="52"/>
  <c r="M67" i="52" s="1"/>
  <c r="N36" i="52"/>
  <c r="M34" i="52"/>
  <c r="N34" i="52"/>
  <c r="M35" i="52"/>
  <c r="M66" i="52" s="1"/>
  <c r="N35" i="52"/>
  <c r="N33" i="52"/>
  <c r="M33" i="52"/>
  <c r="N19" i="52"/>
  <c r="M19" i="52"/>
  <c r="N22" i="52"/>
  <c r="M22" i="52"/>
  <c r="N21" i="52"/>
  <c r="M21" i="52"/>
  <c r="M18" i="52"/>
  <c r="N18" i="52"/>
  <c r="N17" i="52"/>
  <c r="M17" i="52"/>
  <c r="N14" i="52"/>
  <c r="M14" i="52"/>
  <c r="M10" i="52"/>
  <c r="N10" i="52"/>
  <c r="M11" i="52"/>
  <c r="M71" i="52" s="1"/>
  <c r="N11" i="52"/>
  <c r="N71" i="52" s="1"/>
  <c r="M12" i="52"/>
  <c r="N12" i="52"/>
  <c r="M9" i="52"/>
  <c r="M69" i="52" s="1"/>
  <c r="N9" i="52"/>
  <c r="N8" i="52"/>
  <c r="M8" i="52"/>
  <c r="M4" i="52"/>
  <c r="N4" i="52"/>
  <c r="M5" i="52"/>
  <c r="N5" i="52"/>
  <c r="M6" i="52"/>
  <c r="N6" i="52"/>
  <c r="N67" i="52" s="1"/>
  <c r="N3" i="52"/>
  <c r="M3" i="52"/>
  <c r="K52" i="52"/>
  <c r="J52" i="52"/>
  <c r="K51" i="52"/>
  <c r="J51" i="52"/>
  <c r="J48" i="52"/>
  <c r="K48" i="52"/>
  <c r="K47" i="52"/>
  <c r="J47" i="52"/>
  <c r="K44" i="52"/>
  <c r="J44" i="52"/>
  <c r="J42" i="52"/>
  <c r="K42" i="52"/>
  <c r="J40" i="52"/>
  <c r="K40" i="52"/>
  <c r="J41" i="52"/>
  <c r="K41" i="52"/>
  <c r="J39" i="52"/>
  <c r="K39" i="52"/>
  <c r="J38" i="52"/>
  <c r="K38" i="52"/>
  <c r="J37" i="52"/>
  <c r="K37" i="52"/>
  <c r="J34" i="52"/>
  <c r="K34" i="52"/>
  <c r="J35" i="52"/>
  <c r="K35" i="52"/>
  <c r="J36" i="52"/>
  <c r="K36" i="52"/>
  <c r="K33" i="52"/>
  <c r="J33" i="52"/>
  <c r="K21" i="52"/>
  <c r="K22" i="52"/>
  <c r="J22" i="52"/>
  <c r="J21" i="52"/>
  <c r="K19" i="52"/>
  <c r="J19" i="52"/>
  <c r="J18" i="52"/>
  <c r="K18" i="52"/>
  <c r="K17" i="52"/>
  <c r="J17" i="52"/>
  <c r="K14" i="52"/>
  <c r="J14" i="52"/>
  <c r="J9" i="52"/>
  <c r="K9" i="52"/>
  <c r="J10" i="52"/>
  <c r="K10" i="52"/>
  <c r="J11" i="52"/>
  <c r="K11" i="52"/>
  <c r="J12" i="52"/>
  <c r="J72" i="52" s="1"/>
  <c r="K12" i="52"/>
  <c r="K8" i="52"/>
  <c r="J8" i="52"/>
  <c r="J6" i="52"/>
  <c r="K6" i="52"/>
  <c r="J4" i="52"/>
  <c r="K4" i="52"/>
  <c r="J5" i="52"/>
  <c r="K5" i="52"/>
  <c r="K3" i="52"/>
  <c r="J3" i="52"/>
  <c r="K34" i="51"/>
  <c r="O34" i="50"/>
  <c r="L22" i="51"/>
  <c r="L21" i="51"/>
  <c r="L20" i="51"/>
  <c r="L17" i="51"/>
  <c r="L16" i="51"/>
  <c r="L15" i="51"/>
  <c r="L10" i="51"/>
  <c r="L8" i="51"/>
  <c r="L7" i="51"/>
  <c r="L6" i="51"/>
  <c r="P27" i="50"/>
  <c r="P26" i="50"/>
  <c r="P25" i="50"/>
  <c r="P17" i="50"/>
  <c r="P16" i="50"/>
  <c r="P7" i="50"/>
  <c r="P6" i="50"/>
  <c r="J64" i="52" l="1"/>
  <c r="K69" i="52"/>
  <c r="M64" i="52"/>
  <c r="J69" i="52"/>
  <c r="N64" i="52"/>
  <c r="M70" i="52"/>
  <c r="M72" i="52"/>
  <c r="J67" i="52"/>
  <c r="M76" i="52"/>
  <c r="K67" i="52"/>
  <c r="J76" i="52"/>
  <c r="K71" i="52"/>
  <c r="M78" i="52"/>
  <c r="K65" i="52"/>
  <c r="K70" i="52"/>
  <c r="K77" i="52"/>
  <c r="N68" i="52"/>
  <c r="N77" i="52"/>
  <c r="M81" i="52"/>
  <c r="J81" i="52"/>
  <c r="N72" i="52"/>
  <c r="N70" i="52"/>
  <c r="K68" i="52"/>
  <c r="K72" i="52"/>
  <c r="J80" i="52"/>
  <c r="M80" i="52"/>
  <c r="J65" i="52"/>
  <c r="J68" i="52"/>
  <c r="K80" i="52"/>
  <c r="N80" i="52"/>
  <c r="N78" i="52"/>
  <c r="K64" i="52"/>
  <c r="J66" i="52"/>
  <c r="J77" i="52"/>
  <c r="M65" i="52"/>
  <c r="M77" i="52"/>
  <c r="N81" i="52"/>
  <c r="J70" i="52"/>
  <c r="K81" i="52"/>
  <c r="M68" i="52"/>
  <c r="K66" i="52"/>
  <c r="N65" i="52"/>
  <c r="K76" i="52"/>
  <c r="N76" i="52"/>
  <c r="AF48" i="52" s="1"/>
  <c r="J71" i="52"/>
  <c r="N66" i="52"/>
  <c r="N69" i="52"/>
  <c r="K78" i="52"/>
  <c r="J78" i="52"/>
  <c r="R27" i="50" l="1"/>
  <c r="Y8" i="50"/>
  <c r="Y17" i="50"/>
  <c r="Y23" i="50"/>
  <c r="Y29" i="50"/>
  <c r="W22" i="50"/>
  <c r="W20" i="50"/>
  <c r="W17" i="50"/>
  <c r="W15" i="50"/>
  <c r="W8" i="50"/>
  <c r="AA23" i="50"/>
  <c r="AA17" i="50"/>
  <c r="AA8" i="50"/>
  <c r="O25" i="50"/>
  <c r="R16" i="50"/>
  <c r="O6" i="50"/>
  <c r="J31" i="49"/>
  <c r="H31" i="49"/>
  <c r="H22" i="49"/>
  <c r="J7" i="49"/>
  <c r="H16" i="49"/>
  <c r="P140" i="48"/>
  <c r="H141" i="48"/>
  <c r="H140" i="48"/>
  <c r="K136" i="48"/>
  <c r="K135" i="48"/>
  <c r="P98" i="48"/>
  <c r="P97" i="48"/>
  <c r="P96" i="48"/>
  <c r="P95" i="48"/>
  <c r="K93" i="48"/>
  <c r="J83" i="48"/>
  <c r="J72" i="48"/>
  <c r="J65" i="48"/>
  <c r="J61" i="48"/>
  <c r="P46" i="48"/>
  <c r="P45" i="48"/>
  <c r="P44" i="48"/>
  <c r="P43" i="48"/>
  <c r="H35" i="48"/>
  <c r="J30" i="48"/>
  <c r="M28" i="48"/>
  <c r="O28" i="48"/>
  <c r="N28" i="48"/>
  <c r="M29" i="48"/>
  <c r="M27" i="48"/>
  <c r="H27" i="48"/>
  <c r="M31" i="48"/>
  <c r="J17" i="48"/>
  <c r="M24" i="48" l="1"/>
  <c r="M21" i="48"/>
  <c r="M18" i="48"/>
  <c r="M15" i="48"/>
  <c r="M10" i="48"/>
  <c r="M9" i="48"/>
  <c r="M8" i="48"/>
  <c r="J15" i="48"/>
  <c r="J10" i="48"/>
  <c r="J8" i="48"/>
  <c r="H5" i="48"/>
  <c r="J78" i="47"/>
  <c r="J75" i="47"/>
  <c r="J72" i="47"/>
  <c r="H68" i="47"/>
  <c r="H67" i="47"/>
  <c r="H66" i="47"/>
  <c r="H65" i="47"/>
  <c r="H62" i="47"/>
  <c r="H60" i="47"/>
  <c r="H59" i="47"/>
  <c r="H51" i="47"/>
  <c r="L51" i="47"/>
  <c r="H52" i="47"/>
  <c r="H44" i="47"/>
  <c r="H43" i="47"/>
  <c r="H38" i="47"/>
  <c r="H37" i="47"/>
  <c r="J16" i="47"/>
  <c r="R7" i="50"/>
  <c r="L14" i="47"/>
  <c r="L16" i="47"/>
  <c r="J14" i="47"/>
  <c r="J10" i="47"/>
  <c r="J7" i="47"/>
  <c r="L7" i="47"/>
  <c r="H5" i="47"/>
  <c r="C37" i="52" l="1"/>
  <c r="D37" i="52"/>
  <c r="G37" i="52"/>
  <c r="H37" i="52"/>
  <c r="P37" i="52"/>
  <c r="AC37" i="52" s="1"/>
  <c r="Q37" i="52"/>
  <c r="AE37" i="52" s="1"/>
  <c r="S37" i="52"/>
  <c r="T37" i="52"/>
  <c r="C36" i="52"/>
  <c r="G36" i="52"/>
  <c r="C7" i="52"/>
  <c r="D7" i="52"/>
  <c r="G7" i="52"/>
  <c r="H7" i="52"/>
  <c r="P7" i="52"/>
  <c r="AC7" i="52" s="1"/>
  <c r="Q7" i="52"/>
  <c r="AE7" i="52" s="1"/>
  <c r="S7" i="52"/>
  <c r="T7" i="52"/>
  <c r="V8" i="50"/>
  <c r="R8" i="50"/>
  <c r="Y7" i="52" l="1"/>
  <c r="W7" i="52"/>
  <c r="W37" i="52"/>
  <c r="K92" i="48"/>
  <c r="H48" i="48"/>
  <c r="H47" i="48"/>
  <c r="P11" i="48"/>
  <c r="L10" i="47"/>
  <c r="M18" i="49" l="1"/>
  <c r="S8" i="51" l="1"/>
  <c r="R8" i="51"/>
  <c r="Q8" i="51"/>
  <c r="N8" i="51"/>
  <c r="M10" i="49"/>
  <c r="I24" i="49"/>
  <c r="I23" i="49"/>
  <c r="I22" i="49"/>
  <c r="Y120" i="48"/>
  <c r="Y121" i="48"/>
  <c r="Y122" i="48"/>
  <c r="Y123" i="48"/>
  <c r="X123" i="48"/>
  <c r="X122" i="48"/>
  <c r="X121" i="48"/>
  <c r="X120" i="48"/>
  <c r="Y87" i="48"/>
  <c r="Y86" i="48"/>
  <c r="Y85" i="48"/>
  <c r="Y84" i="48"/>
  <c r="Y83" i="48"/>
  <c r="Y82" i="48"/>
  <c r="Y81" i="48"/>
  <c r="Y80" i="48"/>
  <c r="Y79" i="48"/>
  <c r="Y78" i="48"/>
  <c r="X87" i="48"/>
  <c r="T87" i="48" s="1"/>
  <c r="X86" i="48"/>
  <c r="T86" i="48" s="1"/>
  <c r="X85" i="48"/>
  <c r="T85" i="48" s="1"/>
  <c r="X84" i="48"/>
  <c r="T84" i="48" s="1"/>
  <c r="X83" i="48"/>
  <c r="T83" i="48" s="1"/>
  <c r="X82" i="48"/>
  <c r="T82" i="48" s="1"/>
  <c r="X81" i="48"/>
  <c r="T81" i="48" s="1"/>
  <c r="X80" i="48"/>
  <c r="T80" i="48" s="1"/>
  <c r="X79" i="48"/>
  <c r="T79" i="48" s="1"/>
  <c r="X78" i="48"/>
  <c r="T78" i="48" s="1"/>
  <c r="Y33" i="48"/>
  <c r="Y32" i="48"/>
  <c r="Y31" i="48"/>
  <c r="Y30" i="48"/>
  <c r="Y29" i="48"/>
  <c r="Y28" i="48"/>
  <c r="Y27" i="48"/>
  <c r="Y26" i="48"/>
  <c r="Y25" i="48"/>
  <c r="Y24" i="48"/>
  <c r="Y23" i="48"/>
  <c r="Y22" i="48"/>
  <c r="X33" i="48"/>
  <c r="X32" i="48"/>
  <c r="X31" i="48"/>
  <c r="X30" i="48"/>
  <c r="X29" i="48"/>
  <c r="X28" i="48"/>
  <c r="X27" i="48"/>
  <c r="X26" i="48"/>
  <c r="X25" i="48"/>
  <c r="X24" i="48"/>
  <c r="X23" i="48"/>
  <c r="X22" i="48"/>
  <c r="Q18" i="48"/>
  <c r="Q11" i="48"/>
  <c r="L136" i="48"/>
  <c r="L95" i="48"/>
  <c r="L93" i="48"/>
  <c r="L92" i="48"/>
  <c r="I48" i="48"/>
  <c r="I47" i="48"/>
  <c r="M55" i="47"/>
  <c r="I37" i="47"/>
  <c r="I38" i="47"/>
  <c r="N25" i="47"/>
  <c r="N24" i="47"/>
  <c r="N23" i="47"/>
  <c r="N22" i="47"/>
  <c r="N21" i="47"/>
  <c r="N20" i="47"/>
  <c r="M25" i="47"/>
  <c r="M24" i="47"/>
  <c r="M23" i="47"/>
  <c r="M22" i="47"/>
  <c r="M21" i="47"/>
  <c r="M20" i="47"/>
  <c r="M10" i="47"/>
  <c r="T49" i="52" l="1"/>
  <c r="T48" i="52"/>
  <c r="T47" i="52"/>
  <c r="T44" i="52"/>
  <c r="T42" i="52"/>
  <c r="T41" i="52"/>
  <c r="T40" i="52"/>
  <c r="T39" i="52"/>
  <c r="T38" i="52"/>
  <c r="T36" i="52"/>
  <c r="T35" i="52"/>
  <c r="T34" i="52"/>
  <c r="T33" i="52"/>
  <c r="S49" i="52"/>
  <c r="S48" i="52"/>
  <c r="S47" i="52"/>
  <c r="S44" i="52"/>
  <c r="S42" i="52"/>
  <c r="S41" i="52"/>
  <c r="S40" i="52"/>
  <c r="S39" i="52"/>
  <c r="S38" i="52"/>
  <c r="S36" i="52"/>
  <c r="S35" i="52"/>
  <c r="S34" i="52"/>
  <c r="S33" i="52"/>
  <c r="Q49" i="52"/>
  <c r="AE49" i="52" s="1"/>
  <c r="Q48" i="52"/>
  <c r="AE48" i="52" s="1"/>
  <c r="Q47" i="52"/>
  <c r="AE47" i="52" s="1"/>
  <c r="Q44" i="52"/>
  <c r="AE44" i="52" s="1"/>
  <c r="Q42" i="52"/>
  <c r="AE42" i="52" s="1"/>
  <c r="Q41" i="52"/>
  <c r="AE41" i="52" s="1"/>
  <c r="Q40" i="52"/>
  <c r="AE40" i="52" s="1"/>
  <c r="Q39" i="52"/>
  <c r="AE39" i="52" s="1"/>
  <c r="Q38" i="52"/>
  <c r="AE38" i="52" s="1"/>
  <c r="Q36" i="52"/>
  <c r="AE36" i="52" s="1"/>
  <c r="Q35" i="52"/>
  <c r="AE35" i="52" s="1"/>
  <c r="Q34" i="52"/>
  <c r="AE34" i="52" s="1"/>
  <c r="Q33" i="52"/>
  <c r="AE33" i="52" s="1"/>
  <c r="P49" i="52"/>
  <c r="AC49" i="52" s="1"/>
  <c r="P48" i="52"/>
  <c r="AC48" i="52" s="1"/>
  <c r="P47" i="52"/>
  <c r="AC47" i="52" s="1"/>
  <c r="P44" i="52"/>
  <c r="P42" i="52"/>
  <c r="AC42" i="52" s="1"/>
  <c r="P41" i="52"/>
  <c r="AC41" i="52" s="1"/>
  <c r="P40" i="52"/>
  <c r="AC40" i="52" s="1"/>
  <c r="P39" i="52"/>
  <c r="AC39" i="52" s="1"/>
  <c r="P38" i="52"/>
  <c r="AC38" i="52" s="1"/>
  <c r="P36" i="52"/>
  <c r="AC36" i="52" s="1"/>
  <c r="P35" i="52"/>
  <c r="AC35" i="52" s="1"/>
  <c r="P34" i="52"/>
  <c r="AC34" i="52" s="1"/>
  <c r="P33" i="52"/>
  <c r="AC33" i="52" s="1"/>
  <c r="AC44" i="52" l="1"/>
  <c r="H49" i="52"/>
  <c r="H48" i="52"/>
  <c r="H77" i="52" s="1"/>
  <c r="H47" i="52"/>
  <c r="H44" i="52"/>
  <c r="D42" i="52"/>
  <c r="D41" i="52"/>
  <c r="D40" i="52"/>
  <c r="D39" i="52"/>
  <c r="D38" i="52"/>
  <c r="H42" i="52"/>
  <c r="H41" i="52"/>
  <c r="H40" i="52"/>
  <c r="H39" i="52"/>
  <c r="H38" i="52"/>
  <c r="H36" i="52"/>
  <c r="H35" i="52"/>
  <c r="H34" i="52"/>
  <c r="H33" i="52"/>
  <c r="G49" i="52"/>
  <c r="G48" i="52"/>
  <c r="G77" i="52" s="1"/>
  <c r="G47" i="52"/>
  <c r="G44" i="52"/>
  <c r="G42" i="52"/>
  <c r="G41" i="52"/>
  <c r="G40" i="52"/>
  <c r="G39" i="52"/>
  <c r="G38" i="52"/>
  <c r="G35" i="52"/>
  <c r="G34" i="52"/>
  <c r="G33" i="52"/>
  <c r="D49" i="52"/>
  <c r="D48" i="52"/>
  <c r="D47" i="52"/>
  <c r="D44" i="52"/>
  <c r="T22" i="52"/>
  <c r="Q22" i="52"/>
  <c r="AE22" i="52" s="1"/>
  <c r="H22" i="52"/>
  <c r="D22" i="52"/>
  <c r="T21" i="52"/>
  <c r="Q21" i="52"/>
  <c r="AE21" i="52" s="1"/>
  <c r="H21" i="52"/>
  <c r="C49" i="52"/>
  <c r="C48" i="52"/>
  <c r="C47" i="52"/>
  <c r="C45" i="52"/>
  <c r="C44" i="52"/>
  <c r="W44" i="52" s="1"/>
  <c r="C42" i="52"/>
  <c r="C41" i="52"/>
  <c r="C40" i="52"/>
  <c r="C39" i="52"/>
  <c r="C38" i="52"/>
  <c r="C35" i="52"/>
  <c r="D36" i="52"/>
  <c r="T18" i="52"/>
  <c r="T77" i="52" s="1"/>
  <c r="S18" i="52"/>
  <c r="S77" i="52" s="1"/>
  <c r="D12" i="52"/>
  <c r="C12" i="52"/>
  <c r="T5" i="52"/>
  <c r="S5" i="52"/>
  <c r="H5" i="52"/>
  <c r="G5" i="52"/>
  <c r="Q4" i="52"/>
  <c r="AE4" i="52" s="1"/>
  <c r="P4" i="52"/>
  <c r="AC4" i="52" s="1"/>
  <c r="C34" i="52"/>
  <c r="C33" i="52"/>
  <c r="D35" i="52"/>
  <c r="D34" i="52"/>
  <c r="D33" i="52"/>
  <c r="W33" i="52" l="1"/>
  <c r="Y41" i="52"/>
  <c r="Z41" i="52"/>
  <c r="W41" i="52"/>
  <c r="Y44" i="52"/>
  <c r="AF41" i="52" l="1"/>
  <c r="K15" i="49"/>
  <c r="J15" i="49"/>
  <c r="H13" i="49"/>
  <c r="H11" i="49"/>
  <c r="K17" i="48"/>
  <c r="K15" i="48"/>
  <c r="H12" i="48"/>
  <c r="K16" i="47" l="1"/>
  <c r="K14" i="47"/>
  <c r="H11" i="47"/>
  <c r="AD29" i="50" l="1"/>
  <c r="AC29" i="50"/>
  <c r="R15" i="50" l="1"/>
  <c r="R6" i="50"/>
  <c r="O26" i="50"/>
  <c r="O10" i="50"/>
  <c r="O8" i="50"/>
  <c r="O7" i="50"/>
  <c r="M31" i="49" l="1"/>
  <c r="L31" i="49"/>
  <c r="K31" i="49"/>
  <c r="H32" i="49"/>
  <c r="H24" i="49"/>
  <c r="H23" i="49"/>
  <c r="J9" i="49"/>
  <c r="H5" i="49"/>
  <c r="L28" i="49"/>
  <c r="H18" i="49"/>
  <c r="P73" i="48"/>
  <c r="P72" i="48"/>
  <c r="P114" i="48"/>
  <c r="P116" i="48"/>
  <c r="P143" i="48"/>
  <c r="P142" i="48"/>
  <c r="P141" i="48"/>
  <c r="H114" i="48"/>
  <c r="H111" i="48"/>
  <c r="H110" i="48"/>
  <c r="H109" i="48"/>
  <c r="H108" i="48"/>
  <c r="H105" i="48"/>
  <c r="H95" i="48"/>
  <c r="N18" i="48"/>
  <c r="N21" i="48"/>
  <c r="M17" i="48"/>
  <c r="J27" i="48"/>
  <c r="I27" i="48"/>
  <c r="H14" i="48"/>
  <c r="H11" i="48"/>
  <c r="J62" i="47"/>
  <c r="K54" i="47"/>
  <c r="L23" i="47"/>
  <c r="H23" i="47" s="1"/>
  <c r="L17" i="47"/>
  <c r="H6" i="47"/>
  <c r="Y27" i="51" l="1"/>
  <c r="X27" i="51"/>
  <c r="W27" i="51"/>
  <c r="Q37" i="48"/>
  <c r="M44" i="47"/>
  <c r="H44" i="48" l="1"/>
  <c r="T123" i="48" l="1"/>
  <c r="T122" i="48"/>
  <c r="T121" i="48"/>
  <c r="W40" i="52" l="1"/>
  <c r="Z29" i="50" l="1"/>
  <c r="AA29" i="50"/>
  <c r="L13" i="53" l="1"/>
  <c r="K44" i="48" l="1"/>
  <c r="J44" i="48"/>
  <c r="K30" i="48"/>
  <c r="W36" i="52" l="1"/>
  <c r="W38" i="52"/>
  <c r="S10" i="50" l="1"/>
  <c r="L55" i="47" l="1"/>
  <c r="K68" i="47"/>
  <c r="S29" i="51"/>
  <c r="Q29" i="51"/>
  <c r="P29" i="51"/>
  <c r="O29" i="51"/>
  <c r="N29" i="51"/>
  <c r="W29" i="50"/>
  <c r="U29" i="50"/>
  <c r="T29" i="50"/>
  <c r="S29" i="50"/>
  <c r="R29" i="50"/>
  <c r="J15" i="53"/>
  <c r="I15" i="53"/>
  <c r="H15" i="53"/>
  <c r="G15" i="53"/>
  <c r="J13" i="53"/>
  <c r="I13" i="53"/>
  <c r="H13" i="53"/>
  <c r="G13" i="53"/>
  <c r="J29" i="53"/>
  <c r="I29" i="53"/>
  <c r="H29" i="53"/>
  <c r="G29" i="53"/>
  <c r="J27" i="53"/>
  <c r="I27" i="53"/>
  <c r="H27" i="53"/>
  <c r="G27" i="53"/>
  <c r="L5" i="53" l="1"/>
  <c r="G5" i="53"/>
  <c r="J109" i="48"/>
  <c r="H145" i="48"/>
  <c r="H144" i="48" s="1"/>
  <c r="H136" i="48"/>
  <c r="H135" i="48" s="1"/>
  <c r="N14" i="48"/>
  <c r="L20" i="47"/>
  <c r="H20" i="47" s="1"/>
  <c r="O29" i="48" l="1"/>
  <c r="N29" i="48"/>
  <c r="W87" i="48"/>
  <c r="S87" i="48" s="1"/>
  <c r="W86" i="48"/>
  <c r="S86" i="48" s="1"/>
  <c r="W85" i="48"/>
  <c r="S85" i="48" s="1"/>
  <c r="W84" i="48"/>
  <c r="S84" i="48" s="1"/>
  <c r="W83" i="48"/>
  <c r="S83" i="48" s="1"/>
  <c r="W82" i="48"/>
  <c r="S82" i="48" s="1"/>
  <c r="W81" i="48"/>
  <c r="S81" i="48" s="1"/>
  <c r="W80" i="48"/>
  <c r="S80" i="48" s="1"/>
  <c r="W79" i="48"/>
  <c r="S79" i="48" s="1"/>
  <c r="T33" i="48"/>
  <c r="W33" i="48"/>
  <c r="S33" i="48" s="1"/>
  <c r="T32" i="48"/>
  <c r="W32" i="48"/>
  <c r="S32" i="48" s="1"/>
  <c r="T31" i="48"/>
  <c r="W31" i="48"/>
  <c r="S31" i="48" s="1"/>
  <c r="T30" i="48"/>
  <c r="W30" i="48"/>
  <c r="S30" i="48" s="1"/>
  <c r="T29" i="48"/>
  <c r="W29" i="48"/>
  <c r="S29" i="48" s="1"/>
  <c r="T28" i="48"/>
  <c r="W28" i="48"/>
  <c r="S28" i="48" s="1"/>
  <c r="T27" i="48"/>
  <c r="W27" i="48"/>
  <c r="S27" i="48" s="1"/>
  <c r="T26" i="48"/>
  <c r="W26" i="48"/>
  <c r="S26" i="48" s="1"/>
  <c r="T25" i="48"/>
  <c r="W25" i="48"/>
  <c r="S25" i="48" s="1"/>
  <c r="T24" i="48"/>
  <c r="W24" i="48"/>
  <c r="S24" i="48" s="1"/>
  <c r="T23" i="48"/>
  <c r="W23" i="48"/>
  <c r="S23" i="48" s="1"/>
  <c r="L17" i="49" l="1"/>
  <c r="P12" i="51"/>
  <c r="O12" i="51"/>
  <c r="S12" i="51"/>
  <c r="Q12" i="51"/>
  <c r="N12" i="51"/>
  <c r="W12" i="50"/>
  <c r="U12" i="50"/>
  <c r="T12" i="50"/>
  <c r="S12" i="50"/>
  <c r="R12" i="50"/>
  <c r="I43" i="47"/>
  <c r="I42" i="48"/>
  <c r="I41" i="48" s="1"/>
  <c r="H42" i="48"/>
  <c r="H41" i="48" s="1"/>
  <c r="H36" i="48"/>
  <c r="I36" i="48"/>
  <c r="I35" i="48"/>
  <c r="I136" i="48"/>
  <c r="I135" i="48" s="1"/>
  <c r="H100" i="48"/>
  <c r="H99" i="48" s="1"/>
  <c r="H93" i="48"/>
  <c r="H92" i="48" s="1"/>
  <c r="Q51" i="47"/>
  <c r="H50" i="47"/>
  <c r="H49" i="47" s="1"/>
  <c r="P51" i="47" l="1"/>
  <c r="L27" i="53"/>
  <c r="L20" i="53"/>
  <c r="L21" i="53"/>
  <c r="L22" i="53"/>
  <c r="L23" i="53"/>
  <c r="L24" i="53"/>
  <c r="L19" i="53"/>
  <c r="L6" i="53"/>
  <c r="L7" i="53"/>
  <c r="L8" i="53"/>
  <c r="L9" i="53"/>
  <c r="L10" i="53"/>
  <c r="J24" i="53"/>
  <c r="J23" i="53"/>
  <c r="J22" i="53"/>
  <c r="J20" i="53"/>
  <c r="J21" i="53"/>
  <c r="J19" i="53"/>
  <c r="I23" i="53"/>
  <c r="I24" i="53"/>
  <c r="I22" i="53"/>
  <c r="I20" i="53"/>
  <c r="I21" i="53"/>
  <c r="I19" i="53"/>
  <c r="H24" i="53"/>
  <c r="H23" i="53"/>
  <c r="H22" i="53"/>
  <c r="H19" i="53"/>
  <c r="H20" i="53"/>
  <c r="H21" i="53"/>
  <c r="G24" i="53"/>
  <c r="G23" i="53"/>
  <c r="G22" i="53"/>
  <c r="G20" i="53"/>
  <c r="G21" i="53"/>
  <c r="G19" i="53"/>
  <c r="J10" i="53"/>
  <c r="J9" i="53"/>
  <c r="J8" i="53"/>
  <c r="J6" i="53"/>
  <c r="J7" i="53"/>
  <c r="J5" i="53"/>
  <c r="I10" i="53"/>
  <c r="I9" i="53"/>
  <c r="I7" i="53"/>
  <c r="I8" i="53"/>
  <c r="I6" i="53"/>
  <c r="I5" i="53"/>
  <c r="H10" i="53"/>
  <c r="H9" i="53"/>
  <c r="H8" i="53"/>
  <c r="H6" i="53"/>
  <c r="H7" i="53"/>
  <c r="H5" i="53"/>
  <c r="G10" i="53"/>
  <c r="G9" i="53"/>
  <c r="G8" i="53"/>
  <c r="G6" i="53"/>
  <c r="G7" i="53"/>
  <c r="V27" i="51" l="1"/>
  <c r="Z27" i="51"/>
  <c r="U27" i="51"/>
  <c r="W121" i="48" l="1"/>
  <c r="S121" i="48" s="1"/>
  <c r="W122" i="48"/>
  <c r="S122" i="48" s="1"/>
  <c r="W123" i="48"/>
  <c r="S123" i="48" s="1"/>
  <c r="T120" i="48"/>
  <c r="W120" i="48"/>
  <c r="S120" i="48" s="1"/>
  <c r="W78" i="48"/>
  <c r="S78" i="48" s="1"/>
  <c r="T22" i="48"/>
  <c r="W22" i="48" l="1"/>
  <c r="S22" i="48" s="1"/>
  <c r="I145" i="48" l="1"/>
  <c r="I144" i="48" s="1"/>
  <c r="I100" i="48"/>
  <c r="I99" i="48" s="1"/>
  <c r="I93" i="48"/>
  <c r="I92" i="48" s="1"/>
  <c r="Q142" i="48"/>
  <c r="Q97" i="48"/>
  <c r="Q45" i="48"/>
  <c r="I25" i="47"/>
  <c r="L25" i="47"/>
  <c r="H25" i="47" s="1"/>
  <c r="I24" i="47"/>
  <c r="L24" i="47"/>
  <c r="H24" i="47" s="1"/>
  <c r="I23" i="47"/>
  <c r="I22" i="47"/>
  <c r="L22" i="47"/>
  <c r="H22" i="47" s="1"/>
  <c r="I21" i="47"/>
  <c r="L21" i="47"/>
  <c r="H21" i="47" s="1"/>
  <c r="I20" i="47"/>
  <c r="M32" i="49" l="1"/>
  <c r="L32" i="49"/>
  <c r="H96" i="48"/>
  <c r="K61" i="48"/>
  <c r="Q46" i="48"/>
  <c r="Q43" i="48"/>
  <c r="N24" i="48"/>
  <c r="M52" i="47"/>
  <c r="M51" i="47"/>
  <c r="L52" i="47"/>
  <c r="M28" i="49" l="1"/>
  <c r="N27" i="48"/>
  <c r="O21" i="48"/>
  <c r="N27" i="51"/>
  <c r="AB8" i="50"/>
  <c r="O24" i="48" l="1"/>
  <c r="O27" i="48"/>
  <c r="Z50" i="52"/>
  <c r="T52" i="52"/>
  <c r="T51" i="52"/>
  <c r="T80" i="52" s="1"/>
  <c r="S52" i="52"/>
  <c r="S51" i="52"/>
  <c r="Q52" i="52"/>
  <c r="AE52" i="52" s="1"/>
  <c r="Q51" i="52"/>
  <c r="P52" i="52"/>
  <c r="AC52" i="52" s="1"/>
  <c r="P51" i="52"/>
  <c r="AC51" i="52" s="1"/>
  <c r="H52" i="52"/>
  <c r="H51" i="52"/>
  <c r="H80" i="52" s="1"/>
  <c r="G52" i="52"/>
  <c r="G51" i="52"/>
  <c r="D52" i="52"/>
  <c r="D51" i="52"/>
  <c r="C53" i="52"/>
  <c r="C52" i="52"/>
  <c r="C51" i="52"/>
  <c r="H18" i="52"/>
  <c r="H17" i="52"/>
  <c r="H76" i="52" s="1"/>
  <c r="S22" i="52"/>
  <c r="S21" i="52"/>
  <c r="T19" i="52"/>
  <c r="T78" i="52" s="1"/>
  <c r="S19" i="52"/>
  <c r="T17" i="52"/>
  <c r="S17" i="52"/>
  <c r="S76" i="52" s="1"/>
  <c r="T14" i="52"/>
  <c r="S14" i="52"/>
  <c r="T12" i="52"/>
  <c r="S12" i="52"/>
  <c r="T3" i="52"/>
  <c r="T64" i="52" s="1"/>
  <c r="T4" i="52"/>
  <c r="T65" i="52" s="1"/>
  <c r="T66" i="52"/>
  <c r="T6" i="52"/>
  <c r="T67" i="52" s="1"/>
  <c r="T8" i="52"/>
  <c r="T68" i="52" s="1"/>
  <c r="T9" i="52"/>
  <c r="T69" i="52" s="1"/>
  <c r="T10" i="52"/>
  <c r="T70" i="52" s="1"/>
  <c r="T11" i="52"/>
  <c r="T71" i="52" s="1"/>
  <c r="S4" i="52"/>
  <c r="S65" i="52" s="1"/>
  <c r="S66" i="52"/>
  <c r="S6" i="52"/>
  <c r="S67" i="52" s="1"/>
  <c r="S8" i="52"/>
  <c r="S68" i="52" s="1"/>
  <c r="S9" i="52"/>
  <c r="S10" i="52"/>
  <c r="S70" i="52" s="1"/>
  <c r="S11" i="52"/>
  <c r="S71" i="52" s="1"/>
  <c r="S3" i="52"/>
  <c r="S64" i="52" s="1"/>
  <c r="P22" i="52"/>
  <c r="AC22" i="52" s="1"/>
  <c r="D21" i="52"/>
  <c r="P21" i="52"/>
  <c r="Q19" i="52"/>
  <c r="AE19" i="52" s="1"/>
  <c r="P19" i="52"/>
  <c r="AC19" i="52" s="1"/>
  <c r="Q18" i="52"/>
  <c r="P18" i="52"/>
  <c r="AC18" i="52" s="1"/>
  <c r="Q17" i="52"/>
  <c r="AE17" i="52" s="1"/>
  <c r="Q3" i="52"/>
  <c r="AE3" i="52" s="1"/>
  <c r="Q5" i="52"/>
  <c r="AE5" i="52" s="1"/>
  <c r="Q6" i="52"/>
  <c r="AE6" i="52" s="1"/>
  <c r="Q8" i="52"/>
  <c r="AE8" i="52" s="1"/>
  <c r="Q9" i="52"/>
  <c r="AE9" i="52" s="1"/>
  <c r="Q10" i="52"/>
  <c r="AE10" i="52" s="1"/>
  <c r="Q11" i="52"/>
  <c r="Q12" i="52"/>
  <c r="AE12" i="52" s="1"/>
  <c r="Q14" i="52"/>
  <c r="AE14" i="52" s="1"/>
  <c r="P17" i="52"/>
  <c r="AC17" i="52" s="1"/>
  <c r="P14" i="52"/>
  <c r="AC14" i="52" s="1"/>
  <c r="P12" i="52"/>
  <c r="AC12" i="52" s="1"/>
  <c r="P5" i="52"/>
  <c r="AC5" i="52" s="1"/>
  <c r="P6" i="52"/>
  <c r="AC6" i="52" s="1"/>
  <c r="P8" i="52"/>
  <c r="AC8" i="52" s="1"/>
  <c r="P9" i="52"/>
  <c r="AC9" i="52" s="1"/>
  <c r="P10" i="52"/>
  <c r="P11" i="52"/>
  <c r="P3" i="52"/>
  <c r="AC3" i="52" s="1"/>
  <c r="G22" i="52"/>
  <c r="H14" i="52"/>
  <c r="H3" i="52"/>
  <c r="H64" i="52" s="1"/>
  <c r="H4" i="52"/>
  <c r="H66" i="52"/>
  <c r="H6" i="52"/>
  <c r="H67" i="52" s="1"/>
  <c r="H8" i="52"/>
  <c r="H68" i="52" s="1"/>
  <c r="H9" i="52"/>
  <c r="H10" i="52"/>
  <c r="H70" i="52" s="1"/>
  <c r="H11" i="52"/>
  <c r="H71" i="52" s="1"/>
  <c r="H12" i="52"/>
  <c r="H72" i="52" s="1"/>
  <c r="G21" i="52"/>
  <c r="G80" i="52" s="1"/>
  <c r="G19" i="52"/>
  <c r="G78" i="52" s="1"/>
  <c r="D19" i="52"/>
  <c r="H19" i="52"/>
  <c r="H78" i="52" s="1"/>
  <c r="G18" i="52"/>
  <c r="G17" i="52"/>
  <c r="G14" i="52"/>
  <c r="G12" i="52"/>
  <c r="G72" i="52" s="1"/>
  <c r="G9" i="52"/>
  <c r="G69" i="52" s="1"/>
  <c r="G10" i="52"/>
  <c r="G70" i="52" s="1"/>
  <c r="G11" i="52"/>
  <c r="G71" i="52" s="1"/>
  <c r="G6" i="52"/>
  <c r="G67" i="52" s="1"/>
  <c r="G8" i="52"/>
  <c r="G68" i="52" s="1"/>
  <c r="G4" i="52"/>
  <c r="G65" i="52" s="1"/>
  <c r="G66" i="52"/>
  <c r="G3" i="52"/>
  <c r="D3" i="52"/>
  <c r="D64" i="52" s="1"/>
  <c r="D4" i="52"/>
  <c r="D5" i="52"/>
  <c r="D6" i="52"/>
  <c r="D67" i="52" s="1"/>
  <c r="D8" i="52"/>
  <c r="D9" i="52"/>
  <c r="D69" i="52" s="1"/>
  <c r="D10" i="52"/>
  <c r="D11" i="52"/>
  <c r="D71" i="52" s="1"/>
  <c r="D14" i="52"/>
  <c r="D15" i="52"/>
  <c r="D17" i="52"/>
  <c r="D76" i="52" s="1"/>
  <c r="D18" i="52"/>
  <c r="D77" i="52" s="1"/>
  <c r="D23" i="52"/>
  <c r="C23" i="52"/>
  <c r="C22" i="52"/>
  <c r="C21" i="52"/>
  <c r="C19" i="52"/>
  <c r="C78" i="52" s="1"/>
  <c r="C18" i="52"/>
  <c r="C77" i="52" s="1"/>
  <c r="C17" i="52"/>
  <c r="C15" i="52"/>
  <c r="C14" i="52"/>
  <c r="C72" i="52"/>
  <c r="C10" i="52"/>
  <c r="C11" i="52"/>
  <c r="C71" i="52" s="1"/>
  <c r="C8" i="52"/>
  <c r="C68" i="52" s="1"/>
  <c r="C9" i="52"/>
  <c r="C69" i="52" s="1"/>
  <c r="C4" i="52"/>
  <c r="C65" i="52" s="1"/>
  <c r="C5" i="52"/>
  <c r="C6" i="52"/>
  <c r="C3" i="52"/>
  <c r="Z23" i="52"/>
  <c r="C64" i="52" l="1"/>
  <c r="W3" i="52"/>
  <c r="C80" i="52"/>
  <c r="S80" i="52"/>
  <c r="W51" i="52"/>
  <c r="Q80" i="52"/>
  <c r="AE51" i="52"/>
  <c r="Q71" i="52"/>
  <c r="AE11" i="52"/>
  <c r="P77" i="52"/>
  <c r="P80" i="52"/>
  <c r="AC21" i="52"/>
  <c r="P71" i="52"/>
  <c r="AC11" i="52"/>
  <c r="Q77" i="52"/>
  <c r="AE18" i="52"/>
  <c r="P70" i="52"/>
  <c r="AC10" i="52"/>
  <c r="Y51" i="52"/>
  <c r="G64" i="52"/>
  <c r="D80" i="52"/>
  <c r="Q70" i="52"/>
  <c r="Z10" i="52"/>
  <c r="W10" i="52"/>
  <c r="C70" i="52"/>
  <c r="D70" i="52"/>
  <c r="Y10" i="52"/>
  <c r="Y14" i="52"/>
  <c r="W52" i="52"/>
  <c r="W14" i="52"/>
  <c r="W21" i="52"/>
  <c r="Y21" i="52"/>
  <c r="W22" i="52"/>
  <c r="C76" i="52"/>
  <c r="W17" i="52"/>
  <c r="H81" i="52"/>
  <c r="S78" i="52"/>
  <c r="W19" i="52"/>
  <c r="C81" i="52"/>
  <c r="D81" i="52"/>
  <c r="T76" i="52"/>
  <c r="S72" i="52"/>
  <c r="T81" i="52"/>
  <c r="P67" i="52"/>
  <c r="P64" i="52"/>
  <c r="P68" i="52"/>
  <c r="P78" i="52"/>
  <c r="Q72" i="52"/>
  <c r="G76" i="52"/>
  <c r="H65" i="52"/>
  <c r="C67" i="52"/>
  <c r="D65" i="52"/>
  <c r="P72" i="52"/>
  <c r="Q76" i="52"/>
  <c r="Q66" i="52"/>
  <c r="Q81" i="52"/>
  <c r="T72" i="52"/>
  <c r="S69" i="52"/>
  <c r="P69" i="52"/>
  <c r="P81" i="52"/>
  <c r="P66" i="52"/>
  <c r="P76" i="52"/>
  <c r="Z34" i="52"/>
  <c r="Q65" i="52"/>
  <c r="H69" i="52"/>
  <c r="C66" i="52"/>
  <c r="D72" i="52"/>
  <c r="D68" i="52"/>
  <c r="D66" i="52"/>
  <c r="D78" i="52"/>
  <c r="P65" i="52"/>
  <c r="Q69" i="52"/>
  <c r="Q68" i="52"/>
  <c r="Q64" i="52"/>
  <c r="Q78" i="52"/>
  <c r="Z38" i="52"/>
  <c r="AF38" i="52" s="1"/>
  <c r="Z39" i="52"/>
  <c r="Y49" i="52"/>
  <c r="W49" i="52"/>
  <c r="G81" i="52"/>
  <c r="Q67" i="52"/>
  <c r="S81" i="52"/>
  <c r="W34" i="52"/>
  <c r="Y33" i="52"/>
  <c r="Y47" i="52"/>
  <c r="W39" i="52"/>
  <c r="Y36" i="52"/>
  <c r="Y42" i="52"/>
  <c r="W35" i="52"/>
  <c r="W47" i="52"/>
  <c r="W42" i="52"/>
  <c r="Z35" i="52"/>
  <c r="Y52" i="52"/>
  <c r="Y40" i="52"/>
  <c r="Z33" i="52"/>
  <c r="Y35" i="52"/>
  <c r="Z36" i="52"/>
  <c r="AF36" i="52" s="1"/>
  <c r="Y39" i="52"/>
  <c r="Y34" i="52"/>
  <c r="Y38" i="52"/>
  <c r="W6" i="52"/>
  <c r="W5" i="52"/>
  <c r="W4" i="52"/>
  <c r="W11" i="52"/>
  <c r="W8" i="52"/>
  <c r="W9" i="52"/>
  <c r="W18" i="52"/>
  <c r="W12" i="52"/>
  <c r="Y17" i="52"/>
  <c r="Z5" i="52"/>
  <c r="Z9" i="52"/>
  <c r="Y11" i="52"/>
  <c r="Z14" i="52"/>
  <c r="Z4" i="52"/>
  <c r="Y5" i="52"/>
  <c r="Z6" i="52"/>
  <c r="Y3" i="52"/>
  <c r="Y19" i="52"/>
  <c r="Y8" i="52"/>
  <c r="Y12" i="52"/>
  <c r="Y4" i="52"/>
  <c r="Y6" i="52"/>
  <c r="Z11" i="52"/>
  <c r="Y18" i="52"/>
  <c r="Y22" i="52"/>
  <c r="Z3" i="52"/>
  <c r="Z8" i="52"/>
  <c r="Y9" i="52"/>
  <c r="Z12" i="52"/>
  <c r="Z21" i="52"/>
  <c r="AF21" i="52" l="1"/>
  <c r="AF11" i="52"/>
  <c r="AF12" i="52"/>
  <c r="AF14" i="52"/>
  <c r="AF3" i="52"/>
  <c r="AF5" i="52"/>
  <c r="W48" i="52"/>
  <c r="AF6" i="52"/>
  <c r="AF8" i="52"/>
  <c r="AF9" i="52"/>
  <c r="AF35" i="52"/>
  <c r="AF33" i="52"/>
  <c r="AF34" i="52"/>
  <c r="AF39" i="52"/>
  <c r="AF4" i="52"/>
  <c r="AF10" i="52"/>
  <c r="Z48" i="52"/>
  <c r="Y48" i="52"/>
  <c r="L83" i="48" l="1"/>
  <c r="K83" i="48"/>
  <c r="Q98" i="48" l="1"/>
  <c r="Q143" i="48"/>
  <c r="H6" i="48"/>
  <c r="H7" i="48"/>
  <c r="H8" i="48"/>
  <c r="M56" i="47"/>
  <c r="L56" i="47"/>
  <c r="Z23" i="50" l="1"/>
  <c r="AB23" i="50"/>
  <c r="AD23" i="50"/>
  <c r="W34" i="50"/>
  <c r="W27" i="50"/>
  <c r="V27" i="50"/>
  <c r="U27" i="50"/>
  <c r="T27" i="50"/>
  <c r="S27" i="50"/>
  <c r="V20" i="50"/>
  <c r="U20" i="50"/>
  <c r="T20" i="50"/>
  <c r="S20" i="50"/>
  <c r="V22" i="50"/>
  <c r="U22" i="50"/>
  <c r="T22" i="50"/>
  <c r="S22" i="50"/>
  <c r="R22" i="50"/>
  <c r="R20" i="50"/>
  <c r="W16" i="50"/>
  <c r="W10" i="50"/>
  <c r="W7" i="50"/>
  <c r="W6" i="50"/>
  <c r="V17" i="50"/>
  <c r="V16" i="50"/>
  <c r="V15" i="50"/>
  <c r="V10" i="50"/>
  <c r="V7" i="50"/>
  <c r="V6" i="50"/>
  <c r="U17" i="50"/>
  <c r="U16" i="50"/>
  <c r="U15" i="50"/>
  <c r="U10" i="50"/>
  <c r="U8" i="50"/>
  <c r="U7" i="50"/>
  <c r="U6" i="50"/>
  <c r="T17" i="50"/>
  <c r="T16" i="50"/>
  <c r="T15" i="50"/>
  <c r="T10" i="50"/>
  <c r="T7" i="50"/>
  <c r="T6" i="50"/>
  <c r="S17" i="50"/>
  <c r="S16" i="50"/>
  <c r="S15" i="50"/>
  <c r="S7" i="50"/>
  <c r="S6" i="50"/>
  <c r="S22" i="51"/>
  <c r="R22" i="51"/>
  <c r="Q22" i="51"/>
  <c r="P22" i="51"/>
  <c r="O22" i="51"/>
  <c r="N22" i="51"/>
  <c r="S34" i="51"/>
  <c r="S27" i="51"/>
  <c r="R27" i="51"/>
  <c r="Q27" i="51"/>
  <c r="P27" i="51"/>
  <c r="O27" i="51"/>
  <c r="V23" i="51"/>
  <c r="W23" i="51"/>
  <c r="X23" i="51"/>
  <c r="Y23" i="51"/>
  <c r="Z23" i="51"/>
  <c r="U23" i="51"/>
  <c r="U17" i="51"/>
  <c r="U8" i="51"/>
  <c r="S20" i="51"/>
  <c r="S17" i="51"/>
  <c r="S16" i="51"/>
  <c r="S15" i="51"/>
  <c r="S10" i="51"/>
  <c r="S7" i="51"/>
  <c r="S6" i="51"/>
  <c r="R20" i="51"/>
  <c r="Q20" i="51"/>
  <c r="P20" i="51"/>
  <c r="O20" i="51"/>
  <c r="R17" i="51"/>
  <c r="R16" i="51"/>
  <c r="R15" i="51"/>
  <c r="R10" i="51"/>
  <c r="R7" i="51"/>
  <c r="R6" i="51"/>
  <c r="Q17" i="51"/>
  <c r="Q16" i="51"/>
  <c r="Q15" i="51"/>
  <c r="Q10" i="51"/>
  <c r="Q7" i="51"/>
  <c r="Q6" i="51"/>
  <c r="P17" i="51"/>
  <c r="P16" i="51"/>
  <c r="P15" i="51"/>
  <c r="P10" i="51"/>
  <c r="P7" i="51"/>
  <c r="P6" i="51"/>
  <c r="O17" i="51"/>
  <c r="O16" i="51"/>
  <c r="O15" i="51"/>
  <c r="O10" i="51"/>
  <c r="O6" i="51"/>
  <c r="O7" i="51"/>
  <c r="N20" i="51"/>
  <c r="N17" i="51"/>
  <c r="N16" i="51"/>
  <c r="N15" i="51"/>
  <c r="N10" i="51"/>
  <c r="N7" i="51"/>
  <c r="N6" i="51"/>
  <c r="R17" i="50"/>
  <c r="R10" i="50"/>
  <c r="N45" i="48"/>
  <c r="N44" i="48"/>
  <c r="O31" i="48"/>
  <c r="Q44" i="48"/>
  <c r="Q141" i="48"/>
  <c r="Q140" i="48"/>
  <c r="Q116" i="48"/>
  <c r="Q96" i="48"/>
  <c r="Q95" i="48"/>
  <c r="Q114" i="48"/>
  <c r="H115" i="48"/>
  <c r="H116" i="48"/>
  <c r="Q73" i="48"/>
  <c r="Q72" i="48"/>
  <c r="K17" i="49" l="1"/>
  <c r="M17" i="49"/>
  <c r="M15" i="49"/>
  <c r="L15" i="49"/>
  <c r="L10" i="49"/>
  <c r="M7" i="49"/>
  <c r="L7" i="49"/>
  <c r="N31" i="48"/>
  <c r="P8" i="48"/>
  <c r="K63" i="48"/>
  <c r="H73" i="48"/>
  <c r="P37" i="48"/>
  <c r="P18" i="48"/>
  <c r="Q17" i="48"/>
  <c r="P17" i="48"/>
  <c r="Q15" i="48"/>
  <c r="P15" i="48"/>
  <c r="Q8" i="48"/>
  <c r="L44" i="47"/>
  <c r="M17" i="47"/>
  <c r="M16" i="47"/>
  <c r="M14" i="47"/>
  <c r="M7" i="47"/>
  <c r="AJ23" i="51"/>
  <c r="AI23" i="51"/>
  <c r="AH23" i="51"/>
  <c r="AG23" i="51"/>
  <c r="K22" i="51"/>
  <c r="K21" i="51"/>
  <c r="K20" i="51"/>
  <c r="AJ17" i="51"/>
  <c r="AI17" i="51"/>
  <c r="AH17" i="51"/>
  <c r="AG17" i="51"/>
  <c r="Z17" i="51"/>
  <c r="Y17" i="51"/>
  <c r="X17" i="51"/>
  <c r="W17" i="51"/>
  <c r="V17" i="51"/>
  <c r="K17" i="51"/>
  <c r="K16" i="51"/>
  <c r="K15" i="51"/>
  <c r="K10" i="51"/>
  <c r="AJ8" i="51"/>
  <c r="AI8" i="51"/>
  <c r="AH8" i="51"/>
  <c r="AG8" i="51"/>
  <c r="Z8" i="51"/>
  <c r="Y8" i="51"/>
  <c r="X8" i="51"/>
  <c r="W8" i="51"/>
  <c r="V8" i="51"/>
  <c r="K8" i="51"/>
  <c r="K7" i="51"/>
  <c r="K6" i="51"/>
  <c r="O27" i="50"/>
  <c r="AN23" i="50"/>
  <c r="AM23" i="50"/>
  <c r="AL23" i="50"/>
  <c r="AK23" i="50"/>
  <c r="O22" i="50"/>
  <c r="O20" i="50"/>
  <c r="AN17" i="50"/>
  <c r="AM17" i="50"/>
  <c r="AL17" i="50"/>
  <c r="AK17" i="50"/>
  <c r="AD17" i="50"/>
  <c r="AC17" i="50"/>
  <c r="AB17" i="50"/>
  <c r="Z17" i="50"/>
  <c r="O17" i="50"/>
  <c r="O16" i="50"/>
  <c r="O15" i="50"/>
  <c r="AN8" i="50"/>
  <c r="AM8" i="50"/>
  <c r="AL8" i="50"/>
  <c r="AK8" i="50"/>
  <c r="AD8" i="50"/>
  <c r="AC8" i="50"/>
  <c r="Z8" i="50"/>
  <c r="H17" i="47"/>
  <c r="H17" i="49"/>
  <c r="H15" i="49"/>
  <c r="H14" i="49"/>
  <c r="H10" i="49"/>
  <c r="K9" i="49"/>
  <c r="H9" i="49"/>
  <c r="H8" i="49"/>
  <c r="K7" i="49"/>
  <c r="H7" i="49"/>
  <c r="H6" i="49"/>
  <c r="K114" i="48"/>
  <c r="J114" i="48"/>
  <c r="H113" i="48"/>
  <c r="H112" i="48"/>
  <c r="K109" i="48"/>
  <c r="K72" i="48"/>
  <c r="H72" i="48"/>
  <c r="H71" i="48"/>
  <c r="H70" i="48"/>
  <c r="H68" i="48"/>
  <c r="K65" i="48"/>
  <c r="H65" i="48"/>
  <c r="H64" i="48"/>
  <c r="H63" i="48"/>
  <c r="H62" i="48"/>
  <c r="H61" i="48"/>
  <c r="H60" i="48"/>
  <c r="H59" i="48"/>
  <c r="H58" i="48"/>
  <c r="H57" i="48"/>
  <c r="H43" i="48"/>
  <c r="N38" i="48"/>
  <c r="M38" i="48"/>
  <c r="H18" i="48"/>
  <c r="N17" i="48"/>
  <c r="H17" i="48"/>
  <c r="N16" i="48"/>
  <c r="M16" i="48"/>
  <c r="H16" i="48"/>
  <c r="N15" i="48"/>
  <c r="H15" i="48"/>
  <c r="N10" i="48"/>
  <c r="K10" i="48"/>
  <c r="H10" i="48"/>
  <c r="N9" i="48"/>
  <c r="H9" i="48"/>
  <c r="N8" i="48"/>
  <c r="K8" i="48"/>
  <c r="K81" i="47"/>
  <c r="K78" i="47"/>
  <c r="K75" i="47"/>
  <c r="K72" i="47"/>
  <c r="K65" i="47"/>
  <c r="K62" i="47"/>
  <c r="K59" i="47"/>
  <c r="I50" i="47"/>
  <c r="I49" i="47" s="1"/>
  <c r="I44" i="47"/>
  <c r="H16" i="47"/>
  <c r="H15" i="47"/>
  <c r="H14" i="47"/>
  <c r="H13" i="47"/>
  <c r="K10" i="47"/>
  <c r="H10" i="47"/>
  <c r="H9" i="47"/>
  <c r="H8" i="47"/>
  <c r="K7" i="47"/>
  <c r="H7" i="47"/>
  <c r="K62" i="52" l="1"/>
  <c r="AE2" i="52"/>
  <c r="N62" i="52"/>
  <c r="N32" i="52"/>
  <c r="N2" i="52"/>
  <c r="K32" i="52"/>
  <c r="K2" i="52"/>
  <c r="J62" i="52"/>
  <c r="AC2" i="52"/>
  <c r="M62" i="52"/>
  <c r="M32" i="52"/>
  <c r="M2" i="52"/>
  <c r="J32" i="52"/>
  <c r="J2" i="52"/>
  <c r="M5" i="49"/>
  <c r="Q5" i="48"/>
  <c r="K5" i="49"/>
  <c r="L5" i="49"/>
  <c r="P5" i="48"/>
  <c r="J5" i="49"/>
  <c r="M4" i="47"/>
  <c r="K6" i="47"/>
  <c r="K52" i="47" s="1"/>
  <c r="J6" i="47"/>
  <c r="J52" i="47" s="1"/>
  <c r="L4" i="47"/>
  <c r="H62" i="52"/>
  <c r="Q32" i="52"/>
  <c r="Q62" i="52"/>
  <c r="D62" i="52"/>
  <c r="T32" i="52"/>
  <c r="H32" i="52"/>
  <c r="Y2" i="52"/>
  <c r="T62" i="52"/>
  <c r="Y32" i="52"/>
  <c r="D32" i="52"/>
  <c r="B61" i="52"/>
  <c r="S62" i="52"/>
  <c r="G62" i="52"/>
  <c r="W32" i="52"/>
  <c r="P32" i="52"/>
  <c r="C32" i="52"/>
  <c r="B1" i="52"/>
  <c r="C62" i="52"/>
  <c r="S32" i="52"/>
  <c r="W2" i="52"/>
  <c r="B31" i="52"/>
  <c r="P62" i="52"/>
  <c r="G32" i="52"/>
  <c r="T2" i="52"/>
  <c r="H2" i="52"/>
  <c r="Q2" i="52"/>
  <c r="D2" i="52"/>
  <c r="C2" i="52"/>
  <c r="S2" i="52"/>
  <c r="G2" i="52"/>
  <c r="P2" i="52"/>
  <c r="K5" i="48"/>
  <c r="J5" i="48"/>
  <c r="W119" i="48"/>
  <c r="S119" i="48"/>
  <c r="W77" i="48"/>
  <c r="S77" i="48"/>
  <c r="W21" i="48"/>
  <c r="S21" i="48"/>
  <c r="L19" i="47"/>
</calcChain>
</file>

<file path=xl/sharedStrings.xml><?xml version="1.0" encoding="utf-8"?>
<sst xmlns="http://schemas.openxmlformats.org/spreadsheetml/2006/main" count="2229" uniqueCount="645">
  <si>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</si>
  <si>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</si>
  <si>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</si>
  <si>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</si>
  <si>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</si>
  <si>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</si>
  <si>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</si>
  <si>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</si>
  <si>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</si>
  <si>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Other net income/(expenses)</t>
  </si>
  <si>
    <t>Total assets</t>
  </si>
  <si>
    <t xml:space="preserve">Basic earnings/(loss) per share  </t>
  </si>
  <si>
    <t xml:space="preserve">Risk weighted assets </t>
  </si>
  <si>
    <t>Cast to YTD</t>
  </si>
  <si>
    <t>CIR Check</t>
  </si>
  <si>
    <t>Casting down check</t>
  </si>
  <si>
    <t xml:space="preserve">Credit impairment charges and other provisions </t>
  </si>
  <si>
    <t xml:space="preserve">Net operating income </t>
  </si>
  <si>
    <t>Group</t>
  </si>
  <si>
    <t>HO</t>
  </si>
  <si>
    <t>Cast to Group</t>
  </si>
  <si>
    <t>Cast to Core</t>
  </si>
  <si>
    <t>% Check</t>
  </si>
  <si>
    <t>Consistency with quarterlies check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</si>
  <si>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</si>
  <si>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</si>
  <si>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</si>
  <si>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</si>
  <si>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</si>
  <si>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</si>
  <si>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BI</t>
  </si>
  <si>
    <t>Head Office</t>
  </si>
  <si>
    <t>%</t>
  </si>
  <si>
    <t>Cast down</t>
  </si>
  <si>
    <t>Barclays Group</t>
  </si>
  <si>
    <t>Return on average allocated tangible equity</t>
  </si>
  <si>
    <t>Performance measures excluding litigation and conduct</t>
  </si>
  <si>
    <t>Casting</t>
  </si>
  <si>
    <t>Q218</t>
  </si>
  <si>
    <t>Attributable profit/(loss) ex L&amp;C</t>
  </si>
  <si>
    <t>Post tax L&amp;C impact</t>
  </si>
  <si>
    <t>Q318</t>
  </si>
  <si>
    <t>Returns</t>
  </si>
  <si>
    <t>Checking to Appendix</t>
  </si>
  <si>
    <t>Q418</t>
  </si>
  <si>
    <t>Profit/(loss) before tax ex L&amp;C</t>
  </si>
  <si>
    <t>GMP charge</t>
  </si>
  <si>
    <t>Check to Appendix</t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</si>
  <si>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</si>
  <si>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</si>
  <si>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</si>
  <si>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</si>
  <si>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</si>
  <si>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</si>
  <si>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</si>
  <si>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</si>
  <si>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</si>
  <si>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t>Consistency with BUK</t>
  </si>
  <si>
    <t>CIB+CCP=BI</t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</si>
  <si>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</si>
  <si>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</si>
  <si>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</si>
  <si>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</si>
  <si>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</si>
  <si>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t>Barclays UK</t>
  </si>
  <si>
    <t>Barclays International</t>
  </si>
  <si>
    <t>CIB+CPPB=BI</t>
  </si>
  <si>
    <t>Consistency to YTD</t>
  </si>
  <si>
    <t>CIB</t>
  </si>
  <si>
    <t>CCP</t>
  </si>
  <si>
    <t>Consistency to Group YTD</t>
  </si>
  <si>
    <t>RoTE:</t>
  </si>
  <si>
    <t>CPPB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</si>
  <si>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</si>
  <si>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</si>
  <si>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Credit impairment (charges)/releases and other provisions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</si>
  <si>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</si>
  <si>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</si>
  <si>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</si>
  <si>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B0F0"/>
        <rFont val="Expert Sans Regular"/>
        <family val="2"/>
      </rPr>
      <t>Half year ended 30.06.19</t>
    </r>
  </si>
  <si>
    <r>
      <rPr>
        <b/>
        <sz val="8"/>
        <color rgb="FF00B0F0"/>
        <rFont val="Expert Sans Regular"/>
        <family val="2"/>
      </rPr>
      <t>Half year ended 30.06.18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</si>
  <si>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</si>
  <si>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</si>
  <si>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</si>
  <si>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</si>
  <si>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</si>
  <si>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</si>
  <si>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Total operating expenses</t>
    </r>
  </si>
  <si>
    <t>Attributable profit/(loss)1</t>
  </si>
  <si>
    <t xml:space="preserve">Total income </t>
  </si>
  <si>
    <t>AP</t>
  </si>
  <si>
    <t>CIR</t>
  </si>
  <si>
    <t>CIR Check ex L&amp;C</t>
  </si>
  <si>
    <t>Quarterly pages</t>
  </si>
  <si>
    <t>Other net (expenses)/income</t>
  </si>
  <si>
    <t>Average UK leverage exposure</t>
  </si>
  <si>
    <t>Operating costs</t>
  </si>
  <si>
    <t>YTD pages = Quarterly pages</t>
  </si>
  <si>
    <t>Assets CIB + CCP = BI</t>
  </si>
  <si>
    <t>Assets casting check</t>
  </si>
  <si>
    <t>Impact of litigation and conduct</t>
  </si>
  <si>
    <t>Total income</t>
  </si>
  <si>
    <t>Profit before tax</t>
  </si>
  <si>
    <t>Profit attributable to ordinary equity holders of the parent</t>
  </si>
  <si>
    <t>Post-tax impact of litigation and conduct</t>
  </si>
  <si>
    <t>Profit/(loss) attributable to ordinary equity holders of the parent excluding litigation and conduct</t>
  </si>
  <si>
    <t>Average goodwill and intangibles</t>
  </si>
  <si>
    <t xml:space="preserve">Consistency </t>
  </si>
  <si>
    <t>Consistency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</si>
  <si>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</si>
  <si>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</si>
  <si>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</si>
  <si>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</si>
  <si>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</si>
  <si>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</si>
  <si>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</si>
  <si>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</si>
  <si>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</si>
  <si>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</si>
  <si>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</si>
  <si>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</si>
  <si>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</si>
  <si>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</si>
  <si>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</si>
  <si>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</si>
  <si>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BI quarterly</t>
  </si>
  <si>
    <t>ROTE check</t>
  </si>
  <si>
    <t>ex L&amp;C</t>
  </si>
  <si>
    <t>ROTE Check</t>
  </si>
  <si>
    <t>Ex L&amp;C</t>
  </si>
  <si>
    <t>LDR check</t>
  </si>
  <si>
    <r>
      <rPr>
        <b/>
        <sz val="10"/>
        <color rgb="FF00B0F0"/>
        <rFont val="Expert Sans Regular"/>
        <family val="2"/>
      </rPr>
      <t>Analysis of results by business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</si>
  <si>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 xml:space="preserve">_x000D_
</t>
    </r>
    <r>
      <rPr>
        <b/>
        <sz val="8"/>
        <color rgb="FF00B0F0"/>
        <rFont val="Expert Sans Regular"/>
        <family val="2"/>
      </rPr>
      <t>UK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</si>
  <si>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Internation</t>
    </r>
    <r>
      <rPr>
        <b/>
        <sz val="8"/>
        <color rgb="FF00B0F0"/>
        <rFont val="Expert Sans Regular"/>
        <family val="2"/>
      </rPr>
      <t>al</t>
    </r>
  </si>
  <si>
    <r>
      <rPr>
        <b/>
        <sz val="8"/>
        <color rgb="FF00B0F0"/>
        <rFont val="Expert Sans Regular"/>
        <family val="2"/>
      </rPr>
      <t>Head</t>
    </r>
    <r>
      <rPr>
        <b/>
        <sz val="8"/>
        <color rgb="FF00B0F0"/>
        <rFont val="Expert Sans Regular"/>
        <family val="2"/>
      </rPr>
      <t>_x000D_
Offi</t>
    </r>
    <r>
      <rPr>
        <b/>
        <sz val="8"/>
        <color rgb="FF00B0F0"/>
        <rFont val="Expert Sans Regular"/>
        <family val="2"/>
      </rPr>
      <t>ce</t>
    </r>
  </si>
  <si>
    <r>
      <rPr>
        <b/>
        <sz val="8"/>
        <color rgb="FF00B0F0"/>
        <rFont val="Expert Sans Regular"/>
        <family val="2"/>
      </rPr>
      <t>Barclays</t>
    </r>
    <r>
      <rPr>
        <b/>
        <sz val="8"/>
        <color rgb="FF00B0F0"/>
        <rFont val="Expert Sans Regular"/>
        <family val="2"/>
      </rPr>
      <t>_x000D_
Gro</t>
    </r>
    <r>
      <rPr>
        <b/>
        <sz val="8"/>
        <color rgb="FF00B0F0"/>
        <rFont val="Expert Sans Regular"/>
        <family val="2"/>
      </rPr>
      <t>up</t>
    </r>
  </si>
  <si>
    <r>
      <rPr>
        <b/>
        <sz val="8"/>
        <color rgb="FF000000"/>
        <rFont val="Expert Sans Regular"/>
        <family val="2"/>
      </rPr>
      <t>Net operating income/(expenses)</t>
    </r>
  </si>
  <si>
    <r>
      <rPr>
        <sz val="8"/>
        <color rgb="FF000000"/>
        <rFont val="Expert Sans Regular"/>
        <family val="2"/>
      </rPr>
      <t>Other net income/(expenses)</t>
    </r>
    <r>
      <rPr>
        <vertAlign val="superscript"/>
        <sz val="8"/>
        <color rgb="FF000000"/>
        <rFont val="Expert Sans Regular"/>
        <family val="2"/>
      </rPr>
      <t>1</t>
    </r>
  </si>
  <si>
    <r>
      <rPr>
        <b/>
        <sz val="8"/>
        <color rgb="FF000000"/>
        <rFont val="Expert Sans Regular"/>
        <family val="2"/>
      </rPr>
      <t>Profit/(loss) before tax</t>
    </r>
  </si>
  <si>
    <t>Cast to business pages</t>
  </si>
  <si>
    <t>BUK</t>
  </si>
  <si>
    <t>Cast to Quarterly</t>
  </si>
  <si>
    <t>Assets</t>
  </si>
  <si>
    <t>`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</si>
  <si>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</si>
  <si>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</si>
  <si>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</si>
  <si>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</si>
  <si>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Consumer, Cards and Payments</t>
    </r>
  </si>
  <si>
    <t>casting checks please</t>
  </si>
  <si>
    <t>£bn</t>
  </si>
  <si>
    <t>-</t>
  </si>
  <si>
    <r>
      <rPr>
        <b/>
        <sz val="8"/>
        <color rgb="FF00B0F0"/>
        <rFont val="Expert Sans Regular"/>
        <family val="2"/>
      </rPr>
      <t>Q319</t>
    </r>
  </si>
  <si>
    <r>
      <rPr>
        <b/>
        <sz val="12"/>
        <color rgb="FF00B0F0"/>
        <rFont val="Expert Sans Regular"/>
        <family val="2"/>
      </rPr>
      <t>Barclays Group</t>
    </r>
  </si>
  <si>
    <t>Cost: income ratio</t>
  </si>
  <si>
    <t>UK bank levy</t>
  </si>
  <si>
    <t>31.12.19</t>
  </si>
  <si>
    <t>31.12.18</t>
  </si>
  <si>
    <t>Year ended</t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</si>
  <si>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</si>
  <si>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Year ended 31.12.19</t>
    </r>
  </si>
  <si>
    <r>
      <rPr>
        <b/>
        <sz val="8"/>
        <color rgb="FF00B0F0"/>
        <rFont val="Expert Sans Regular"/>
        <family val="2"/>
      </rPr>
      <t>Year ended 31.12.18</t>
    </r>
  </si>
  <si>
    <r>
      <rPr>
        <b/>
        <sz val="8"/>
        <color rgb="FF00B0F0"/>
        <rFont val="Expert Sans Regular"/>
        <family val="2"/>
      </rPr>
      <t>31.12.19</t>
    </r>
  </si>
  <si>
    <t xml:space="preserve">Barclays UK </t>
  </si>
  <si>
    <t>Income statement information</t>
  </si>
  <si>
    <t xml:space="preserve">Analysis of total income </t>
  </si>
  <si>
    <t>Bank Levy</t>
  </si>
  <si>
    <t>EPS</t>
  </si>
  <si>
    <t>Bank levy</t>
  </si>
  <si>
    <t xml:space="preserve">Delete before distribution </t>
  </si>
  <si>
    <t>Please don't hide as this may be missed</t>
  </si>
  <si>
    <t>Credit impairment charges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</si>
  <si>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</si>
  <si>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</si>
  <si>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</si>
  <si>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</si>
  <si>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</si>
  <si>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</si>
  <si>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Performance measures excluding litigation and conduct2</t>
  </si>
  <si>
    <t>Net interest income</t>
  </si>
  <si>
    <t>Net fee, commission and other income</t>
  </si>
  <si>
    <t>Attributable profit1</t>
  </si>
  <si>
    <t>Balance sheet information</t>
  </si>
  <si>
    <t>Key facts</t>
  </si>
  <si>
    <t>Average loan to value of mortgage portfolio2</t>
  </si>
  <si>
    <t>Average loan to value of new mortgage lending2</t>
  </si>
  <si>
    <t>Number of branches</t>
  </si>
  <si>
    <t>Mobile banking active customers</t>
  </si>
  <si>
    <t>7.3m</t>
  </si>
  <si>
    <t>30 day arrears rate - Barclaycard Consumer UK</t>
  </si>
  <si>
    <t>Average allocated tangible equity (£bn)</t>
  </si>
  <si>
    <t>Net interest margin</t>
  </si>
  <si>
    <t>Performance measures excluding litigation and conduct3</t>
  </si>
  <si>
    <t>Personal Banking</t>
  </si>
  <si>
    <t xml:space="preserve">Barclaycard Consumer UK </t>
  </si>
  <si>
    <t>Business Banking</t>
  </si>
  <si>
    <t>Analysis of credit impairment charges</t>
  </si>
  <si>
    <t>Total credit impairment charges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</si>
  <si>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</si>
  <si>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</si>
  <si>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</si>
  <si>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</si>
  <si>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</si>
  <si>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</si>
  <si>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</si>
  <si>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</si>
  <si>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Markets</t>
  </si>
  <si>
    <t>Debt capital markets</t>
  </si>
  <si>
    <t>Advisory</t>
  </si>
  <si>
    <t>Equity capital markets</t>
  </si>
  <si>
    <t>Banking fees</t>
  </si>
  <si>
    <t>Corporate lending</t>
  </si>
  <si>
    <t>Transaction banking</t>
  </si>
  <si>
    <t>Corporate</t>
  </si>
  <si>
    <t>Other1</t>
  </si>
  <si>
    <t>Credit impairment (charges)/releases</t>
  </si>
  <si>
    <t>Attributable profit2</t>
  </si>
  <si>
    <t>30 day arrears rate - Barclaycard US</t>
  </si>
  <si>
    <t>Value of payments processed (£bn)</t>
  </si>
  <si>
    <t>Loss before tax</t>
  </si>
  <si>
    <t>Attributable loss1</t>
  </si>
  <si>
    <t>Attributable loss</t>
  </si>
  <si>
    <t>Cost: income ratio excluding litigation and conduct</t>
  </si>
  <si>
    <t>n/m</t>
  </si>
  <si>
    <t>Profit/(loss) before tax</t>
  </si>
  <si>
    <t>Profit/(loss) before tax excluding litigation and conduct</t>
  </si>
  <si>
    <t xml:space="preserve">Average shareholders' equity </t>
  </si>
  <si>
    <t xml:space="preserve">Average tangible shareholders' equity </t>
  </si>
  <si>
    <t>Return on average tangible shareholders' equity excluding litigation and conduct</t>
  </si>
  <si>
    <t>Basic earnings per ordinary share</t>
  </si>
  <si>
    <t>Basic weighted average number of shares (m)</t>
  </si>
  <si>
    <t>Basic earnings per ordinary share excluding litigation and conduct</t>
  </si>
  <si>
    <t xml:space="preserve">Operating expenses </t>
  </si>
  <si>
    <t xml:space="preserve">Net fee, commission, trading and other income </t>
  </si>
  <si>
    <t>c.376,000</t>
  </si>
  <si>
    <t>c.374,000</t>
  </si>
  <si>
    <t>Total number of Barclaycard payments clients</t>
  </si>
  <si>
    <t>US cards customer FICO score distribution</t>
  </si>
  <si>
    <t>&lt;660</t>
  </si>
  <si>
    <t>&gt;660</t>
  </si>
  <si>
    <r>
      <rPr>
        <b/>
        <sz val="12"/>
        <color rgb="FF00B0F0"/>
        <rFont val="Expert Sans Regular"/>
        <family val="2"/>
      </rPr>
      <t>for the three months ended</t>
    </r>
  </si>
  <si>
    <r>
      <rPr>
        <b/>
        <sz val="8"/>
        <color rgb="FF00B0F0"/>
        <rFont val="Expert Sans Regular"/>
        <family val="2"/>
      </rPr>
      <t>31.03.20</t>
    </r>
  </si>
  <si>
    <r>
      <rPr>
        <b/>
        <sz val="8"/>
        <color rgb="FF00B0F0"/>
        <rFont val="Expert Sans Regular"/>
        <family val="2"/>
      </rPr>
      <t>31.03.19</t>
    </r>
  </si>
  <si>
    <r>
      <rPr>
        <sz val="8"/>
        <color rgb="FF000000"/>
        <rFont val="Expert Sans Regular"/>
        <family val="2"/>
      </rPr>
      <t>Credit impairment charges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</si>
  <si>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</si>
  <si>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</si>
  <si>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</si>
  <si>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</si>
  <si>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</si>
  <si>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</si>
  <si>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b/>
        <sz val="8"/>
        <color rgb="FF000000"/>
        <rFont val="Expert Sans Regular"/>
        <family val="2"/>
      </rPr>
      <t>Profit after tax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</si>
  <si>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</si>
  <si>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</si>
  <si>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Attributable profit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</si>
  <si>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</si>
  <si>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</si>
  <si>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</si>
  <si>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</si>
  <si>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</si>
  <si>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Basic earnings per share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</si>
  <si>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</si>
  <si>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</si>
  <si>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</si>
  <si>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</si>
  <si>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</si>
  <si>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</si>
  <si>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</si>
  <si>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</si>
  <si>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</si>
  <si>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UK leverage ratio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</si>
  <si>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</si>
  <si>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</si>
  <si>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</si>
  <si>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sz val="8"/>
        <color rgb="FF000000"/>
        <rFont val="Expert Sans Regular"/>
        <family val="2"/>
      </rPr>
      <t>Loan: deposit ratio</t>
    </r>
  </si>
  <si>
    <r>
      <rPr>
        <b/>
        <sz val="8"/>
        <color rgb="FF00B0F0"/>
        <rFont val="Expert Sans Regular"/>
        <family val="2"/>
      </rPr>
      <t>Q120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</si>
  <si>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</si>
  <si>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</si>
  <si>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</si>
  <si>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</si>
  <si>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</si>
  <si>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</si>
  <si>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</si>
  <si>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GMP charge</t>
    </r>
  </si>
  <si>
    <r>
      <rPr>
        <sz val="8"/>
        <color rgb="FF000000"/>
        <rFont val="Expert Sans Regular"/>
        <family val="2"/>
      </rPr>
      <t>Other net income/(expenses)</t>
    </r>
  </si>
  <si>
    <r>
      <rPr>
        <b/>
        <sz val="8"/>
        <color rgb="FF000000"/>
        <rFont val="Expert Sans Regular"/>
        <family val="2"/>
      </rPr>
      <t>Profit/(loss) after tax</t>
    </r>
  </si>
  <si>
    <r>
      <rPr>
        <sz val="8"/>
        <color rgb="FF000000"/>
        <rFont val="Expert Sans Regular"/>
        <family val="2"/>
      </rPr>
      <t xml:space="preserve">Basic earnings/(loss) per share 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</si>
  <si>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</si>
  <si>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</si>
  <si>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UK leverage exposure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</si>
  <si>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</si>
  <si>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</si>
  <si>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Other net (expenses)/income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</si>
  <si>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</si>
  <si>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</si>
  <si>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</si>
  <si>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</si>
  <si>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</si>
  <si>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</si>
  <si>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</si>
  <si>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</si>
  <si>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</si>
  <si>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</si>
  <si>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</si>
  <si>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Barclaycard Consumer UK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</si>
  <si>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</si>
  <si>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>Analysis of credit impairment (charges)/releases</t>
    </r>
  </si>
  <si>
    <r>
      <rPr>
        <b/>
        <sz val="8"/>
        <color rgb="FF000000"/>
        <rFont val="Expert Sans Regular"/>
        <family val="2"/>
      </rPr>
      <t>Total credit impairment charges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</si>
  <si>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</si>
  <si>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</si>
  <si>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</si>
  <si>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</si>
  <si>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</si>
  <si>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</si>
  <si>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</si>
  <si>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</si>
  <si>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</si>
  <si>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</si>
  <si>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</si>
  <si>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</si>
  <si>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</si>
  <si>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</si>
  <si>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</si>
  <si>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</si>
  <si>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</si>
  <si>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</si>
  <si>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Advisory</t>
    </r>
  </si>
  <si>
    <r>
      <rPr>
        <sz val="8"/>
        <color rgb="FF000000"/>
        <rFont val="Expert Sans Regular"/>
        <family val="2"/>
      </rPr>
      <t>Equity capital markets</t>
    </r>
  </si>
  <si>
    <r>
      <rPr>
        <sz val="8"/>
        <color rgb="FF000000"/>
        <rFont val="Expert Sans Regular"/>
        <family val="2"/>
      </rPr>
      <t>Debt capital markets</t>
    </r>
  </si>
  <si>
    <r>
      <rPr>
        <b/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</si>
  <si>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</si>
  <si>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</si>
  <si>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Corporate</t>
    </r>
  </si>
  <si>
    <r>
      <rPr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</si>
  <si>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>Credit impairment (charges)/releases</t>
    </r>
  </si>
  <si>
    <r>
      <rPr>
        <sz val="8"/>
        <color rgb="FF000000"/>
        <rFont val="Expert Sans Regular"/>
        <family val="2"/>
      </rPr>
      <t>Derivative financial instruments assets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</si>
  <si>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</si>
  <si>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</si>
  <si>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Net fee, commission, trading and other income</t>
    </r>
  </si>
  <si>
    <r>
      <rPr>
        <b/>
        <sz val="8"/>
        <color rgb="FF000000"/>
        <rFont val="Expert Sans Regular"/>
        <family val="2"/>
      </rPr>
      <t>Net operating (expenses)/income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</si>
  <si>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</si>
  <si>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</si>
  <si>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</si>
  <si>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r>
      <rPr>
        <b/>
        <sz val="8"/>
        <color rgb="FF00B0F0"/>
        <rFont val="Expert Sans Regular"/>
        <family val="2"/>
      </rPr>
      <t>Three months ended 31.03.20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</si>
  <si>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</si>
  <si>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</si>
  <si>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</si>
  <si>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</si>
  <si>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</si>
  <si>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</si>
  <si>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</si>
  <si>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Three months ended 31.03.19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</si>
  <si>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</si>
  <si>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</si>
  <si>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</si>
  <si>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</si>
  <si>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</si>
  <si>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</si>
  <si>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</si>
  <si>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</si>
  <si>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</si>
  <si>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</si>
  <si>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</si>
  <si>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</si>
  <si>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</si>
  <si>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</si>
  <si>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</si>
  <si>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</si>
  <si>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</si>
  <si>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</si>
  <si>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</si>
  <si>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</si>
  <si>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r>
      <rPr>
        <b/>
        <sz val="8"/>
        <color rgb="FF000000"/>
        <rFont val="Expert Sans Regular"/>
        <family val="2"/>
      </rPr>
      <t>Return on average allocated tangible equity excluding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</si>
  <si>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</si>
  <si>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sz val="8"/>
        <color rgb="FF000000"/>
        <rFont val="Expert Sans Regular"/>
        <family val="2"/>
      </rPr>
      <t>Average allocated equity</t>
    </r>
  </si>
  <si>
    <r>
      <rPr>
        <b/>
        <sz val="8"/>
        <color rgb="FF000000"/>
        <rFont val="Expert Sans Regular"/>
        <family val="2"/>
      </rPr>
      <t>Average allocated tangible equity</t>
    </r>
  </si>
  <si>
    <r>
      <rPr>
        <b/>
        <sz val="8"/>
        <color rgb="FF000000"/>
        <rFont val="Expert Sans Regular"/>
        <family val="2"/>
      </rPr>
      <t>Loss before tax excluding litigation and conduct</t>
    </r>
  </si>
  <si>
    <r>
      <rPr>
        <b/>
        <sz val="8"/>
        <color rgb="FF000000"/>
        <rFont val="Expert Sans Regular"/>
        <family val="2"/>
      </rPr>
      <t>Attributable loss excluding litigation and conduct</t>
    </r>
  </si>
  <si>
    <r>
      <rPr>
        <b/>
        <sz val="12"/>
        <color rgb="FF00B0F0"/>
        <rFont val="Expert Sans Regular"/>
        <family val="2"/>
      </rPr>
      <t>Tangible net asset value per share</t>
    </r>
  </si>
  <si>
    <r>
      <rPr>
        <b/>
        <sz val="8"/>
        <color rgb="FF00B0F0"/>
        <rFont val="Expert Sans Regular"/>
        <family val="2"/>
      </rPr>
      <t>As at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</si>
  <si>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</si>
  <si>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</si>
  <si>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</si>
  <si>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</si>
  <si>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</si>
  <si>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</si>
  <si>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b/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</si>
  <si>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</si>
  <si>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sz val="8"/>
        <color rgb="FF000000"/>
        <rFont val="Expert Sans Regular"/>
        <family val="2"/>
      </rPr>
      <t>Tax charge</t>
    </r>
  </si>
  <si>
    <r>
      <rPr>
        <sz val="8"/>
        <color rgb="FF000000"/>
        <rFont val="Expert Sans Regular"/>
        <family val="2"/>
      </rPr>
      <t>Guaranteed Minimum Pensions (GMP) charge</t>
    </r>
  </si>
  <si>
    <r>
      <rPr>
        <b/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</si>
  <si>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(Loss)/profit before tax</t>
    </r>
  </si>
  <si>
    <r>
      <rPr>
        <b/>
        <sz val="8"/>
        <color rgb="FF000000"/>
        <rFont val="Expert Sans Regular"/>
        <family val="2"/>
      </rPr>
      <t>(Loss)/profit before tax excluding litigation and conduct</t>
    </r>
  </si>
  <si>
    <r>
      <rPr>
        <b/>
        <sz val="8"/>
        <color rgb="FF000000"/>
        <rFont val="Expert Sans Regular"/>
        <family val="2"/>
      </rPr>
      <t>(Loss)/profit attributable to ordinary equity holders of the parent excluding litigation and conduct</t>
    </r>
  </si>
  <si>
    <t>Balance sheet and capital management</t>
  </si>
  <si>
    <t>m</t>
  </si>
  <si>
    <t>p</t>
  </si>
  <si>
    <r>
      <rPr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</si>
  <si>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</si>
  <si>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B0F0"/>
        <rFont val="Expert Sans Regular"/>
        <family val="2"/>
      </rPr>
      <t>As at 31.03.20</t>
    </r>
  </si>
  <si>
    <r>
      <rPr>
        <b/>
        <sz val="8"/>
        <color rgb="FF00B0F0"/>
        <rFont val="Expert Sans Regular"/>
        <family val="2"/>
      </rPr>
      <t>As at 31.12.19</t>
    </r>
  </si>
  <si>
    <r>
      <rPr>
        <b/>
        <sz val="8"/>
        <color rgb="FF00B0F0"/>
        <rFont val="Expert Sans Regular"/>
        <family val="2"/>
      </rPr>
      <t>As at 31.03.19</t>
    </r>
  </si>
  <si>
    <r>
      <rPr>
        <sz val="8"/>
        <color rgb="FF00B0F0"/>
        <rFont val="Expert Sans Regular"/>
        <family val="2"/>
      </rPr>
      <t>m</t>
    </r>
  </si>
  <si>
    <r>
      <rPr>
        <sz val="8"/>
        <color rgb="FF00B0F0"/>
        <rFont val="Expert Sans Regular"/>
        <family val="2"/>
      </rPr>
      <t>p</t>
    </r>
  </si>
  <si>
    <t>Corporate and Investment Bank</t>
  </si>
  <si>
    <t>Margins and balances</t>
  </si>
  <si>
    <t>Three months ended 31.03.20</t>
  </si>
  <si>
    <t>Three months ended 31.03.19</t>
  </si>
  <si>
    <t xml:space="preserve">Average customer assets 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</si>
  <si>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</si>
  <si>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</si>
  <si>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</si>
  <si>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</si>
  <si>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</si>
  <si>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31.12.19</t>
  </si>
  <si>
    <t>Three months ended 30.09.19</t>
  </si>
  <si>
    <t>Three months ended 30.06.19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</si>
  <si>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</si>
  <si>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</si>
  <si>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</si>
  <si>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</si>
  <si>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</si>
  <si>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</si>
  <si>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</si>
  <si>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</si>
  <si>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As at 31.03.20</t>
  </si>
  <si>
    <t>Total Barclays Group retail</t>
  </si>
  <si>
    <t xml:space="preserve"> -   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</si>
  <si>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</si>
  <si>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</si>
  <si>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</si>
  <si>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</si>
  <si>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</si>
  <si>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</si>
  <si>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</si>
  <si>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</si>
  <si>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</si>
  <si>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 xml:space="preserve">Total </t>
  </si>
  <si>
    <t>As at 31.12.19</t>
  </si>
  <si>
    <t>Year ended 31.12.19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</si>
  <si>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</si>
  <si>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</si>
  <si>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</si>
  <si>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</si>
  <si>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</si>
  <si>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</si>
  <si>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</si>
  <si>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</si>
  <si>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</si>
  <si>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Baseline average macroeconomic variables used in the calculation of ECL</t>
  </si>
  <si>
    <t xml:space="preserve">Expected Worst Point 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</si>
  <si>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</si>
  <si>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</si>
  <si>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</si>
  <si>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</si>
  <si>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</si>
  <si>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</si>
  <si>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</si>
  <si>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</si>
  <si>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</si>
  <si>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Scenario probability weighting</t>
  </si>
  <si>
    <t>Upside 2</t>
  </si>
  <si>
    <t>Upside 1</t>
  </si>
  <si>
    <t>Baseline</t>
  </si>
  <si>
    <t>Downside 1</t>
  </si>
  <si>
    <t>Downside 2</t>
  </si>
  <si>
    <t>Drivers of loan impairment charge</t>
  </si>
  <si>
    <t>Impairment charge generated using scenarios before COVID-19</t>
  </si>
  <si>
    <t>Single name wholesale loan charges</t>
  </si>
  <si>
    <t>Loan impairment charge prior to impact of COVID-19 scenario</t>
  </si>
  <si>
    <t xml:space="preserve">Impact of COVID-19 scenario and weights </t>
  </si>
  <si>
    <t>Specific charge for the probability of a sustained period of low oil prices</t>
  </si>
  <si>
    <t>Incorporation of provision for UK economic uncertainty</t>
  </si>
  <si>
    <t>Total loan impairment charge</t>
  </si>
  <si>
    <t>Composition of the Group liquidity pool</t>
  </si>
  <si>
    <t>Liquidity pool</t>
  </si>
  <si>
    <t>Liquidity pool of which CRR LCR eligible</t>
  </si>
  <si>
    <t>Cash</t>
  </si>
  <si>
    <t>Level 1</t>
  </si>
  <si>
    <t>Level 2A</t>
  </si>
  <si>
    <t>Cash and deposits with central banks</t>
  </si>
  <si>
    <t>Government bonds</t>
  </si>
  <si>
    <t>AAA to AA-</t>
  </si>
  <si>
    <t>BBB+ to BBB-</t>
  </si>
  <si>
    <t>Other LCR ineligible government bonds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</si>
  <si>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</si>
  <si>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</si>
  <si>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</si>
  <si>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</si>
  <si>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</si>
  <si>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31 March 2020</t>
  </si>
  <si>
    <t>Total as at 31 December 2019</t>
  </si>
  <si>
    <t>Capital ratios</t>
  </si>
  <si>
    <t xml:space="preserve">As at </t>
  </si>
  <si>
    <t>31.03.20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</si>
  <si>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</si>
  <si>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</si>
  <si>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</si>
  <si>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</si>
  <si>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</si>
  <si>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</si>
  <si>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</si>
  <si>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</si>
  <si>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</si>
  <si>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</si>
  <si>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</si>
  <si>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</si>
  <si>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</si>
  <si>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</si>
  <si>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</si>
  <si>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</si>
  <si>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</si>
  <si>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</si>
  <si>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</si>
  <si>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</si>
  <si>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</si>
  <si>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</si>
  <si>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</si>
  <si>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</si>
  <si>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</si>
  <si>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</si>
  <si>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</si>
  <si>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</si>
  <si>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t>Movement in CET1 capital</t>
  </si>
  <si>
    <t>Three months</t>
  </si>
  <si>
    <t>ended</t>
  </si>
  <si>
    <t>Opening CET1 capital</t>
  </si>
  <si>
    <t>Profit for the period attributable to equity holders</t>
  </si>
  <si>
    <t>Own credit relating to derivative liabilities</t>
  </si>
  <si>
    <t>Dividends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</si>
  <si>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</si>
  <si>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</si>
  <si>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</si>
  <si>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</si>
  <si>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</si>
  <si>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</si>
  <si>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</si>
  <si>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</si>
  <si>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</si>
  <si>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</si>
  <si>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Increase in regulatory capital due to adjustments and deductions</t>
  </si>
  <si>
    <t>Closing CET1 capital</t>
  </si>
  <si>
    <t>Risk weighted assets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</si>
  <si>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</si>
  <si>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</si>
  <si>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</si>
  <si>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</si>
  <si>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</si>
  <si>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</si>
  <si>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</si>
  <si>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</si>
  <si>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</si>
  <si>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Consumer, Cards and Payments</t>
  </si>
  <si>
    <t>Movement analysis of RWAs</t>
  </si>
  <si>
    <t xml:space="preserve">Credit risk </t>
  </si>
  <si>
    <t>Opening RWAs (as at 31.12.19)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</si>
  <si>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</si>
  <si>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</si>
  <si>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</si>
  <si>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</si>
  <si>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</si>
  <si>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</si>
  <si>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 (as at 31.03.20)</t>
  </si>
  <si>
    <t>Leverage ratios</t>
  </si>
  <si>
    <t>As at</t>
  </si>
  <si>
    <t>Average UK leverage ratio</t>
  </si>
  <si>
    <t>Average T1 capital</t>
  </si>
  <si>
    <t>UK leverage ratio</t>
  </si>
  <si>
    <t>UK leverage exposure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</si>
  <si>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</si>
  <si>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</si>
  <si>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</si>
  <si>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</si>
  <si>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</si>
  <si>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</si>
  <si>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</si>
  <si>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</si>
  <si>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</si>
  <si>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</si>
  <si>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</si>
  <si>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</si>
  <si>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</si>
  <si>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</si>
  <si>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</si>
  <si>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</si>
  <si>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</si>
  <si>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 xml:space="preserve">MREL ratios and position </t>
  </si>
  <si>
    <t>Own funds and eligible liabilities ratios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</si>
  <si>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</si>
  <si>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</si>
  <si>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</si>
  <si>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</si>
  <si>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Qualifying AT1 capital (including minority interests) issued by subsidiaries</t>
  </si>
  <si>
    <t>Total own funds and eligible liabilities, including eligible Barclays Bank PLC instruments</t>
  </si>
  <si>
    <t>Own funds and eligible liabilities</t>
  </si>
  <si>
    <t>Condensed consolidated income statement</t>
  </si>
  <si>
    <t>Three months ended</t>
  </si>
  <si>
    <t>Credit impairment charges and other provisions</t>
  </si>
  <si>
    <t>Operating expenses excluding litigation and conduct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</si>
  <si>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</si>
  <si>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</si>
  <si>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</si>
  <si>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</si>
  <si>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</si>
  <si>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</si>
  <si>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</si>
  <si>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</si>
  <si>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Condensed consolidated balance sheet</t>
  </si>
  <si>
    <t>Cash and balances at central banks</t>
  </si>
  <si>
    <t>Reverse repurchase agreements and other similar secured lending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</si>
  <si>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</si>
  <si>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</si>
  <si>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</si>
  <si>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</si>
  <si>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Liabilities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</si>
  <si>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</si>
  <si>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</si>
  <si>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</si>
  <si>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</si>
  <si>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</si>
  <si>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 xml:space="preserve">Current tax liabilities </t>
  </si>
  <si>
    <t>Deferred tax liabilities</t>
  </si>
  <si>
    <t>Other liabilities</t>
  </si>
  <si>
    <t>Total liabilities</t>
  </si>
  <si>
    <t>Equity</t>
  </si>
  <si>
    <t>Called up share capital and share premium</t>
  </si>
  <si>
    <t xml:space="preserve">Retained earnings 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</si>
  <si>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</si>
  <si>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</si>
  <si>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</si>
  <si>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</si>
  <si>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</si>
  <si>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Condensed consolidated statement of changes in equity</t>
  </si>
  <si>
    <t>Retained earnings</t>
  </si>
  <si>
    <t>Balance as at 1 January 2020</t>
  </si>
  <si>
    <t>Retirement benefit remeasurements</t>
  </si>
  <si>
    <t>Total comprehensive income for the period</t>
  </si>
  <si>
    <t>Issue of shares under employee share schemes</t>
  </si>
  <si>
    <t>Other equity instruments coupons paid</t>
  </si>
  <si>
    <t>Vesting of shares under employee share schemes</t>
  </si>
  <si>
    <t>Dividends paid</t>
  </si>
  <si>
    <t>Other movements</t>
  </si>
  <si>
    <t>Balance as at 31 March 2020</t>
  </si>
  <si>
    <t>Cash flow hedging reserve</t>
  </si>
  <si>
    <t>Own credit reserve</t>
  </si>
  <si>
    <t>Other reserves and treasury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</si>
</sst>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3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0.00%;\(0.00%\);&quot;-&quot;"/>
    <numFmt numFmtId="336" formatCode="dd\-mmm\-yyyy"/>
    <numFmt numFmtId="337" formatCode="0;\(0\)"/>
    <numFmt numFmtId="338" formatCode="#0.0,;\(#0.0,\);&quot;-&quot;"/>
    <numFmt numFmtId="339" formatCode="#,##0.0&quot;p&quot;;\(#,##0.0&quot;p&quot;\);&quot;-&quot;"/>
    <numFmt numFmtId="340" formatCode="#,##0.0,;\(#,##0\);&quot;-&quot;"/>
    <numFmt numFmtId="341" formatCode="#,##0.0,;\(#,##0.0,\)"/>
    <numFmt numFmtId="342" formatCode="#,##0.0%;\(#,##0.0%\)"/>
    <numFmt numFmtId="343" formatCode="#,##0.0,"/>
    <numFmt numFmtId="344" formatCode="#,##0.0;\(#,##0.0\)"/>
    <numFmt numFmtId="345" formatCode="#,##0\p;\(#,##0\p\);&quot;-&quot;"/>
    <numFmt numFmtId="346" formatCode="#,##0.0,_);[Red]\(&quot;$&quot;#,##0.0,\)"/>
    <numFmt numFmtId="347" formatCode="_-* #,##0.0,;\-* #,##0.0,;_-* &quot;-&quot;??_-;_-@_-"/>
    <numFmt numFmtId="348" formatCode="#,##0,;\(#,##0,\);&quot;-&quot;"/>
    <numFmt numFmtId="349" formatCode="#,##0_);\(#,##0\);&quot;-&quot;"/>
    <numFmt numFmtId="350" formatCode="#,##0.0,&quot;&quot;;&quot;£&quot;\(#,##0.0,&quot;bn&quot;\);&quot;-&quot;"/>
    <numFmt numFmtId="351" formatCode="0;\(0\);&quot;-&quot;"/>
    <numFmt numFmtId="352" formatCode="#,###;\(0\);&quot;-&quot;"/>
    <numFmt numFmtId="353" formatCode="0.0%;\(0.0,\);&quot;-&quot;"/>
    <numFmt numFmtId="354" formatCode="0.0,"/>
    <numFmt numFmtId="355" formatCode="0%;\(0,\);&quot;-&quot;"/>
    <numFmt numFmtId="356" formatCode="#,##0%;\(#,##0%\)"/>
    <numFmt numFmtId="357" formatCode="0.0%;\(0.0%\)\ \ "/>
    <numFmt numFmtId="358" formatCode="#,##0.0&quot;m&quot;"/>
    <numFmt numFmtId="359" formatCode="#,##0,;\-#,##0,"/>
    <numFmt numFmtId="360" formatCode="#,##0.0,_);\(#,##0.0,\)"/>
    <numFmt numFmtId="361" formatCode="#,##0.00;\(#,##0.00\);&quot;-&quot;"/>
  </numFmts>
  <fonts count="39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rgb="FF000000"/>
      <name val="Expert Sans Regular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8"/>
      <color rgb="FFFF0000"/>
      <name val="Expert Sans Regular"/>
      <family val="2"/>
    </font>
    <font>
      <b/>
      <sz val="10"/>
      <color theme="1"/>
      <name val="Arial"/>
      <family val="2"/>
    </font>
    <font>
      <b/>
      <sz val="10"/>
      <color rgb="FF00B0F0"/>
      <name val="Expert Sans Regular"/>
      <family val="2"/>
    </font>
    <font>
      <sz val="10"/>
      <color rgb="FFFF0000"/>
      <name val="Arial"/>
      <family val="2"/>
    </font>
    <font>
      <sz val="10"/>
      <color rgb="FF000000"/>
      <name val="Expert Sans Regular"/>
      <family val="2"/>
    </font>
    <font>
      <sz val="12"/>
      <color rgb="FFFF000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11"/>
      <color rgb="FF00B0F0"/>
      <name val="Calibri"/>
      <family val="2"/>
    </font>
    <font>
      <sz val="12"/>
      <color theme="1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sz val="8"/>
      <color rgb="FFEEECE1"/>
      <name val="Expert Sans Regular"/>
      <family val="2"/>
    </font>
    <font>
      <sz val="10"/>
      <color rgb="FF000000"/>
      <name val="Arial"/>
      <family val="2"/>
    </font>
    <font>
      <vertAlign val="superscript"/>
      <sz val="12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9"/>
      <color theme="1"/>
      <name val="Expert Sans Regular"/>
      <family val="2"/>
    </font>
    <font>
      <b/>
      <sz val="9"/>
      <color rgb="FF000000"/>
      <name val="Expert Sans Regular"/>
      <family val="2"/>
    </font>
  </fonts>
  <fills count="1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4129764702291942E-2"/>
        <bgColor indexed="64"/>
      </patternFill>
    </fill>
    <fill>
      <patternFill patternType="solid">
        <fgColor rgb="FFF3F3F3"/>
        <bgColor indexed="64"/>
      </patternFill>
    </fill>
  </fills>
  <borders count="1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00B0F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68686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A9A9A9"/>
      </bottom>
      <diagonal/>
    </border>
  </borders>
  <cellStyleXfs count="34762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10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2" fillId="0" borderId="72" applyNumberFormat="0" applyFill="0" applyAlignment="0" applyProtection="0"/>
    <xf numFmtId="0" fontId="138" fillId="0" borderId="38" applyNumberFormat="0" applyFill="0" applyAlignment="0" applyProtection="0"/>
    <xf numFmtId="0" fontId="313" fillId="0" borderId="73" applyNumberFormat="0" applyFill="0" applyAlignment="0" applyProtection="0"/>
    <xf numFmtId="0" fontId="139" fillId="0" borderId="39" applyNumberFormat="0" applyFill="0" applyAlignment="0" applyProtection="0"/>
    <xf numFmtId="0" fontId="314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1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4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0" fontId="314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1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6" fillId="41" borderId="0" applyNumberFormat="0" applyFont="0" applyBorder="0"/>
    <xf numFmtId="0" fontId="316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6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6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43" fontId="307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2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1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1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9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9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1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1" applyFill="0" applyBorder="0">
      <alignment horizontal="right"/>
      <protection locked="0"/>
    </xf>
    <xf numFmtId="0" fontId="164" fillId="0" borderId="79"/>
    <xf numFmtId="0" fontId="194" fillId="0" borderId="78">
      <alignment vertical="center"/>
    </xf>
    <xf numFmtId="0" fontId="81" fillId="0" borderId="77" applyNumberFormat="0" applyProtection="0"/>
    <xf numFmtId="0" fontId="81" fillId="0" borderId="77" applyNumberFormat="0" applyProtection="0"/>
    <xf numFmtId="0" fontId="15" fillId="2" borderId="80"/>
    <xf numFmtId="0" fontId="15" fillId="2" borderId="80"/>
    <xf numFmtId="0" fontId="219" fillId="52" borderId="82">
      <alignment horizontal="center" vertical="center"/>
    </xf>
    <xf numFmtId="0" fontId="45" fillId="4" borderId="82" applyFont="0" applyFill="0">
      <alignment horizontal="right"/>
    </xf>
    <xf numFmtId="0" fontId="47" fillId="0" borderId="81" applyFill="0" applyBorder="0">
      <alignment horizontal="right"/>
      <protection locked="0"/>
    </xf>
    <xf numFmtId="0" fontId="164" fillId="0" borderId="79"/>
    <xf numFmtId="0" fontId="81" fillId="0" borderId="77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2" applyFill="0"/>
    <xf numFmtId="0" fontId="128" fillId="4" borderId="82">
      <alignment horizontal="right"/>
    </xf>
    <xf numFmtId="0" fontId="99" fillId="52" borderId="82" applyFill="0"/>
    <xf numFmtId="0" fontId="81" fillId="0" borderId="77" applyNumberFormat="0" applyProtection="0"/>
    <xf numFmtId="0" fontId="219" fillId="52" borderId="82">
      <alignment horizontal="center" vertical="center"/>
    </xf>
    <xf numFmtId="0" fontId="94" fillId="0" borderId="76"/>
    <xf numFmtId="0" fontId="194" fillId="0" borderId="78">
      <alignment vertical="center"/>
    </xf>
    <xf numFmtId="0" fontId="81" fillId="0" borderId="77" applyNumberFormat="0" applyProtection="0"/>
    <xf numFmtId="0" fontId="81" fillId="0" borderId="77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2">
      <alignment horizontal="center" vertical="center"/>
    </xf>
    <xf numFmtId="0" fontId="99" fillId="52" borderId="82" applyFill="0"/>
    <xf numFmtId="9" fontId="10" fillId="0" borderId="0" applyFont="0" applyFill="0" applyBorder="0" applyAlignment="0" applyProtection="0"/>
    <xf numFmtId="0" fontId="15" fillId="2" borderId="80"/>
    <xf numFmtId="0" fontId="164" fillId="0" borderId="79"/>
    <xf numFmtId="0" fontId="45" fillId="4" borderId="82" applyFont="0" applyFill="0">
      <alignment horizontal="right"/>
    </xf>
    <xf numFmtId="0" fontId="194" fillId="0" borderId="78">
      <alignment vertical="center"/>
    </xf>
    <xf numFmtId="0" fontId="128" fillId="4" borderId="82">
      <alignment horizontal="right"/>
    </xf>
    <xf numFmtId="0" fontId="94" fillId="0" borderId="76"/>
    <xf numFmtId="0" fontId="81" fillId="0" borderId="77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8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2">
      <alignment horizontal="right"/>
    </xf>
    <xf numFmtId="0" fontId="45" fillId="4" borderId="82" applyFont="0" applyFill="0">
      <alignment horizontal="right"/>
    </xf>
    <xf numFmtId="9" fontId="10" fillId="0" borderId="0" applyFont="0" applyFill="0" applyBorder="0" applyAlignment="0" applyProtection="0"/>
    <xf numFmtId="0" fontId="47" fillId="0" borderId="81" applyFill="0" applyBorder="0">
      <alignment horizontal="right"/>
      <protection locked="0"/>
    </xf>
    <xf numFmtId="0" fontId="15" fillId="2" borderId="8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1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1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167" fontId="307" fillId="0" borderId="0" applyFont="0" applyFill="0" applyBorder="0" applyAlignment="0" applyProtection="0"/>
    <xf numFmtId="0" fontId="323" fillId="0" borderId="0"/>
    <xf numFmtId="167" fontId="307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37" fontId="18" fillId="0" borderId="27">
      <protection locked="0"/>
    </xf>
    <xf numFmtId="0" fontId="311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7" fillId="12" borderId="43">
      <protection locked="0"/>
    </xf>
    <xf numFmtId="0" fontId="309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9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9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9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7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1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1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9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1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1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1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1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1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27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9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7" fillId="0" borderId="67" applyNumberFormat="0" applyFill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7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311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7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9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1" fillId="2" borderId="49" applyNumberFormat="0" applyAlignment="0" applyProtection="0"/>
    <xf numFmtId="297" fontId="307" fillId="0" borderId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27" fillId="0" borderId="67" applyNumberFormat="0" applyFill="0" applyAlignment="0" applyProtection="0"/>
    <xf numFmtId="0" fontId="311" fillId="2" borderId="49" applyNumberFormat="0" applyAlignment="0" applyProtection="0"/>
    <xf numFmtId="8" fontId="286" fillId="0" borderId="35"/>
    <xf numFmtId="8" fontId="286" fillId="0" borderId="35"/>
    <xf numFmtId="0" fontId="309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311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1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1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3" fillId="60" borderId="0" applyNumberFormat="0" applyBorder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9" fontId="54" fillId="0" borderId="0" applyFont="0" applyFill="0" applyBorder="0" applyAlignment="0" applyProtection="0"/>
    <xf numFmtId="0" fontId="343" fillId="62" borderId="0" applyNumberFormat="0" applyBorder="0" applyAlignment="0" applyProtection="0"/>
    <xf numFmtId="0" fontId="6" fillId="63" borderId="0" applyNumberFormat="0" applyBorder="0" applyAlignment="0" applyProtection="0"/>
    <xf numFmtId="0" fontId="332" fillId="64" borderId="0" applyNumberFormat="0" applyBorder="0" applyAlignment="0" applyProtection="0"/>
    <xf numFmtId="0" fontId="54" fillId="0" borderId="0"/>
    <xf numFmtId="0" fontId="309" fillId="11" borderId="22" applyNumberFormat="0" applyAlignment="0" applyProtection="0"/>
    <xf numFmtId="0" fontId="6" fillId="65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6" borderId="0" applyNumberFormat="0" applyBorder="0" applyAlignment="0" applyProtection="0"/>
    <xf numFmtId="0" fontId="54" fillId="0" borderId="0"/>
    <xf numFmtId="0" fontId="336" fillId="67" borderId="83" applyNumberFormat="0" applyAlignment="0" applyProtection="0"/>
    <xf numFmtId="0" fontId="56" fillId="17" borderId="0" applyNumberFormat="0" applyBorder="0" applyAlignment="0" applyProtection="0"/>
    <xf numFmtId="0" fontId="311" fillId="2" borderId="49" applyNumberFormat="0" applyAlignment="0" applyProtection="0"/>
    <xf numFmtId="0" fontId="342" fillId="0" borderId="84" applyNumberFormat="0" applyFill="0" applyAlignment="0" applyProtection="0"/>
    <xf numFmtId="0" fontId="335" fillId="68" borderId="85" applyNumberFormat="0" applyAlignment="0" applyProtection="0"/>
    <xf numFmtId="0" fontId="54" fillId="0" borderId="0"/>
    <xf numFmtId="0" fontId="6" fillId="69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3" fillId="70" borderId="0" applyNumberFormat="0" applyBorder="0" applyAlignment="0" applyProtection="0"/>
    <xf numFmtId="0" fontId="54" fillId="11" borderId="0" applyNumberFormat="0" applyBorder="0" applyAlignment="0" applyProtection="0"/>
    <xf numFmtId="0" fontId="330" fillId="0" borderId="86" applyNumberFormat="0" applyFill="0" applyAlignment="0" applyProtection="0"/>
    <xf numFmtId="0" fontId="197" fillId="43" borderId="0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7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7" fillId="67" borderId="85" applyNumberFormat="0" applyAlignment="0" applyProtection="0"/>
    <xf numFmtId="0" fontId="343" fillId="71" borderId="0" applyNumberFormat="0" applyBorder="0" applyAlignment="0" applyProtection="0"/>
    <xf numFmtId="0" fontId="311" fillId="2" borderId="49" applyNumberFormat="0" applyAlignment="0" applyProtection="0"/>
    <xf numFmtId="0" fontId="56" fillId="13" borderId="0" applyNumberFormat="0" applyBorder="0" applyAlignment="0" applyProtection="0"/>
    <xf numFmtId="0" fontId="340" fillId="0" borderId="0" applyNumberFormat="0" applyFill="0" applyBorder="0" applyAlignment="0" applyProtection="0"/>
    <xf numFmtId="336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9" fillId="72" borderId="87" applyNumberFormat="0" applyAlignment="0" applyProtection="0"/>
    <xf numFmtId="0" fontId="334" fillId="73" borderId="0" applyNumberFormat="0" applyBorder="0" applyAlignment="0" applyProtection="0"/>
    <xf numFmtId="0" fontId="343" fillId="74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5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31" fillId="0" borderId="88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6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3" fillId="77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6" fillId="67" borderId="83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9" fillId="0" borderId="89" applyNumberFormat="0" applyFill="0" applyAlignment="0" applyProtection="0"/>
    <xf numFmtId="0" fontId="6" fillId="78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3" fillId="79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80" borderId="90" applyNumberFormat="0" applyFont="0" applyAlignment="0" applyProtection="0"/>
    <xf numFmtId="0" fontId="343" fillId="81" borderId="0" applyNumberFormat="0" applyBorder="0" applyAlignment="0" applyProtection="0"/>
    <xf numFmtId="0" fontId="343" fillId="82" borderId="0" applyNumberFormat="0" applyBorder="0" applyAlignment="0" applyProtection="0"/>
    <xf numFmtId="0" fontId="6" fillId="83" borderId="0" applyNumberFormat="0" applyBorder="0" applyAlignment="0" applyProtection="0"/>
    <xf numFmtId="336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3" fillId="84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9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7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7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8" borderId="0" applyNumberFormat="0" applyBorder="0" applyAlignment="0" applyProtection="0"/>
    <xf numFmtId="0" fontId="54" fillId="0" borderId="0"/>
    <xf numFmtId="0" fontId="335" fillId="68" borderId="85" applyNumberFormat="0" applyAlignment="0" applyProtection="0"/>
    <xf numFmtId="0" fontId="206" fillId="36" borderId="55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1" fillId="2" borderId="49" applyNumberFormat="0" applyAlignment="0" applyProtection="0"/>
    <xf numFmtId="0" fontId="46" fillId="0" borderId="1" applyNumberFormat="0" applyBorder="0"/>
    <xf numFmtId="0" fontId="343" fillId="89" borderId="0" applyNumberFormat="0" applyBorder="0" applyAlignment="0" applyProtection="0"/>
    <xf numFmtId="0" fontId="56" fillId="16" borderId="0" applyNumberFormat="0" applyBorder="0" applyAlignment="0" applyProtection="0"/>
    <xf numFmtId="0" fontId="333" fillId="90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41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3" fillId="91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8" fillId="0" borderId="91" applyNumberFormat="0" applyFill="0" applyAlignment="0" applyProtection="0"/>
    <xf numFmtId="0" fontId="6" fillId="0" borderId="0"/>
    <xf numFmtId="0" fontId="6" fillId="0" borderId="0"/>
    <xf numFmtId="0" fontId="309" fillId="11" borderId="22" applyNumberFormat="0" applyAlignment="0" applyProtection="0"/>
    <xf numFmtId="336" fontId="29" fillId="0" borderId="0" applyFont="0" applyFill="0" applyBorder="0" applyAlignment="0" applyProtection="0"/>
    <xf numFmtId="0" fontId="309" fillId="11" borderId="22" applyNumberFormat="0" applyAlignment="0" applyProtection="0"/>
    <xf numFmtId="336" fontId="29" fillId="0" borderId="0" applyFont="0" applyFill="0" applyBorder="0" applyAlignment="0" applyProtection="0"/>
    <xf numFmtId="0" fontId="311" fillId="2" borderId="49" applyNumberFormat="0" applyAlignment="0" applyProtection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336" fontId="29" fillId="0" borderId="0" applyFont="0" applyFill="0" applyBorder="0" applyAlignment="0" applyProtection="0"/>
    <xf numFmtId="0" fontId="309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6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6" borderId="0" applyNumberFormat="0" applyBorder="0" applyAlignment="0" applyProtection="0"/>
    <xf numFmtId="0" fontId="54" fillId="85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54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7" borderId="0" applyNumberFormat="0" applyBorder="0" applyAlignment="0" applyProtection="0"/>
    <xf numFmtId="0" fontId="54" fillId="69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" borderId="0" applyNumberFormat="0" applyBorder="0" applyAlignment="0" applyProtection="0"/>
    <xf numFmtId="0" fontId="54" fillId="83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9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9" borderId="0" applyNumberFormat="0" applyBorder="0" applyAlignment="0" applyProtection="0"/>
    <xf numFmtId="0" fontId="54" fillId="65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0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0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1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1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1" borderId="0" applyNumberFormat="0" applyBorder="0" applyAlignment="0" applyProtection="0"/>
    <xf numFmtId="0" fontId="54" fillId="8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6" borderId="0" applyNumberFormat="0" applyBorder="0" applyAlignment="0" applyProtection="0"/>
    <xf numFmtId="0" fontId="54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54" fillId="1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54" fillId="66" borderId="0" applyNumberFormat="0" applyBorder="0" applyAlignment="0" applyProtection="0"/>
    <xf numFmtId="0" fontId="54" fillId="12" borderId="0" applyNumberFormat="0" applyBorder="0" applyAlignment="0" applyProtection="0"/>
    <xf numFmtId="0" fontId="54" fillId="66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8" borderId="0" applyNumberFormat="0" applyBorder="0" applyAlignment="0" applyProtection="0"/>
    <xf numFmtId="0" fontId="54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54" fillId="13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54" fillId="78" borderId="0" applyNumberFormat="0" applyBorder="0" applyAlignment="0" applyProtection="0"/>
    <xf numFmtId="0" fontId="54" fillId="13" borderId="0" applyNumberFormat="0" applyBorder="0" applyAlignment="0" applyProtection="0"/>
    <xf numFmtId="0" fontId="54" fillId="7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8" borderId="0" applyNumberFormat="0" applyBorder="0" applyAlignment="0" applyProtection="0"/>
    <xf numFmtId="0" fontId="54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54" fillId="14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54" fillId="88" borderId="0" applyNumberFormat="0" applyBorder="0" applyAlignment="0" applyProtection="0"/>
    <xf numFmtId="0" fontId="54" fillId="14" borderId="0" applyNumberFormat="0" applyBorder="0" applyAlignment="0" applyProtection="0"/>
    <xf numFmtId="0" fontId="54" fillId="88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9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9" borderId="0" applyNumberFormat="0" applyBorder="0" applyAlignment="0" applyProtection="0"/>
    <xf numFmtId="0" fontId="54" fillId="87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1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12" borderId="0" applyNumberFormat="0" applyBorder="0" applyAlignment="0" applyProtection="0"/>
    <xf numFmtId="0" fontId="54" fillId="63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1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5" borderId="0" applyNumberFormat="0" applyBorder="0" applyAlignment="0" applyProtection="0"/>
    <xf numFmtId="0" fontId="54" fillId="75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2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84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70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2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6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1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91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1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74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4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56" fillId="71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1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65" fillId="7" borderId="0" applyNumberFormat="0" applyBorder="0" applyAlignment="0" applyProtection="0"/>
    <xf numFmtId="0" fontId="344" fillId="90" borderId="0" applyNumberFormat="0" applyBorder="0" applyAlignment="0" applyProtection="0"/>
    <xf numFmtId="0" fontId="65" fillId="7" borderId="0" applyNumberFormat="0" applyBorder="0" applyAlignment="0" applyProtection="0"/>
    <xf numFmtId="0" fontId="344" fillId="90" borderId="0" applyNumberFormat="0" applyBorder="0" applyAlignment="0" applyProtection="0"/>
    <xf numFmtId="0" fontId="344" fillId="90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4" fillId="90" borderId="0" applyNumberFormat="0" applyBorder="0" applyAlignment="0" applyProtection="0"/>
    <xf numFmtId="0" fontId="45" fillId="2" borderId="12">
      <alignment horizontal="center"/>
    </xf>
    <xf numFmtId="0" fontId="345" fillId="67" borderId="85" applyNumberFormat="0" applyAlignment="0" applyProtection="0"/>
    <xf numFmtId="0" fontId="93" fillId="2" borderId="22" applyNumberFormat="0" applyAlignment="0" applyProtection="0"/>
    <xf numFmtId="0" fontId="345" fillId="67" borderId="85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5" fillId="67" borderId="85" applyNumberFormat="0" applyAlignment="0" applyProtection="0"/>
    <xf numFmtId="0" fontId="93" fillId="2" borderId="22" applyNumberFormat="0" applyAlignment="0" applyProtection="0"/>
    <xf numFmtId="0" fontId="345" fillId="67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5" fillId="67" borderId="85" applyNumberFormat="0" applyAlignment="0" applyProtection="0"/>
    <xf numFmtId="0" fontId="93" fillId="2" borderId="22" applyNumberFormat="0" applyAlignment="0" applyProtection="0"/>
    <xf numFmtId="0" fontId="345" fillId="67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5" fillId="67" borderId="85" applyNumberFormat="0" applyAlignment="0" applyProtection="0"/>
    <xf numFmtId="0" fontId="345" fillId="67" borderId="85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5" fillId="67" borderId="85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2" borderId="87" applyNumberFormat="0" applyAlignment="0" applyProtection="0"/>
    <xf numFmtId="0" fontId="95" fillId="72" borderId="87" applyNumberFormat="0" applyAlignment="0" applyProtection="0"/>
    <xf numFmtId="0" fontId="95" fillId="72" borderId="87" applyNumberFormat="0" applyAlignment="0" applyProtection="0"/>
    <xf numFmtId="0" fontId="95" fillId="72" borderId="87" applyNumberFormat="0" applyAlignment="0" applyProtection="0"/>
    <xf numFmtId="0" fontId="95" fillId="26" borderId="24" applyNumberFormat="0" applyAlignment="0" applyProtection="0"/>
    <xf numFmtId="0" fontId="95" fillId="72" borderId="87" applyNumberFormat="0" applyAlignment="0" applyProtection="0"/>
    <xf numFmtId="0" fontId="95" fillId="26" borderId="24" applyNumberFormat="0" applyAlignment="0" applyProtection="0"/>
    <xf numFmtId="0" fontId="95" fillId="72" borderId="87" applyNumberFormat="0" applyAlignment="0" applyProtection="0"/>
    <xf numFmtId="0" fontId="95" fillId="72" borderId="87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2" borderId="87" applyNumberFormat="0" applyAlignment="0" applyProtection="0"/>
    <xf numFmtId="41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7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9" fillId="8" borderId="0" applyNumberFormat="0" applyBorder="0" applyAlignment="0" applyProtection="0"/>
    <xf numFmtId="0" fontId="347" fillId="64" borderId="0" applyNumberFormat="0" applyBorder="0" applyAlignment="0" applyProtection="0"/>
    <xf numFmtId="0" fontId="347" fillId="64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7" fillId="64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8" fillId="0" borderId="89" applyNumberFormat="0" applyFill="0" applyAlignment="0" applyProtection="0"/>
    <xf numFmtId="0" fontId="137" fillId="0" borderId="37" applyNumberFormat="0" applyFill="0" applyAlignment="0" applyProtection="0"/>
    <xf numFmtId="0" fontId="348" fillId="0" borderId="89" applyNumberFormat="0" applyFill="0" applyAlignment="0" applyProtection="0"/>
    <xf numFmtId="0" fontId="348" fillId="0" borderId="89" applyNumberFormat="0" applyFill="0" applyAlignment="0" applyProtection="0"/>
    <xf numFmtId="0" fontId="348" fillId="0" borderId="89" applyNumberFormat="0" applyFill="0" applyAlignment="0" applyProtection="0"/>
    <xf numFmtId="0" fontId="312" fillId="0" borderId="72" applyNumberFormat="0" applyFill="0" applyAlignment="0" applyProtection="0"/>
    <xf numFmtId="0" fontId="348" fillId="0" borderId="89" applyNumberFormat="0" applyFill="0" applyAlignment="0" applyProtection="0"/>
    <xf numFmtId="0" fontId="137" fillId="0" borderId="37" applyNumberFormat="0" applyFill="0" applyAlignment="0" applyProtection="0"/>
    <xf numFmtId="0" fontId="348" fillId="0" borderId="89" applyNumberFormat="0" applyFill="0" applyAlignment="0" applyProtection="0"/>
    <xf numFmtId="0" fontId="348" fillId="0" borderId="89" applyNumberFormat="0" applyFill="0" applyAlignment="0" applyProtection="0"/>
    <xf numFmtId="0" fontId="349" fillId="0" borderId="86" applyNumberFormat="0" applyFill="0" applyAlignment="0" applyProtection="0"/>
    <xf numFmtId="0" fontId="138" fillId="0" borderId="38" applyNumberFormat="0" applyFill="0" applyAlignment="0" applyProtection="0"/>
    <xf numFmtId="0" fontId="349" fillId="0" borderId="86" applyNumberFormat="0" applyFill="0" applyAlignment="0" applyProtection="0"/>
    <xf numFmtId="0" fontId="349" fillId="0" borderId="86" applyNumberFormat="0" applyFill="0" applyAlignment="0" applyProtection="0"/>
    <xf numFmtId="0" fontId="349" fillId="0" borderId="86" applyNumberFormat="0" applyFill="0" applyAlignment="0" applyProtection="0"/>
    <xf numFmtId="0" fontId="313" fillId="0" borderId="73" applyNumberFormat="0" applyFill="0" applyAlignment="0" applyProtection="0"/>
    <xf numFmtId="0" fontId="349" fillId="0" borderId="86" applyNumberFormat="0" applyFill="0" applyAlignment="0" applyProtection="0"/>
    <xf numFmtId="0" fontId="138" fillId="0" borderId="38" applyNumberFormat="0" applyFill="0" applyAlignment="0" applyProtection="0"/>
    <xf numFmtId="0" fontId="349" fillId="0" borderId="86" applyNumberFormat="0" applyFill="0" applyAlignment="0" applyProtection="0"/>
    <xf numFmtId="0" fontId="349" fillId="0" borderId="86" applyNumberFormat="0" applyFill="0" applyAlignment="0" applyProtection="0"/>
    <xf numFmtId="0" fontId="350" fillId="0" borderId="88" applyNumberFormat="0" applyFill="0" applyAlignment="0" applyProtection="0"/>
    <xf numFmtId="0" fontId="139" fillId="0" borderId="39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14" fillId="0" borderId="74" applyNumberFormat="0" applyFill="0" applyAlignment="0" applyProtection="0"/>
    <xf numFmtId="0" fontId="350" fillId="0" borderId="88" applyNumberFormat="0" applyFill="0" applyAlignment="0" applyProtection="0"/>
    <xf numFmtId="0" fontId="139" fillId="0" borderId="39" applyNumberFormat="0" applyFill="0" applyAlignment="0" applyProtection="0"/>
    <xf numFmtId="0" fontId="350" fillId="0" borderId="88" applyNumberFormat="0" applyFill="0" applyAlignment="0" applyProtection="0"/>
    <xf numFmtId="0" fontId="350" fillId="0" borderId="88" applyNumberFormat="0" applyFill="0" applyAlignment="0" applyProtection="0"/>
    <xf numFmtId="0" fontId="35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1" fillId="11" borderId="85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51" fillId="11" borderId="85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351" fillId="11" borderId="85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1" fillId="11" borderId="85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2" fillId="0" borderId="91" applyNumberFormat="0" applyFill="0" applyAlignment="0" applyProtection="0"/>
    <xf numFmtId="0" fontId="352" fillId="0" borderId="91" applyNumberFormat="0" applyFill="0" applyAlignment="0" applyProtection="0"/>
    <xf numFmtId="0" fontId="352" fillId="0" borderId="91" applyNumberFormat="0" applyFill="0" applyAlignment="0" applyProtection="0"/>
    <xf numFmtId="0" fontId="352" fillId="0" borderId="91" applyNumberFormat="0" applyFill="0" applyAlignment="0" applyProtection="0"/>
    <xf numFmtId="0" fontId="158" fillId="0" borderId="46" applyNumberFormat="0" applyFill="0" applyAlignment="0" applyProtection="0"/>
    <xf numFmtId="0" fontId="352" fillId="0" borderId="91" applyNumberFormat="0" applyFill="0" applyAlignment="0" applyProtection="0"/>
    <xf numFmtId="0" fontId="352" fillId="0" borderId="91" applyNumberFormat="0" applyFill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162" fillId="3" borderId="0" applyNumberFormat="0" applyBorder="0" applyAlignment="0" applyProtection="0"/>
    <xf numFmtId="0" fontId="353" fillId="73" borderId="0" applyNumberFormat="0" applyBorder="0" applyAlignment="0" applyProtection="0"/>
    <xf numFmtId="0" fontId="162" fillId="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3" fillId="73" borderId="0" applyNumberFormat="0" applyBorder="0" applyAlignment="0" applyProtection="0"/>
    <xf numFmtId="0" fontId="353" fillId="7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3" fillId="0" borderId="0"/>
    <xf numFmtId="0" fontId="307" fillId="0" borderId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307" fillId="4" borderId="90" applyNumberFormat="0" applyFont="0" applyAlignment="0" applyProtection="0"/>
    <xf numFmtId="0" fontId="307" fillId="4" borderId="90" applyNumberFormat="0" applyFont="0" applyAlignment="0" applyProtection="0"/>
    <xf numFmtId="0" fontId="307" fillId="4" borderId="90" applyNumberFormat="0" applyFont="0" applyAlignment="0" applyProtection="0"/>
    <xf numFmtId="0" fontId="54" fillId="4" borderId="90" applyNumberFormat="0" applyFont="0" applyAlignment="0" applyProtection="0"/>
    <xf numFmtId="0" fontId="125" fillId="4" borderId="47" applyNumberFormat="0" applyFont="0" applyAlignment="0" applyProtection="0"/>
    <xf numFmtId="0" fontId="54" fillId="4" borderId="90" applyNumberFormat="0" applyFont="0" applyAlignment="0" applyProtection="0"/>
    <xf numFmtId="0" fontId="54" fillId="4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125" fillId="4" borderId="47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54" fillId="4" borderId="90" applyNumberFormat="0" applyFont="0" applyAlignment="0" applyProtection="0"/>
    <xf numFmtId="0" fontId="125" fillId="4" borderId="47" applyNumberFormat="0" applyFont="0" applyAlignment="0" applyProtection="0"/>
    <xf numFmtId="0" fontId="54" fillId="4" borderId="90" applyNumberFormat="0" applyFon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54" fillId="67" borderId="83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4" fillId="67" borderId="83" applyNumberFormat="0" applyAlignment="0" applyProtection="0"/>
    <xf numFmtId="0" fontId="354" fillId="67" borderId="83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297" fontId="307" fillId="0" borderId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4" fillId="67" borderId="83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5" fillId="0" borderId="0" applyNumberFormat="0" applyFill="0" applyBorder="0" applyAlignment="0" applyProtection="0"/>
    <xf numFmtId="0" fontId="169" fillId="51" borderId="0" applyNumberFormat="0">
      <alignment horizontal="left"/>
    </xf>
    <xf numFmtId="0" fontId="355" fillId="0" borderId="0" applyNumberFormat="0" applyFill="0" applyBorder="0" applyAlignment="0" applyProtection="0"/>
    <xf numFmtId="0" fontId="169" fillId="51" borderId="0" applyNumberFormat="0">
      <alignment horizontal="left"/>
    </xf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355" fillId="0" borderId="0" applyNumberFormat="0" applyFill="0" applyBorder="0" applyAlignment="0" applyProtection="0"/>
    <xf numFmtId="0" fontId="169" fillId="51" borderId="0" applyNumberFormat="0">
      <alignment horizontal="left"/>
    </xf>
    <xf numFmtId="0" fontId="355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5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7" fillId="0" borderId="84" applyNumberFormat="0" applyFill="0" applyAlignment="0" applyProtection="0"/>
    <xf numFmtId="0" fontId="256" fillId="0" borderId="67" applyNumberFormat="0" applyFill="0" applyAlignment="0" applyProtection="0"/>
    <xf numFmtId="0" fontId="327" fillId="0" borderId="84" applyNumberFormat="0" applyFill="0" applyAlignment="0" applyProtection="0"/>
    <xf numFmtId="0" fontId="256" fillId="0" borderId="67" applyNumberFormat="0" applyFill="0" applyAlignment="0" applyProtection="0"/>
    <xf numFmtId="0" fontId="327" fillId="0" borderId="84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7" fillId="0" borderId="84" applyNumberFormat="0" applyFill="0" applyAlignment="0" applyProtection="0"/>
    <xf numFmtId="0" fontId="327" fillId="0" borderId="84" applyNumberFormat="0" applyFill="0" applyAlignment="0" applyProtection="0"/>
    <xf numFmtId="0" fontId="327" fillId="0" borderId="84" applyNumberFormat="0" applyFill="0" applyAlignment="0" applyProtection="0"/>
    <xf numFmtId="0" fontId="116" fillId="0" borderId="60">
      <protection locked="0"/>
    </xf>
    <xf numFmtId="0" fontId="327" fillId="0" borderId="84" applyNumberFormat="0" applyFill="0" applyAlignment="0" applyProtection="0"/>
    <xf numFmtId="0" fontId="327" fillId="0" borderId="67" applyNumberFormat="0" applyFill="0" applyAlignment="0" applyProtection="0"/>
    <xf numFmtId="0" fontId="327" fillId="0" borderId="84" applyNumberFormat="0" applyFill="0" applyAlignment="0" applyProtection="0"/>
    <xf numFmtId="0" fontId="327" fillId="0" borderId="84" applyNumberFormat="0" applyFill="0" applyAlignment="0" applyProtection="0"/>
    <xf numFmtId="0" fontId="100" fillId="5" borderId="0" applyNumberFormat="0" applyFont="0" applyFill="0" applyBorder="0" applyProtection="0"/>
    <xf numFmtId="0" fontId="327" fillId="0" borderId="84" applyNumberFormat="0" applyFill="0" applyAlignment="0" applyProtection="0"/>
    <xf numFmtId="0" fontId="116" fillId="0" borderId="60">
      <protection locked="0"/>
    </xf>
    <xf numFmtId="0" fontId="327" fillId="0" borderId="84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7" fillId="0" borderId="84" applyNumberFormat="0" applyFill="0" applyAlignment="0" applyProtection="0"/>
    <xf numFmtId="0" fontId="327" fillId="0" borderId="67" applyNumberFormat="0" applyFill="0" applyAlignment="0" applyProtection="0"/>
    <xf numFmtId="0" fontId="327" fillId="0" borderId="84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2" fillId="0" borderId="0"/>
    <xf numFmtId="0" fontId="323" fillId="0" borderId="0"/>
    <xf numFmtId="0" fontId="322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3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3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3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3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1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1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1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7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297" fontId="307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297" fontId="307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3" fillId="0" borderId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297" fontId="307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43" fontId="307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7" fillId="0" borderId="67" applyNumberFormat="0" applyFill="0" applyAlignment="0" applyProtection="0"/>
    <xf numFmtId="0" fontId="311" fillId="2" borderId="49" applyNumberFormat="0" applyAlignment="0" applyProtection="0"/>
    <xf numFmtId="202" fontId="47" fillId="0" borderId="60"/>
    <xf numFmtId="0" fontId="309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9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1" fillId="2" borderId="49" applyNumberFormat="0" applyAlignment="0" applyProtection="0"/>
    <xf numFmtId="17" fontId="82" fillId="2" borderId="29" applyBorder="0">
      <alignment horizontal="center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9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1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1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311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7" fillId="0" borderId="67" applyNumberFormat="0" applyFill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27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9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1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1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1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7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108" fillId="2" borderId="9">
      <alignment horizontal="center" vertical="center" wrapText="1"/>
    </xf>
    <xf numFmtId="0" fontId="311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9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7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7" fillId="0" borderId="67" applyNumberFormat="0" applyFill="0" applyAlignment="0" applyProtection="0"/>
    <xf numFmtId="8" fontId="286" fillId="0" borderId="35"/>
    <xf numFmtId="8" fontId="286" fillId="0" borderId="35"/>
    <xf numFmtId="0" fontId="311" fillId="2" borderId="49" applyNumberFormat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7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9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7" fillId="0" borderId="67" applyNumberFormat="0" applyFill="0" applyAlignment="0" applyProtection="0"/>
    <xf numFmtId="0" fontId="116" fillId="0" borderId="60">
      <protection locked="0"/>
    </xf>
    <xf numFmtId="0" fontId="327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1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2" fontId="74" fillId="0" borderId="9">
      <alignment horizontal="center" vertical="center"/>
      <protection locked="0"/>
    </xf>
    <xf numFmtId="0" fontId="311" fillId="2" borderId="49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7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27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1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1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1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1" fillId="2" borderId="49" applyNumberFormat="0" applyAlignment="0" applyProtection="0"/>
    <xf numFmtId="0" fontId="311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1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1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9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1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1" fillId="2" borderId="49" applyNumberFormat="0" applyAlignment="0" applyProtection="0"/>
    <xf numFmtId="297" fontId="307" fillId="0" borderId="0"/>
    <xf numFmtId="0" fontId="309" fillId="11" borderId="22" applyNumberFormat="0" applyAlignment="0" applyProtection="0"/>
    <xf numFmtId="0" fontId="311" fillId="2" borderId="49" applyNumberFormat="0" applyAlignment="0" applyProtection="0"/>
    <xf numFmtId="8" fontId="286" fillId="0" borderId="35"/>
    <xf numFmtId="0" fontId="311" fillId="2" borderId="49" applyNumberFormat="0" applyAlignment="0" applyProtection="0"/>
    <xf numFmtId="8" fontId="286" fillId="0" borderId="35"/>
    <xf numFmtId="8" fontId="286" fillId="0" borderId="35"/>
    <xf numFmtId="0" fontId="311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2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90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90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90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90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3" borderId="0" applyNumberFormat="0" applyBorder="0" applyAlignment="0" applyProtection="0"/>
    <xf numFmtId="0" fontId="5" fillId="6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80" borderId="90" applyNumberFormat="0" applyFont="0" applyAlignment="0" applyProtection="0"/>
    <xf numFmtId="0" fontId="5" fillId="83" borderId="0" applyNumberFormat="0" applyBorder="0" applyAlignment="0" applyProtection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87" borderId="0" applyNumberFormat="0" applyBorder="0" applyAlignment="0" applyProtection="0"/>
    <xf numFmtId="0" fontId="5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80" borderId="90" applyNumberFormat="0" applyFont="0" applyAlignment="0" applyProtection="0"/>
    <xf numFmtId="0" fontId="5" fillId="85" borderId="0" applyNumberFormat="0" applyBorder="0" applyAlignment="0" applyProtection="0"/>
    <xf numFmtId="0" fontId="5" fillId="66" borderId="0" applyNumberFormat="0" applyBorder="0" applyAlignment="0" applyProtection="0"/>
    <xf numFmtId="0" fontId="5" fillId="69" borderId="0" applyNumberFormat="0" applyBorder="0" applyAlignment="0" applyProtection="0"/>
    <xf numFmtId="0" fontId="5" fillId="78" borderId="0" applyNumberFormat="0" applyBorder="0" applyAlignment="0" applyProtection="0"/>
    <xf numFmtId="0" fontId="5" fillId="83" borderId="0" applyNumberFormat="0" applyBorder="0" applyAlignment="0" applyProtection="0"/>
    <xf numFmtId="0" fontId="5" fillId="88" borderId="0" applyNumberFormat="0" applyBorder="0" applyAlignment="0" applyProtection="0"/>
    <xf numFmtId="0" fontId="5" fillId="65" borderId="0" applyNumberFormat="0" applyBorder="0" applyAlignment="0" applyProtection="0"/>
    <xf numFmtId="0" fontId="5" fillId="87" borderId="0" applyNumberFormat="0" applyBorder="0" applyAlignment="0" applyProtection="0"/>
    <xf numFmtId="0" fontId="5" fillId="76" borderId="0" applyNumberFormat="0" applyBorder="0" applyAlignment="0" applyProtection="0"/>
    <xf numFmtId="0" fontId="5" fillId="63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69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66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8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0" borderId="90" applyNumberFormat="0" applyFont="0" applyAlignment="0" applyProtection="0"/>
    <xf numFmtId="0" fontId="5" fillId="80" borderId="90" applyNumberFormat="0" applyFont="0" applyAlignment="0" applyProtection="0"/>
    <xf numFmtId="0" fontId="5" fillId="80" borderId="90" applyNumberFormat="0" applyFont="0" applyAlignment="0" applyProtection="0"/>
    <xf numFmtId="0" fontId="5" fillId="80" borderId="90" applyNumberFormat="0" applyFont="0" applyAlignment="0" applyProtection="0"/>
    <xf numFmtId="0" fontId="5" fillId="80" borderId="90" applyNumberFormat="0" applyFont="0" applyAlignment="0" applyProtection="0"/>
    <xf numFmtId="0" fontId="5" fillId="80" borderId="90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0" fontId="4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167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3" fillId="0" borderId="0"/>
    <xf numFmtId="167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167" fontId="323" fillId="0" borderId="0" applyFont="0" applyFill="0" applyBorder="0" applyAlignment="0" applyProtection="0"/>
    <xf numFmtId="167" fontId="356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61" fillId="0" borderId="0" applyNumberForma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2" fillId="0" borderId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" fillId="102" borderId="0" applyNumberFormat="0" applyBorder="0" applyAlignment="0" applyProtection="0"/>
    <xf numFmtId="0" fontId="3" fillId="103" borderId="0" applyNumberFormat="0" applyBorder="0" applyAlignment="0" applyProtection="0"/>
    <xf numFmtId="0" fontId="343" fillId="104" borderId="0" applyNumberFormat="0" applyBorder="0" applyAlignment="0" applyProtection="0"/>
    <xf numFmtId="0" fontId="343" fillId="105" borderId="0" applyNumberFormat="0" applyBorder="0" applyAlignment="0" applyProtection="0"/>
    <xf numFmtId="0" fontId="343" fillId="106" borderId="0" applyNumberFormat="0" applyBorder="0" applyAlignment="0" applyProtection="0"/>
    <xf numFmtId="0" fontId="343" fillId="107" borderId="0" applyNumberFormat="0" applyBorder="0" applyAlignment="0" applyProtection="0"/>
    <xf numFmtId="0" fontId="343" fillId="108" borderId="0" applyNumberFormat="0" applyBorder="0" applyAlignment="0" applyProtection="0"/>
    <xf numFmtId="0" fontId="343" fillId="109" borderId="0" applyNumberFormat="0" applyBorder="0" applyAlignment="0" applyProtection="0"/>
    <xf numFmtId="0" fontId="343" fillId="110" borderId="0" applyNumberFormat="0" applyBorder="0" applyAlignment="0" applyProtection="0"/>
    <xf numFmtId="0" fontId="343" fillId="111" borderId="0" applyNumberFormat="0" applyBorder="0" applyAlignment="0" applyProtection="0"/>
    <xf numFmtId="0" fontId="343" fillId="112" borderId="0" applyNumberFormat="0" applyBorder="0" applyAlignment="0" applyProtection="0"/>
    <xf numFmtId="0" fontId="343" fillId="113" borderId="0" applyNumberFormat="0" applyBorder="0" applyAlignment="0" applyProtection="0"/>
    <xf numFmtId="0" fontId="343" fillId="114" borderId="0" applyNumberFormat="0" applyBorder="0" applyAlignment="0" applyProtection="0"/>
    <xf numFmtId="0" fontId="343" fillId="115" borderId="0" applyNumberFormat="0" applyBorder="0" applyAlignment="0" applyProtection="0"/>
    <xf numFmtId="0" fontId="333" fillId="116" borderId="0" applyNumberFormat="0" applyBorder="0" applyAlignment="0" applyProtection="0"/>
    <xf numFmtId="0" fontId="337" fillId="117" borderId="85" applyNumberFormat="0" applyAlignment="0" applyProtection="0"/>
    <xf numFmtId="0" fontId="339" fillId="118" borderId="87" applyNumberFormat="0" applyAlignment="0" applyProtection="0"/>
    <xf numFmtId="43" fontId="323" fillId="0" borderId="0" applyFont="0" applyFill="0" applyBorder="0" applyAlignment="0" applyProtection="0"/>
    <xf numFmtId="41" fontId="323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0" fontId="341" fillId="0" borderId="0" applyNumberFormat="0" applyFill="0" applyBorder="0" applyAlignment="0" applyProtection="0"/>
    <xf numFmtId="0" fontId="332" fillId="119" borderId="0" applyNumberFormat="0" applyBorder="0" applyAlignment="0" applyProtection="0"/>
    <xf numFmtId="0" fontId="329" fillId="0" borderId="89" applyNumberFormat="0" applyFill="0" applyAlignment="0" applyProtection="0"/>
    <xf numFmtId="0" fontId="330" fillId="0" borderId="92" applyNumberFormat="0" applyFill="0" applyAlignment="0" applyProtection="0"/>
    <xf numFmtId="0" fontId="331" fillId="0" borderId="88" applyNumberFormat="0" applyFill="0" applyAlignment="0" applyProtection="0"/>
    <xf numFmtId="0" fontId="331" fillId="0" borderId="0" applyNumberFormat="0" applyFill="0" applyBorder="0" applyAlignment="0" applyProtection="0"/>
    <xf numFmtId="0" fontId="335" fillId="120" borderId="85" applyNumberFormat="0" applyAlignment="0" applyProtection="0"/>
    <xf numFmtId="0" fontId="338" fillId="0" borderId="91" applyNumberFormat="0" applyFill="0" applyAlignment="0" applyProtection="0"/>
    <xf numFmtId="0" fontId="334" fillId="121" borderId="0" applyNumberFormat="0" applyBorder="0" applyAlignment="0" applyProtection="0"/>
    <xf numFmtId="0" fontId="323" fillId="0" borderId="0"/>
    <xf numFmtId="0" fontId="100" fillId="0" borderId="0"/>
    <xf numFmtId="0" fontId="322" fillId="0" borderId="0"/>
    <xf numFmtId="0" fontId="322" fillId="0" borderId="0"/>
    <xf numFmtId="0" fontId="100" fillId="0" borderId="0"/>
    <xf numFmtId="0" fontId="322" fillId="0" borderId="0"/>
    <xf numFmtId="0" fontId="322" fillId="0" borderId="0"/>
    <xf numFmtId="0" fontId="322" fillId="0" borderId="0"/>
    <xf numFmtId="0" fontId="3" fillId="0" borderId="0"/>
    <xf numFmtId="0" fontId="307" fillId="0" borderId="0"/>
    <xf numFmtId="0" fontId="323" fillId="122" borderId="90" applyNumberFormat="0" applyFont="0" applyAlignment="0" applyProtection="0"/>
    <xf numFmtId="0" fontId="336" fillId="117" borderId="83" applyNumberFormat="0" applyAlignment="0" applyProtection="0"/>
    <xf numFmtId="9" fontId="323" fillId="0" borderId="0" applyFont="0" applyFill="0" applyBorder="0" applyAlignment="0" applyProtection="0"/>
    <xf numFmtId="0" fontId="363" fillId="0" borderId="0" applyNumberFormat="0" applyFill="0" applyBorder="0" applyAlignment="0" applyProtection="0"/>
    <xf numFmtId="0" fontId="342" fillId="0" borderId="84" applyNumberFormat="0" applyFill="0" applyAlignment="0" applyProtection="0"/>
    <xf numFmtId="0" fontId="340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1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2" fillId="0" borderId="0"/>
    <xf numFmtId="0" fontId="323" fillId="0" borderId="0"/>
    <xf numFmtId="9" fontId="323" fillId="0" borderId="0" applyFont="0" applyFill="0" applyBorder="0" applyAlignment="0" applyProtection="0"/>
    <xf numFmtId="0" fontId="322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8" borderId="0" applyNumberFormat="0" applyBorder="0" applyAlignment="0" applyProtection="0"/>
    <xf numFmtId="43" fontId="29" fillId="0" borderId="0" applyFont="0" applyFill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43" fontId="29" fillId="0" borderId="0" applyFont="0" applyFill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41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2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3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0" applyNumberFormat="0" applyBorder="0" applyAlignment="0" applyProtection="0"/>
    <xf numFmtId="0" fontId="1" fillId="80" borderId="90" applyNumberFormat="0" applyFont="0" applyAlignment="0" applyProtection="0"/>
    <xf numFmtId="0" fontId="1" fillId="83" borderId="0" applyNumberFormat="0" applyBorder="0" applyAlignment="0" applyProtection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5" borderId="0" applyNumberFormat="0" applyBorder="0" applyAlignment="0" applyProtection="0"/>
    <xf numFmtId="0" fontId="1" fillId="66" borderId="0" applyNumberFormat="0" applyBorder="0" applyAlignment="0" applyProtection="0"/>
    <xf numFmtId="0" fontId="1" fillId="69" borderId="0" applyNumberFormat="0" applyBorder="0" applyAlignment="0" applyProtection="0"/>
    <xf numFmtId="0" fontId="1" fillId="78" borderId="0" applyNumberFormat="0" applyBorder="0" applyAlignment="0" applyProtection="0"/>
    <xf numFmtId="0" fontId="1" fillId="83" borderId="0" applyNumberFormat="0" applyBorder="0" applyAlignment="0" applyProtection="0"/>
    <xf numFmtId="0" fontId="1" fillId="88" borderId="0" applyNumberFormat="0" applyBorder="0" applyAlignment="0" applyProtection="0"/>
    <xf numFmtId="0" fontId="1" fillId="65" borderId="0" applyNumberFormat="0" applyBorder="0" applyAlignment="0" applyProtection="0"/>
    <xf numFmtId="0" fontId="1" fillId="87" borderId="0" applyNumberFormat="0" applyBorder="0" applyAlignment="0" applyProtection="0"/>
    <xf numFmtId="0" fontId="1" fillId="76" borderId="0" applyNumberFormat="0" applyBorder="0" applyAlignment="0" applyProtection="0"/>
    <xf numFmtId="0" fontId="1" fillId="63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8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0" fontId="1" fillId="80" borderId="9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" fillId="0" borderId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4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9" fontId="323" fillId="0" borderId="0" applyFont="0" applyFill="0" applyBorder="0" applyAlignment="0" applyProtection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43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0" fontId="100" fillId="0" borderId="0"/>
  </cellStyleXfs>
  <cellXfs count="1654">
    <xf numFmtId="0" fontId="0" fillId="0" borderId="0" xfId="0" applyAlignment="1"/>
    <xf numFmtId="0" fontId="248" fillId="0" borderId="0" xfId="3010" applyFont="1" applyFill="1" applyAlignment="1">
      <alignment vertical="center"/>
    </xf>
    <xf numFmtId="326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322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0" xfId="3010" applyNumberFormat="1" applyFont="1" applyFill="1" applyAlignment="1">
      <alignment vertical="center"/>
    </xf>
    <xf numFmtId="322" fontId="248" fillId="0" borderId="0" xfId="3010" applyNumberFormat="1" applyFont="1" applyFill="1" applyBorder="1" applyAlignment="1">
      <alignment vertical="center"/>
    </xf>
    <xf numFmtId="168" fontId="248" fillId="0" borderId="0" xfId="2988" applyNumberFormat="1" applyFont="1" applyFill="1" applyBorder="1" applyAlignment="1">
      <alignment vertical="center" wrapText="1"/>
    </xf>
    <xf numFmtId="0" fontId="306" fillId="0" borderId="0" xfId="2988" applyFont="1" applyFill="1" applyAlignment="1">
      <alignment wrapText="1"/>
    </xf>
    <xf numFmtId="322" fontId="248" fillId="0" borderId="0" xfId="3010" applyNumberFormat="1" applyFont="1" applyBorder="1" applyAlignment="1">
      <alignment vertical="center"/>
    </xf>
    <xf numFmtId="168" fontId="250" fillId="0" borderId="0" xfId="3010" applyNumberFormat="1" applyFont="1" applyAlignment="1">
      <alignment vertical="center"/>
    </xf>
    <xf numFmtId="332" fontId="248" fillId="0" borderId="0" xfId="3010" applyNumberFormat="1" applyFont="1" applyFill="1" applyAlignment="1">
      <alignment vertical="center"/>
    </xf>
    <xf numFmtId="0" fontId="0" fillId="0" borderId="0" xfId="0" applyFill="1" applyAlignment="1"/>
    <xf numFmtId="332" fontId="248" fillId="0" borderId="0" xfId="3010" applyNumberFormat="1" applyFont="1" applyFill="1" applyBorder="1" applyAlignment="1">
      <alignment vertical="center"/>
    </xf>
    <xf numFmtId="168" fontId="248" fillId="58" borderId="0" xfId="3010" applyNumberFormat="1" applyFont="1" applyFill="1" applyBorder="1" applyAlignment="1">
      <alignment horizontal="center" vertical="center"/>
    </xf>
    <xf numFmtId="168" fontId="248" fillId="58" borderId="0" xfId="3010" applyNumberFormat="1" applyFont="1" applyFill="1" applyAlignment="1">
      <alignment horizontal="center" vertical="center"/>
    </xf>
    <xf numFmtId="0" fontId="250" fillId="59" borderId="0" xfId="3010" applyFont="1" applyFill="1" applyAlignment="1">
      <alignment vertical="center"/>
    </xf>
    <xf numFmtId="0" fontId="248" fillId="59" borderId="0" xfId="3010" applyFont="1" applyFill="1" applyBorder="1" applyAlignment="1">
      <alignment vertical="center"/>
    </xf>
    <xf numFmtId="0" fontId="248" fillId="59" borderId="0" xfId="3010" applyFont="1" applyFill="1" applyAlignment="1">
      <alignment horizontal="center" vertical="center"/>
    </xf>
    <xf numFmtId="168" fontId="248" fillId="59" borderId="0" xfId="3010" applyNumberFormat="1" applyFont="1" applyFill="1" applyAlignment="1">
      <alignment horizontal="center" vertical="center"/>
    </xf>
    <xf numFmtId="168" fontId="248" fillId="59" borderId="0" xfId="3010" applyNumberFormat="1" applyFont="1" applyFill="1" applyBorder="1" applyAlignment="1">
      <alignment horizontal="center" vertical="center"/>
    </xf>
    <xf numFmtId="0" fontId="315" fillId="0" borderId="0" xfId="3010" applyFont="1" applyFill="1" applyBorder="1" applyAlignment="1">
      <alignment vertical="center"/>
    </xf>
    <xf numFmtId="168" fontId="252" fillId="0" borderId="0" xfId="0" applyNumberFormat="1" applyFont="1" applyFill="1" applyBorder="1" applyAlignment="1">
      <alignment vertical="center" wrapText="1"/>
    </xf>
    <xf numFmtId="0" fontId="315" fillId="0" borderId="0" xfId="3010" applyFont="1" applyFill="1" applyAlignment="1">
      <alignment vertical="center"/>
    </xf>
    <xf numFmtId="9" fontId="248" fillId="59" borderId="0" xfId="1" applyFont="1" applyFill="1" applyAlignment="1">
      <alignment vertical="center"/>
    </xf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" borderId="0" xfId="3010" applyFont="1" applyFill="1" applyAlignment="1">
      <alignment vertical="center"/>
    </xf>
    <xf numFmtId="0" fontId="248" fillId="59" borderId="0" xfId="3010" applyFont="1" applyFill="1" applyAlignment="1">
      <alignment vertical="center"/>
    </xf>
    <xf numFmtId="0" fontId="315" fillId="59" borderId="0" xfId="3010" applyFont="1" applyFill="1" applyAlignment="1">
      <alignment vertical="center"/>
    </xf>
    <xf numFmtId="0" fontId="315" fillId="59" borderId="0" xfId="3010" applyFont="1" applyFill="1" applyAlignment="1"/>
    <xf numFmtId="334" fontId="248" fillId="58" borderId="0" xfId="3010" applyNumberFormat="1" applyFont="1" applyFill="1" applyBorder="1" applyAlignment="1">
      <alignment horizontal="center" vertical="center"/>
    </xf>
    <xf numFmtId="0" fontId="308" fillId="0" borderId="0" xfId="3010" applyFont="1" applyFill="1" applyAlignment="1">
      <alignment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0" fontId="324" fillId="0" borderId="0" xfId="2988" applyFont="1" applyFill="1" applyAlignment="1">
      <alignment horizontal="left" vertical="top" wrapText="1"/>
    </xf>
    <xf numFmtId="0" fontId="317" fillId="0" borderId="0" xfId="2988" applyFont="1" applyFill="1" applyAlignment="1">
      <alignment horizontal="right" vertical="center" wrapText="1"/>
    </xf>
    <xf numFmtId="168" fontId="319" fillId="55" borderId="0" xfId="0" applyNumberFormat="1" applyFont="1" applyFill="1" applyAlignment="1">
      <alignment horizontal="right" vertical="center" wrapText="1"/>
    </xf>
    <xf numFmtId="332" fontId="319" fillId="55" borderId="0" xfId="0" applyNumberFormat="1" applyFont="1" applyFill="1" applyBorder="1" applyAlignment="1">
      <alignment horizontal="right" vertical="center" wrapText="1"/>
    </xf>
    <xf numFmtId="334" fontId="319" fillId="0" borderId="0" xfId="0" applyNumberFormat="1" applyFont="1" applyFill="1" applyBorder="1" applyAlignment="1">
      <alignment horizontal="right"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2" fontId="248" fillId="55" borderId="0" xfId="0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248" fillId="55" borderId="0" xfId="3010" applyFont="1" applyFill="1" applyBorder="1" applyAlignment="1">
      <alignment vertical="center"/>
    </xf>
    <xf numFmtId="0" fontId="317" fillId="0" borderId="0" xfId="3010" applyFont="1" applyFill="1" applyBorder="1" applyAlignment="1">
      <alignment horizontal="right" wrapText="1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18" fillId="0" borderId="71" xfId="3010" applyFont="1" applyFill="1" applyBorder="1" applyAlignment="1">
      <alignment horizontal="right" vertical="center"/>
    </xf>
    <xf numFmtId="0" fontId="326" fillId="0" borderId="0" xfId="3010" applyFont="1" applyFill="1" applyAlignment="1">
      <alignment vertical="center" wrapText="1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168" fontId="248" fillId="0" borderId="71" xfId="3010" applyNumberFormat="1" applyFont="1" applyFill="1" applyBorder="1" applyAlignment="1">
      <alignment horizontal="right" vertical="center"/>
    </xf>
    <xf numFmtId="0" fontId="323" fillId="0" borderId="0" xfId="16678"/>
    <xf numFmtId="0" fontId="323" fillId="59" borderId="0" xfId="16678" applyFill="1"/>
    <xf numFmtId="0" fontId="357" fillId="59" borderId="0" xfId="16678" applyFont="1" applyFill="1"/>
    <xf numFmtId="339" fontId="250" fillId="54" borderId="70" xfId="15472" applyNumberFormat="1" applyFont="1" applyFill="1" applyBorder="1" applyAlignment="1">
      <alignment horizontal="right" vertical="center" wrapText="1"/>
    </xf>
    <xf numFmtId="0" fontId="24" fillId="0" borderId="0" xfId="15472" applyFont="1" applyBorder="1" applyAlignment="1">
      <alignment vertical="center"/>
    </xf>
    <xf numFmtId="0" fontId="250" fillId="0" borderId="0" xfId="3010" applyFont="1" applyFill="1" applyBorder="1" applyAlignment="1">
      <alignment horizontal="left" vertical="center" wrapText="1"/>
    </xf>
    <xf numFmtId="0" fontId="317" fillId="0" borderId="0" xfId="15472" applyFont="1" applyBorder="1" applyAlignment="1">
      <alignment horizontal="right" wrapText="1"/>
    </xf>
    <xf numFmtId="0" fontId="317" fillId="0" borderId="71" xfId="15472" applyFont="1" applyBorder="1" applyAlignment="1">
      <alignment horizontal="right" wrapText="1"/>
    </xf>
    <xf numFmtId="168" fontId="248" fillId="54" borderId="70" xfId="3010" applyNumberFormat="1" applyFont="1" applyFill="1" applyBorder="1" applyAlignment="1">
      <alignment vertical="center"/>
    </xf>
    <xf numFmtId="168" fontId="248" fillId="0" borderId="70" xfId="3010" applyNumberFormat="1" applyFont="1" applyFill="1" applyBorder="1" applyAlignment="1">
      <alignment vertical="center"/>
    </xf>
    <xf numFmtId="168" fontId="250" fillId="54" borderId="70" xfId="15472" applyNumberFormat="1" applyFont="1" applyFill="1" applyBorder="1" applyAlignment="1">
      <alignment horizontal="right" vertical="center" wrapText="1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Fill="1" applyBorder="1" applyAlignment="1">
      <alignment horizontal="right"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39" fontId="250" fillId="0" borderId="70" xfId="15472" applyNumberFormat="1" applyFont="1" applyFill="1" applyBorder="1" applyAlignment="1">
      <alignment horizontal="right" vertical="center" wrapText="1"/>
    </xf>
    <xf numFmtId="339" fontId="250" fillId="0" borderId="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/>
    <xf numFmtId="0" fontId="318" fillId="0" borderId="0" xfId="3010" applyFont="1" applyFill="1" applyBorder="1" applyAlignment="1">
      <alignment horizontal="right" vertical="center"/>
    </xf>
    <xf numFmtId="325" fontId="248" fillId="0" borderId="0" xfId="15472" applyNumberFormat="1" applyFont="1" applyFill="1" applyBorder="1" applyAlignment="1">
      <alignment horizontal="right" vertical="center" wrapText="1"/>
    </xf>
    <xf numFmtId="325" fontId="250" fillId="0" borderId="0" xfId="15472" applyNumberFormat="1" applyFont="1" applyFill="1" applyBorder="1" applyAlignment="1">
      <alignment horizontal="right" vertical="center" wrapText="1"/>
    </xf>
    <xf numFmtId="0" fontId="250" fillId="0" borderId="0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168" fontId="248" fillId="0" borderId="0" xfId="15472" applyNumberFormat="1" applyFont="1" applyBorder="1" applyAlignment="1">
      <alignment horizontal="right" vertical="center" wrapText="1"/>
    </xf>
    <xf numFmtId="168" fontId="250" fillId="0" borderId="70" xfId="15472" applyNumberFormat="1" applyFont="1" applyBorder="1" applyAlignment="1">
      <alignment horizontal="right" vertical="center" wrapText="1"/>
    </xf>
    <xf numFmtId="168" fontId="250" fillId="0" borderId="0" xfId="15472" applyNumberFormat="1" applyFont="1" applyBorder="1" applyAlignment="1">
      <alignment horizontal="right" vertical="center" wrapText="1"/>
    </xf>
    <xf numFmtId="168" fontId="317" fillId="0" borderId="0" xfId="15472" applyNumberFormat="1" applyFont="1" applyBorder="1" applyAlignment="1">
      <alignment horizontal="right" vertical="center" wrapText="1"/>
    </xf>
    <xf numFmtId="0" fontId="360" fillId="59" borderId="75" xfId="16678" applyFont="1" applyFill="1" applyBorder="1" applyAlignment="1">
      <alignment horizontal="center"/>
    </xf>
    <xf numFmtId="0" fontId="323" fillId="0" borderId="0" xfId="16678" applyFill="1" applyBorder="1"/>
    <xf numFmtId="0" fontId="360" fillId="59" borderId="0" xfId="16678" applyFont="1" applyFill="1" applyBorder="1" applyAlignment="1">
      <alignment horizontal="center"/>
    </xf>
    <xf numFmtId="0" fontId="323" fillId="59" borderId="0" xfId="16678" applyFill="1" applyBorder="1"/>
    <xf numFmtId="0" fontId="323" fillId="0" borderId="0" xfId="16678" applyBorder="1"/>
    <xf numFmtId="0" fontId="323" fillId="0" borderId="0" xfId="16678" applyFill="1"/>
    <xf numFmtId="211" fontId="358" fillId="59" borderId="0" xfId="4" applyNumberFormat="1" applyFont="1" applyFill="1"/>
    <xf numFmtId="332" fontId="319" fillId="55" borderId="0" xfId="8938" applyNumberFormat="1" applyFont="1" applyFill="1" applyBorder="1" applyAlignment="1">
      <alignment horizontal="right" vertical="center" wrapText="1"/>
    </xf>
    <xf numFmtId="325" fontId="248" fillId="55" borderId="0" xfId="0" applyNumberFormat="1" applyFont="1" applyFill="1" applyBorder="1" applyAlignment="1">
      <alignment horizontal="right" vertical="center" wrapText="1"/>
    </xf>
    <xf numFmtId="335" fontId="248" fillId="55" borderId="0" xfId="2988" applyNumberFormat="1" applyFont="1" applyFill="1" applyBorder="1" applyAlignment="1">
      <alignment horizontal="right" vertical="center" wrapText="1"/>
    </xf>
    <xf numFmtId="265" fontId="248" fillId="0" borderId="0" xfId="2988" applyNumberFormat="1" applyFont="1" applyFill="1" applyBorder="1" applyAlignment="1">
      <alignment horizontal="right" vertical="center" wrapText="1"/>
    </xf>
    <xf numFmtId="332" fontId="248" fillId="0" borderId="0" xfId="8938" applyNumberFormat="1" applyFont="1" applyFill="1" applyBorder="1" applyAlignment="1">
      <alignment horizontal="right" vertical="center" wrapText="1"/>
    </xf>
    <xf numFmtId="332" fontId="319" fillId="0" borderId="0" xfId="8938" applyNumberFormat="1" applyFont="1" applyFill="1" applyBorder="1" applyAlignment="1">
      <alignment horizontal="right" vertical="center" wrapText="1"/>
    </xf>
    <xf numFmtId="339" fontId="318" fillId="0" borderId="71" xfId="15472" applyNumberFormat="1" applyFont="1" applyFill="1" applyBorder="1" applyAlignment="1">
      <alignment horizontal="right" vertical="center" wrapText="1"/>
    </xf>
    <xf numFmtId="3" fontId="248" fillId="0" borderId="0" xfId="15472" applyNumberFormat="1" applyFont="1" applyBorder="1" applyAlignment="1">
      <alignment horizontal="right" wrapText="1"/>
    </xf>
    <xf numFmtId="0" fontId="248" fillId="0" borderId="0" xfId="15472" applyFont="1" applyBorder="1" applyAlignment="1">
      <alignment horizontal="right" wrapText="1"/>
    </xf>
    <xf numFmtId="168" fontId="248" fillId="0" borderId="71" xfId="15472" applyNumberFormat="1" applyFont="1" applyBorder="1" applyAlignment="1">
      <alignment horizontal="right" wrapText="1"/>
    </xf>
    <xf numFmtId="168" fontId="248" fillId="54" borderId="71" xfId="15472" applyNumberFormat="1" applyFont="1" applyFill="1" applyBorder="1" applyAlignment="1">
      <alignment horizontal="right" wrapText="1"/>
    </xf>
    <xf numFmtId="3" fontId="250" fillId="0" borderId="0" xfId="15472" applyNumberFormat="1" applyFont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169" fontId="250" fillId="0" borderId="0" xfId="15472" applyNumberFormat="1" applyFont="1" applyFill="1" applyBorder="1" applyAlignment="1">
      <alignment horizontal="right" vertical="center" wrapText="1"/>
    </xf>
    <xf numFmtId="169" fontId="250" fillId="0" borderId="70" xfId="15472" applyNumberFormat="1" applyFont="1" applyFill="1" applyBorder="1" applyAlignment="1">
      <alignment horizontal="right" vertical="center" wrapText="1"/>
    </xf>
    <xf numFmtId="168" fontId="361" fillId="0" borderId="0" xfId="24652" applyNumberFormat="1" applyAlignment="1">
      <alignment vertical="center"/>
    </xf>
    <xf numFmtId="0" fontId="324" fillId="55" borderId="0" xfId="0" applyFont="1" applyFill="1"/>
    <xf numFmtId="0" fontId="317" fillId="61" borderId="0" xfId="0" applyFont="1" applyFill="1" applyAlignment="1">
      <alignment horizontal="right" vertical="center" wrapText="1"/>
    </xf>
    <xf numFmtId="0" fontId="319" fillId="61" borderId="0" xfId="0" applyFont="1" applyFill="1" applyAlignment="1">
      <alignment vertical="center" wrapText="1"/>
    </xf>
    <xf numFmtId="0" fontId="320" fillId="61" borderId="71" xfId="0" applyFont="1" applyFill="1" applyBorder="1" applyAlignment="1">
      <alignment vertical="center" wrapText="1"/>
    </xf>
    <xf numFmtId="0" fontId="318" fillId="61" borderId="71" xfId="0" applyFont="1" applyFill="1" applyBorder="1" applyAlignment="1">
      <alignment horizontal="right" vertical="center" wrapText="1"/>
    </xf>
    <xf numFmtId="0" fontId="319" fillId="61" borderId="70" xfId="0" applyFont="1" applyFill="1" applyBorder="1" applyAlignment="1">
      <alignment vertical="center" wrapText="1"/>
    </xf>
    <xf numFmtId="0" fontId="319" fillId="61" borderId="71" xfId="0" applyFont="1" applyFill="1" applyBorder="1" applyAlignment="1">
      <alignment vertical="center" wrapText="1"/>
    </xf>
    <xf numFmtId="0" fontId="320" fillId="61" borderId="70" xfId="0" applyFont="1" applyFill="1" applyBorder="1" applyAlignment="1">
      <alignment vertical="center" wrapText="1"/>
    </xf>
    <xf numFmtId="0" fontId="317" fillId="55" borderId="0" xfId="0" applyFont="1" applyFill="1" applyAlignment="1">
      <alignment horizontal="right" vertical="center" wrapText="1"/>
    </xf>
    <xf numFmtId="0" fontId="318" fillId="55" borderId="71" xfId="0" applyFont="1" applyFill="1" applyBorder="1" applyAlignment="1">
      <alignment horizontal="right" vertical="center" wrapText="1"/>
    </xf>
    <xf numFmtId="0" fontId="318" fillId="0" borderId="0" xfId="15472" applyFont="1" applyBorder="1" applyAlignment="1">
      <alignment horizontal="right" wrapText="1"/>
    </xf>
    <xf numFmtId="332" fontId="248" fillId="58" borderId="0" xfId="3010" applyNumberFormat="1" applyFont="1" applyFill="1" applyBorder="1" applyAlignment="1">
      <alignment horizontal="center"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62" fillId="59" borderId="0" xfId="16678" applyFont="1" applyFill="1"/>
    <xf numFmtId="332" fontId="248" fillId="59" borderId="0" xfId="3010" applyNumberFormat="1" applyFont="1" applyFill="1" applyBorder="1" applyAlignment="1">
      <alignment horizontal="center" vertical="center"/>
    </xf>
    <xf numFmtId="168" fontId="318" fillId="0" borderId="0" xfId="0" applyNumberFormat="1" applyFont="1" applyFill="1" applyBorder="1" applyAlignment="1">
      <alignment horizontal="right" wrapText="1"/>
    </xf>
    <xf numFmtId="323" fontId="248" fillId="55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23" fontId="319" fillId="55" borderId="0" xfId="8938" applyNumberFormat="1" applyFont="1" applyFill="1" applyBorder="1" applyAlignment="1">
      <alignment horizontal="right" vertical="center" wrapText="1"/>
    </xf>
    <xf numFmtId="0" fontId="319" fillId="55" borderId="0" xfId="0" applyFont="1" applyFill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24" fillId="0" borderId="0" xfId="3010" applyFont="1" applyFill="1" applyAlignment="1">
      <alignment vertical="center" wrapText="1"/>
    </xf>
    <xf numFmtId="0" fontId="317" fillId="0" borderId="0" xfId="2988" applyFont="1" applyFill="1" applyBorder="1" applyAlignment="1">
      <alignment horizontal="right" wrapText="1"/>
    </xf>
    <xf numFmtId="0" fontId="317" fillId="0" borderId="0" xfId="2988" applyFont="1" applyFill="1" applyAlignment="1">
      <alignment horizontal="right" wrapText="1"/>
    </xf>
    <xf numFmtId="0" fontId="324" fillId="0" borderId="0" xfId="16678" applyFont="1"/>
    <xf numFmtId="279" fontId="248" fillId="58" borderId="0" xfId="3010" applyNumberFormat="1" applyFont="1" applyFill="1" applyBorder="1" applyAlignment="1">
      <alignment horizontal="center" vertical="center"/>
    </xf>
    <xf numFmtId="325" fontId="248" fillId="0" borderId="0" xfId="2988" applyNumberFormat="1" applyFont="1" applyFill="1" applyBorder="1" applyAlignment="1">
      <alignment horizontal="right" vertical="center" wrapText="1"/>
    </xf>
    <xf numFmtId="168" fontId="248" fillId="55" borderId="0" xfId="20873" applyNumberFormat="1" applyFont="1" applyFill="1" applyBorder="1" applyAlignment="1">
      <alignment horizontal="right" vertical="center" wrapText="1"/>
    </xf>
    <xf numFmtId="169" fontId="248" fillId="58" borderId="0" xfId="1" applyNumberFormat="1" applyFont="1" applyFill="1" applyBorder="1" applyAlignment="1">
      <alignment horizontal="center" vertical="center"/>
    </xf>
    <xf numFmtId="0" fontId="319" fillId="0" borderId="0" xfId="24764" applyFont="1" applyFill="1" applyBorder="1" applyAlignment="1">
      <alignment vertical="center" wrapText="1"/>
    </xf>
    <xf numFmtId="299" fontId="248" fillId="0" borderId="0" xfId="2979" applyNumberFormat="1" applyFont="1" applyFill="1" applyBorder="1" applyAlignment="1">
      <alignment horizontal="right" vertical="center" wrapText="1"/>
    </xf>
    <xf numFmtId="0" fontId="0" fillId="0" borderId="0" xfId="0" applyAlignment="1"/>
    <xf numFmtId="168" fontId="318" fillId="0" borderId="0" xfId="0" applyNumberFormat="1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wrapText="1"/>
    </xf>
    <xf numFmtId="168" fontId="320" fillId="55" borderId="0" xfId="0" applyNumberFormat="1" applyFont="1" applyFill="1" applyBorder="1" applyAlignment="1">
      <alignment horizontal="right" vertical="center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0" fontId="248" fillId="0" borderId="0" xfId="2988" applyFont="1" applyFill="1" applyBorder="1" applyAlignment="1">
      <alignment horizontal="right" vertical="center" wrapText="1"/>
    </xf>
    <xf numFmtId="330" fontId="318" fillId="0" borderId="0" xfId="2988" applyNumberFormat="1" applyFont="1" applyFill="1" applyBorder="1" applyAlignment="1">
      <alignment horizontal="right" wrapText="1"/>
    </xf>
    <xf numFmtId="168" fontId="250" fillId="55" borderId="0" xfId="2988" applyNumberFormat="1" applyFont="1" applyFill="1" applyBorder="1" applyAlignment="1">
      <alignment vertical="center" wrapText="1"/>
    </xf>
    <xf numFmtId="332" fontId="318" fillId="0" borderId="0" xfId="8938" applyNumberFormat="1" applyFont="1" applyFill="1" applyBorder="1" applyAlignment="1">
      <alignment horizontal="right" wrapText="1"/>
    </xf>
    <xf numFmtId="325" fontId="319" fillId="55" borderId="0" xfId="8938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/>
    </xf>
    <xf numFmtId="9" fontId="248" fillId="58" borderId="0" xfId="1" applyNumberFormat="1" applyFont="1" applyFill="1" applyBorder="1" applyAlignment="1">
      <alignment horizontal="center" vertical="center"/>
    </xf>
    <xf numFmtId="0" fontId="248" fillId="123" borderId="0" xfId="3010" applyFont="1" applyFill="1" applyAlignment="1">
      <alignment vertical="center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18" fillId="0" borderId="0" xfId="3010" applyFont="1" applyFill="1" applyAlignment="1">
      <alignment horizontal="right" vertical="center"/>
    </xf>
    <xf numFmtId="340" fontId="248" fillId="0" borderId="0" xfId="15472" applyNumberFormat="1" applyFont="1" applyFill="1" applyBorder="1" applyAlignment="1">
      <alignment horizontal="right" vertical="center" wrapText="1"/>
    </xf>
    <xf numFmtId="340" fontId="248" fillId="0" borderId="70" xfId="15472" applyNumberFormat="1" applyFont="1" applyFill="1" applyBorder="1" applyAlignment="1">
      <alignment horizontal="right" vertical="center" wrapText="1"/>
    </xf>
    <xf numFmtId="0" fontId="319" fillId="61" borderId="0" xfId="0" applyFont="1" applyFill="1" applyAlignment="1">
      <alignment horizontal="right" vertical="center" wrapText="1"/>
    </xf>
    <xf numFmtId="0" fontId="0" fillId="0" borderId="0" xfId="0" applyAlignment="1"/>
    <xf numFmtId="0" fontId="324" fillId="0" borderId="0" xfId="17255" applyFont="1" applyFill="1" applyAlignment="1">
      <alignment horizontal="left" vertical="center" wrapText="1"/>
    </xf>
    <xf numFmtId="0" fontId="324" fillId="0" borderId="0" xfId="17255" applyFont="1" applyFill="1" applyAlignment="1">
      <alignment vertical="center" wrapText="1"/>
    </xf>
    <xf numFmtId="0" fontId="307" fillId="0" borderId="71" xfId="0" applyFont="1" applyBorder="1" applyAlignment="1"/>
    <xf numFmtId="0" fontId="248" fillId="58" borderId="0" xfId="3010" applyNumberFormat="1" applyFont="1" applyFill="1" applyBorder="1" applyAlignment="1">
      <alignment horizontal="center" vertical="center"/>
    </xf>
    <xf numFmtId="0" fontId="368" fillId="0" borderId="0" xfId="2988" applyFont="1" applyFill="1" applyAlignment="1">
      <alignment vertical="center" wrapText="1"/>
    </xf>
    <xf numFmtId="348" fontId="248" fillId="58" borderId="0" xfId="3010" applyNumberFormat="1" applyFont="1" applyFill="1" applyBorder="1" applyAlignment="1">
      <alignment horizontal="center" vertical="center"/>
    </xf>
    <xf numFmtId="0" fontId="248" fillId="0" borderId="0" xfId="3010" applyFont="1" applyAlignment="1">
      <alignment horizontal="right" vertical="center"/>
    </xf>
    <xf numFmtId="0" fontId="325" fillId="0" borderId="0" xfId="0" applyFont="1" applyAlignment="1"/>
    <xf numFmtId="168" fontId="248" fillId="54" borderId="71" xfId="3010" applyNumberFormat="1" applyFont="1" applyFill="1" applyBorder="1" applyAlignment="1">
      <alignment horizontal="right" vertical="center"/>
    </xf>
    <xf numFmtId="0" fontId="0" fillId="0" borderId="0" xfId="0"/>
    <xf numFmtId="0" fontId="315" fillId="59" borderId="0" xfId="3010" applyFont="1" applyFill="1" applyBorder="1" applyAlignment="1">
      <alignment vertical="center"/>
    </xf>
    <xf numFmtId="9" fontId="248" fillId="59" borderId="0" xfId="1" applyFont="1" applyFill="1" applyBorder="1" applyAlignment="1">
      <alignment horizontal="center" vertical="center"/>
    </xf>
    <xf numFmtId="0" fontId="248" fillId="59" borderId="0" xfId="3010" applyNumberFormat="1" applyFont="1" applyFill="1" applyAlignment="1">
      <alignment vertical="center"/>
    </xf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332" fontId="248" fillId="0" borderId="0" xfId="2988" applyNumberFormat="1" applyFont="1" applyFill="1" applyBorder="1" applyAlignment="1">
      <alignment horizontal="right" vertical="center" wrapText="1"/>
    </xf>
    <xf numFmtId="0" fontId="307" fillId="0" borderId="0" xfId="0" applyFont="1" applyAlignment="1"/>
    <xf numFmtId="338" fontId="248" fillId="58" borderId="0" xfId="3010" applyNumberFormat="1" applyFont="1" applyFill="1" applyBorder="1" applyAlignment="1">
      <alignment horizontal="center" vertical="center"/>
    </xf>
    <xf numFmtId="332" fontId="369" fillId="0" borderId="0" xfId="0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72" fillId="0" borderId="0" xfId="15472" applyFont="1" applyBorder="1" applyAlignment="1">
      <alignment vertical="center"/>
    </xf>
    <xf numFmtId="0" fontId="317" fillId="0" borderId="70" xfId="15472" applyFont="1" applyBorder="1" applyAlignment="1">
      <alignment horizontal="right" wrapText="1"/>
    </xf>
    <xf numFmtId="168" fontId="318" fillId="0" borderId="71" xfId="15472" applyNumberFormat="1" applyFont="1" applyBorder="1" applyAlignment="1">
      <alignment horizontal="right" wrapText="1"/>
    </xf>
    <xf numFmtId="168" fontId="248" fillId="0" borderId="70" xfId="15472" applyNumberFormat="1" applyFont="1" applyBorder="1" applyAlignment="1">
      <alignment horizontal="right" wrapText="1"/>
    </xf>
    <xf numFmtId="168" fontId="248" fillId="54" borderId="70" xfId="15472" applyNumberFormat="1" applyFont="1" applyFill="1" applyBorder="1" applyAlignment="1">
      <alignment horizontal="right" wrapText="1"/>
    </xf>
    <xf numFmtId="330" fontId="323" fillId="59" borderId="0" xfId="1" applyNumberFormat="1" applyFont="1" applyFill="1"/>
    <xf numFmtId="168" fontId="323" fillId="0" borderId="0" xfId="16678" applyNumberFormat="1"/>
    <xf numFmtId="340" fontId="248" fillId="54" borderId="70" xfId="15472" applyNumberFormat="1" applyFont="1" applyFill="1" applyBorder="1" applyAlignment="1">
      <alignment horizontal="right" vertical="center" wrapText="1"/>
    </xf>
    <xf numFmtId="0" fontId="323" fillId="59" borderId="0" xfId="16678" applyNumberFormat="1" applyFill="1"/>
    <xf numFmtId="9" fontId="323" fillId="59" borderId="0" xfId="1" applyNumberFormat="1" applyFont="1" applyFill="1" applyAlignment="1">
      <alignment horizontal="center"/>
    </xf>
    <xf numFmtId="0" fontId="324" fillId="0" borderId="0" xfId="3010" applyFont="1" applyFill="1" applyAlignment="1">
      <alignment horizontal="left" vertical="center" wrapText="1"/>
    </xf>
    <xf numFmtId="0" fontId="317" fillId="55" borderId="0" xfId="2988" applyFont="1" applyFill="1" applyAlignment="1">
      <alignment horizontal="right" wrapText="1"/>
    </xf>
    <xf numFmtId="0" fontId="0" fillId="0" borderId="0" xfId="0" applyAlignment="1"/>
    <xf numFmtId="0" fontId="315" fillId="59" borderId="0" xfId="3010" applyFont="1" applyFill="1" applyAlignment="1">
      <alignment horizontal="right" vertical="center" indent="1"/>
    </xf>
    <xf numFmtId="0" fontId="248" fillId="59" borderId="0" xfId="3010" applyFont="1" applyFill="1" applyAlignment="1">
      <alignment horizontal="left" vertical="center" indent="2"/>
    </xf>
    <xf numFmtId="0" fontId="248" fillId="59" borderId="0" xfId="3010" applyFont="1" applyFill="1" applyAlignment="1">
      <alignment horizontal="right" vertical="center"/>
    </xf>
    <xf numFmtId="0" fontId="374" fillId="59" borderId="0" xfId="16678" applyFont="1" applyFill="1"/>
    <xf numFmtId="9" fontId="248" fillId="59" borderId="0" xfId="3010" applyNumberFormat="1" applyFont="1" applyFill="1" applyAlignment="1">
      <alignment horizontal="center" vertical="center"/>
    </xf>
    <xf numFmtId="0" fontId="0" fillId="0" borderId="0" xfId="0" applyAlignment="1"/>
    <xf numFmtId="324" fontId="248" fillId="54" borderId="0" xfId="2979" applyNumberFormat="1" applyFont="1" applyFill="1" applyBorder="1" applyAlignment="1">
      <alignment horizontal="right"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0" fontId="315" fillId="0" borderId="0" xfId="3010" applyFont="1" applyFill="1" applyBorder="1" applyAlignment="1">
      <alignment horizontal="center" vertical="center" wrapText="1"/>
    </xf>
    <xf numFmtId="0" fontId="315" fillId="0" borderId="0" xfId="3010" applyFont="1" applyFill="1" applyBorder="1" applyAlignment="1">
      <alignment horizontal="center" vertical="center"/>
    </xf>
    <xf numFmtId="168" fontId="252" fillId="0" borderId="0" xfId="0" applyNumberFormat="1" applyFont="1" applyFill="1" applyBorder="1" applyAlignment="1">
      <alignment horizontal="center" vertical="center" wrapText="1"/>
    </xf>
    <xf numFmtId="332" fontId="248" fillId="0" borderId="0" xfId="3010" applyNumberFormat="1" applyFont="1" applyFill="1" applyAlignment="1">
      <alignment horizontal="center" vertical="center"/>
    </xf>
    <xf numFmtId="324" fontId="248" fillId="54" borderId="0" xfId="2979" applyNumberFormat="1" applyFont="1" applyFill="1" applyBorder="1" applyAlignment="1">
      <alignment horizontal="center" vertical="center" wrapText="1"/>
    </xf>
    <xf numFmtId="168" fontId="248" fillId="0" borderId="0" xfId="301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48" fillId="0" borderId="0" xfId="3010" applyFont="1" applyFill="1" applyBorder="1" applyAlignment="1">
      <alignment horizontal="center" vertical="center"/>
    </xf>
    <xf numFmtId="332" fontId="248" fillId="0" borderId="0" xfId="3010" applyNumberFormat="1" applyFont="1" applyFill="1" applyBorder="1" applyAlignment="1">
      <alignment horizontal="center" vertical="center"/>
    </xf>
    <xf numFmtId="0" fontId="315" fillId="59" borderId="0" xfId="3010" applyFont="1" applyFill="1" applyAlignment="1">
      <alignment horizontal="center" vertical="center"/>
    </xf>
    <xf numFmtId="0" fontId="182" fillId="125" borderId="0" xfId="0" applyFont="1" applyFill="1" applyAlignment="1"/>
    <xf numFmtId="0" fontId="315" fillId="125" borderId="0" xfId="3010" applyFont="1" applyFill="1" applyAlignment="1">
      <alignment vertical="center"/>
    </xf>
    <xf numFmtId="0" fontId="248" fillId="59" borderId="0" xfId="3010" applyFont="1" applyFill="1" applyAlignment="1"/>
    <xf numFmtId="169" fontId="248" fillId="58" borderId="0" xfId="3010" applyNumberFormat="1" applyFont="1" applyFill="1" applyAlignment="1"/>
    <xf numFmtId="332" fontId="248" fillId="59" borderId="0" xfId="3010" applyNumberFormat="1" applyFont="1" applyFill="1" applyAlignment="1">
      <alignment horizontal="center"/>
    </xf>
    <xf numFmtId="9" fontId="248" fillId="59" borderId="0" xfId="1" applyFont="1" applyFill="1" applyAlignment="1">
      <alignment horizontal="center"/>
    </xf>
    <xf numFmtId="169" fontId="248" fillId="58" borderId="0" xfId="3010" applyNumberFormat="1" applyFont="1" applyFill="1" applyAlignment="1">
      <alignment vertical="center"/>
    </xf>
    <xf numFmtId="9" fontId="248" fillId="59" borderId="0" xfId="1" applyFont="1" applyFill="1" applyAlignment="1">
      <alignment horizontal="center" vertical="center"/>
    </xf>
    <xf numFmtId="9" fontId="248" fillId="58" borderId="0" xfId="1" applyFont="1" applyFill="1" applyBorder="1" applyAlignment="1">
      <alignment horizontal="center" vertical="center"/>
    </xf>
    <xf numFmtId="0" fontId="315" fillId="59" borderId="0" xfId="3010" applyFont="1" applyFill="1" applyAlignment="1">
      <alignment horizontal="center"/>
    </xf>
    <xf numFmtId="350" fontId="248" fillId="59" borderId="0" xfId="3010" applyNumberFormat="1" applyFont="1" applyFill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75" fillId="0" borderId="0" xfId="34621" applyFont="1" applyAlignment="1"/>
    <xf numFmtId="0" fontId="248" fillId="0" borderId="0" xfId="34621" applyFont="1" applyAlignment="1">
      <alignment horizontal="right"/>
    </xf>
    <xf numFmtId="0" fontId="248" fillId="59" borderId="100" xfId="3010" applyFont="1" applyFill="1" applyBorder="1" applyAlignment="1">
      <alignment vertical="center"/>
    </xf>
    <xf numFmtId="0" fontId="248" fillId="59" borderId="101" xfId="3010" applyFont="1" applyFill="1" applyBorder="1" applyAlignment="1">
      <alignment vertical="center"/>
    </xf>
    <xf numFmtId="0" fontId="248" fillId="59" borderId="102" xfId="3010" applyFont="1" applyFill="1" applyBorder="1" applyAlignment="1">
      <alignment vertical="center"/>
    </xf>
    <xf numFmtId="9" fontId="248" fillId="0" borderId="0" xfId="3010" applyNumberFormat="1" applyFont="1" applyFill="1" applyAlignment="1">
      <alignment vertical="center"/>
    </xf>
    <xf numFmtId="330" fontId="248" fillId="0" borderId="0" xfId="3010" applyNumberFormat="1" applyFont="1" applyFill="1" applyAlignment="1">
      <alignment vertical="center"/>
    </xf>
    <xf numFmtId="9" fontId="248" fillId="59" borderId="0" xfId="1" applyNumberFormat="1" applyFont="1" applyFill="1" applyBorder="1" applyAlignment="1">
      <alignment horizontal="center" vertical="center"/>
    </xf>
    <xf numFmtId="169" fontId="248" fillId="59" borderId="0" xfId="1" applyNumberFormat="1" applyFont="1" applyFill="1" applyAlignment="1">
      <alignment horizontal="center" vertical="center"/>
    </xf>
    <xf numFmtId="9" fontId="248" fillId="59" borderId="0" xfId="1" applyNumberFormat="1" applyFont="1" applyFill="1" applyAlignment="1">
      <alignment horizontal="center" vertical="center"/>
    </xf>
    <xf numFmtId="355" fontId="248" fillId="0" borderId="0" xfId="3010" applyNumberFormat="1" applyFont="1" applyAlignment="1">
      <alignment vertical="center"/>
    </xf>
    <xf numFmtId="353" fontId="248" fillId="0" borderId="0" xfId="3010" applyNumberFormat="1" applyFont="1" applyAlignment="1">
      <alignment vertical="center"/>
    </xf>
    <xf numFmtId="0" fontId="324" fillId="0" borderId="0" xfId="3010" applyFont="1" applyFill="1" applyAlignment="1">
      <alignment vertical="center"/>
    </xf>
    <xf numFmtId="0" fontId="317" fillId="61" borderId="0" xfId="0" applyFont="1" applyFill="1" applyAlignment="1">
      <alignment horizontal="left" wrapText="1"/>
    </xf>
    <xf numFmtId="0" fontId="317" fillId="61" borderId="0" xfId="0" applyFont="1" applyFill="1" applyAlignment="1">
      <alignment horizontal="right" wrapText="1"/>
    </xf>
    <xf numFmtId="0" fontId="317" fillId="0" borderId="0" xfId="0" applyFont="1" applyFill="1" applyBorder="1" applyAlignment="1">
      <alignment horizontal="right" wrapText="1"/>
    </xf>
    <xf numFmtId="0" fontId="317" fillId="61" borderId="0" xfId="0" applyFont="1" applyFill="1" applyBorder="1" applyAlignment="1">
      <alignment horizontal="right" wrapText="1"/>
    </xf>
    <xf numFmtId="168" fontId="248" fillId="0" borderId="97" xfId="34624" applyNumberFormat="1" applyFont="1" applyFill="1" applyBorder="1" applyAlignment="1">
      <alignment horizontal="right" wrapText="1"/>
    </xf>
    <xf numFmtId="0" fontId="248" fillId="61" borderId="0" xfId="34671" applyFont="1" applyFill="1" applyBorder="1" applyAlignment="1">
      <alignment horizontal="left" wrapText="1"/>
    </xf>
    <xf numFmtId="0" fontId="319" fillId="0" borderId="70" xfId="17255" applyFont="1" applyFill="1" applyBorder="1" applyAlignment="1">
      <alignment vertical="center" wrapText="1"/>
    </xf>
    <xf numFmtId="0" fontId="319" fillId="0" borderId="71" xfId="17255" applyFont="1" applyFill="1" applyBorder="1" applyAlignment="1">
      <alignment vertical="center" wrapText="1"/>
    </xf>
    <xf numFmtId="0" fontId="320" fillId="0" borderId="70" xfId="17255" applyFont="1" applyFill="1" applyBorder="1" applyAlignment="1">
      <alignment vertical="center" wrapText="1"/>
    </xf>
    <xf numFmtId="0" fontId="319" fillId="0" borderId="0" xfId="17255" applyFont="1" applyFill="1" applyAlignment="1">
      <alignment vertical="center" wrapText="1"/>
    </xf>
    <xf numFmtId="0" fontId="319" fillId="0" borderId="0" xfId="17255" applyFont="1" applyFill="1" applyBorder="1" applyAlignment="1">
      <alignment vertical="center" wrapText="1"/>
    </xf>
    <xf numFmtId="0" fontId="319" fillId="61" borderId="0" xfId="17255" applyFont="1" applyFill="1" applyBorder="1" applyAlignment="1">
      <alignment vertical="center" wrapText="1"/>
    </xf>
    <xf numFmtId="0" fontId="321" fillId="0" borderId="71" xfId="17255" applyFont="1" applyFill="1" applyBorder="1" applyAlignment="1">
      <alignment vertical="center" wrapText="1"/>
    </xf>
    <xf numFmtId="324" fontId="248" fillId="54" borderId="0" xfId="2979" applyNumberFormat="1" applyFont="1" applyFill="1" applyBorder="1" applyAlignment="1">
      <alignment horizontal="right"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168" fontId="367" fillId="0" borderId="70" xfId="3010" applyNumberFormat="1" applyFont="1" applyFill="1" applyBorder="1" applyAlignment="1">
      <alignment horizontal="right" vertical="center"/>
    </xf>
    <xf numFmtId="168" fontId="310" fillId="0" borderId="71" xfId="3010" applyNumberFormat="1" applyFont="1" applyFill="1" applyBorder="1" applyAlignment="1">
      <alignment horizontal="right" vertical="center"/>
    </xf>
    <xf numFmtId="168" fontId="370" fillId="0" borderId="0" xfId="3010" applyNumberFormat="1" applyFont="1" applyFill="1" applyBorder="1" applyAlignment="1">
      <alignment horizontal="right" vertical="center"/>
    </xf>
    <xf numFmtId="330" fontId="319" fillId="0" borderId="70" xfId="3010" applyNumberFormat="1" applyFont="1" applyFill="1" applyBorder="1" applyAlignment="1">
      <alignment horizontal="right" vertical="center"/>
    </xf>
    <xf numFmtId="349" fontId="319" fillId="0" borderId="0" xfId="3010" applyNumberFormat="1" applyFont="1" applyFill="1" applyBorder="1" applyAlignment="1">
      <alignment horizontal="right" vertical="center"/>
    </xf>
    <xf numFmtId="331" fontId="248" fillId="54" borderId="0" xfId="3010" quotePrefix="1" applyNumberFormat="1" applyFont="1" applyFill="1" applyBorder="1" applyAlignment="1">
      <alignment horizontal="right" vertical="center"/>
    </xf>
    <xf numFmtId="331" fontId="319" fillId="0" borderId="0" xfId="3010" quotePrefix="1" applyNumberFormat="1" applyFont="1" applyFill="1" applyBorder="1" applyAlignment="1">
      <alignment horizontal="right" vertical="center"/>
    </xf>
    <xf numFmtId="330" fontId="319" fillId="0" borderId="0" xfId="3010" applyNumberFormat="1" applyFont="1" applyFill="1" applyBorder="1" applyAlignment="1">
      <alignment horizontal="right" vertical="center"/>
    </xf>
    <xf numFmtId="9" fontId="319" fillId="0" borderId="0" xfId="3010" applyNumberFormat="1" applyFont="1" applyFill="1" applyBorder="1" applyAlignment="1">
      <alignment horizontal="right" vertical="center"/>
    </xf>
    <xf numFmtId="10" fontId="248" fillId="0" borderId="0" xfId="24801" applyNumberFormat="1" applyFont="1" applyFill="1" applyBorder="1" applyAlignment="1">
      <alignment horizontal="right" vertical="center"/>
    </xf>
    <xf numFmtId="330" fontId="248" fillId="54" borderId="0" xfId="3010" quotePrefix="1" applyNumberFormat="1" applyFont="1" applyFill="1" applyBorder="1" applyAlignment="1">
      <alignment horizontal="right" vertical="center"/>
    </xf>
    <xf numFmtId="330" fontId="319" fillId="0" borderId="0" xfId="3010" quotePrefix="1" applyNumberFormat="1" applyFont="1" applyFill="1" applyBorder="1" applyAlignment="1">
      <alignment horizontal="right" vertical="center"/>
    </xf>
    <xf numFmtId="330" fontId="248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0" fontId="250" fillId="0" borderId="0" xfId="3010" applyFont="1" applyFill="1" applyBorder="1" applyAlignment="1">
      <alignment vertical="center"/>
    </xf>
    <xf numFmtId="0" fontId="248" fillId="0" borderId="71" xfId="3010" applyFont="1" applyBorder="1" applyAlignment="1">
      <alignment horizontal="right" vertical="center"/>
    </xf>
    <xf numFmtId="0" fontId="248" fillId="61" borderId="71" xfId="24797" applyFont="1" applyFill="1" applyBorder="1" applyAlignment="1">
      <alignment horizontal="right" wrapText="1"/>
    </xf>
    <xf numFmtId="349" fontId="248" fillId="54" borderId="70" xfId="3010" applyNumberFormat="1" applyFont="1" applyFill="1" applyBorder="1" applyAlignment="1">
      <alignment horizontal="right" vertical="center"/>
    </xf>
    <xf numFmtId="349" fontId="248" fillId="54" borderId="0" xfId="3010" applyNumberFormat="1" applyFont="1" applyFill="1" applyBorder="1" applyAlignment="1">
      <alignment horizontal="right" vertical="center"/>
    </xf>
    <xf numFmtId="349" fontId="248" fillId="54" borderId="71" xfId="3010" applyNumberFormat="1" applyFont="1" applyFill="1" applyBorder="1" applyAlignment="1">
      <alignment horizontal="right" vertical="center"/>
    </xf>
    <xf numFmtId="349" fontId="250" fillId="54" borderId="70" xfId="3010" applyNumberFormat="1" applyFont="1" applyFill="1" applyBorder="1" applyAlignment="1">
      <alignment horizontal="right" vertical="center"/>
    </xf>
    <xf numFmtId="349" fontId="371" fillId="0" borderId="0" xfId="3010" applyNumberFormat="1" applyFont="1" applyFill="1" applyBorder="1" applyAlignment="1">
      <alignment horizontal="right" vertical="center"/>
    </xf>
    <xf numFmtId="332" fontId="248" fillId="54" borderId="0" xfId="3010" applyNumberFormat="1" applyFont="1" applyFill="1" applyBorder="1" applyAlignment="1">
      <alignment horizontal="right" vertical="center"/>
    </xf>
    <xf numFmtId="332" fontId="248" fillId="0" borderId="0" xfId="3010" applyNumberFormat="1" applyFont="1" applyFill="1" applyBorder="1" applyAlignment="1">
      <alignment horizontal="right" vertical="center"/>
    </xf>
    <xf numFmtId="332" fontId="250" fillId="54" borderId="70" xfId="3010" applyNumberFormat="1" applyFont="1" applyFill="1" applyBorder="1" applyAlignment="1">
      <alignment horizontal="right" vertical="center"/>
    </xf>
    <xf numFmtId="332" fontId="250" fillId="0" borderId="70" xfId="3010" applyNumberFormat="1" applyFont="1" applyFill="1" applyBorder="1" applyAlignment="1">
      <alignment horizontal="right" vertical="center"/>
    </xf>
    <xf numFmtId="332" fontId="250" fillId="0" borderId="0" xfId="3010" applyNumberFormat="1" applyFont="1" applyFill="1" applyBorder="1" applyAlignment="1">
      <alignment horizontal="right" vertical="center"/>
    </xf>
    <xf numFmtId="332" fontId="248" fillId="0" borderId="71" xfId="3010" applyNumberFormat="1" applyFont="1" applyBorder="1" applyAlignment="1">
      <alignment horizontal="right" vertical="center"/>
    </xf>
    <xf numFmtId="0" fontId="248" fillId="61" borderId="97" xfId="34671" applyFont="1" applyFill="1" applyBorder="1" applyAlignment="1">
      <alignment horizontal="left" wrapText="1"/>
    </xf>
    <xf numFmtId="169" fontId="248" fillId="0" borderId="0" xfId="3010" applyNumberFormat="1" applyFont="1" applyFill="1" applyBorder="1" applyAlignment="1">
      <alignment horizontal="right" vertical="center"/>
    </xf>
    <xf numFmtId="9" fontId="248" fillId="54" borderId="0" xfId="3010" applyNumberFormat="1" applyFont="1" applyFill="1" applyBorder="1" applyAlignment="1">
      <alignment horizontal="right" vertical="center"/>
    </xf>
    <xf numFmtId="9" fontId="248" fillId="0" borderId="0" xfId="3010" applyNumberFormat="1" applyFont="1" applyFill="1" applyBorder="1" applyAlignment="1">
      <alignment horizontal="right" vertical="center"/>
    </xf>
    <xf numFmtId="9" fontId="248" fillId="0" borderId="0" xfId="3010" applyNumberFormat="1" applyFont="1" applyFill="1" applyAlignment="1">
      <alignment horizontal="right" vertical="center" wrapText="1"/>
    </xf>
    <xf numFmtId="330" fontId="248" fillId="54" borderId="70" xfId="3010" quotePrefix="1" applyNumberFormat="1" applyFont="1" applyFill="1" applyBorder="1" applyAlignment="1">
      <alignment horizontal="right" vertical="center"/>
    </xf>
    <xf numFmtId="330" fontId="319" fillId="0" borderId="70" xfId="3010" quotePrefix="1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49" fontId="250" fillId="0" borderId="0" xfId="3010" applyNumberFormat="1" applyFont="1" applyFill="1" applyBorder="1" applyAlignment="1">
      <alignment horizontal="right" vertical="center"/>
    </xf>
    <xf numFmtId="349" fontId="320" fillId="0" borderId="0" xfId="3010" applyNumberFormat="1" applyFont="1" applyFill="1" applyBorder="1" applyAlignment="1">
      <alignment horizontal="right" vertical="center"/>
    </xf>
    <xf numFmtId="325" fontId="248" fillId="54" borderId="70" xfId="3010" quotePrefix="1" applyNumberFormat="1" applyFont="1" applyFill="1" applyBorder="1" applyAlignment="1">
      <alignment horizontal="right" vertical="center"/>
    </xf>
    <xf numFmtId="325" fontId="319" fillId="0" borderId="70" xfId="3010" quotePrefix="1" applyNumberFormat="1" applyFont="1" applyFill="1" applyBorder="1" applyAlignment="1">
      <alignment horizontal="right" vertical="center"/>
    </xf>
    <xf numFmtId="337" fontId="248" fillId="0" borderId="70" xfId="3010" applyNumberFormat="1" applyFont="1" applyFill="1" applyBorder="1" applyAlignment="1">
      <alignment horizontal="right" vertical="center"/>
    </xf>
    <xf numFmtId="325" fontId="248" fillId="54" borderId="0" xfId="3010" applyNumberFormat="1" applyFont="1" applyFill="1" applyBorder="1" applyAlignment="1">
      <alignment horizontal="right" vertical="center" wrapText="1"/>
    </xf>
    <xf numFmtId="325" fontId="248" fillId="0" borderId="0" xfId="3010" applyNumberFormat="1" applyFont="1" applyFill="1" applyBorder="1" applyAlignment="1">
      <alignment horizontal="right" vertical="center" wrapText="1"/>
    </xf>
    <xf numFmtId="337" fontId="248" fillId="0" borderId="0" xfId="3010" applyNumberFormat="1" applyFont="1" applyFill="1" applyBorder="1" applyAlignment="1">
      <alignment horizontal="right" vertical="center"/>
    </xf>
    <xf numFmtId="0" fontId="317" fillId="61" borderId="71" xfId="24797" applyFont="1" applyFill="1" applyBorder="1" applyAlignment="1">
      <alignment horizontal="right" wrapText="1"/>
    </xf>
    <xf numFmtId="337" fontId="248" fillId="0" borderId="71" xfId="3010" applyNumberFormat="1" applyFont="1" applyFill="1" applyBorder="1" applyAlignment="1">
      <alignment horizontal="right" vertical="center"/>
    </xf>
    <xf numFmtId="337" fontId="250" fillId="0" borderId="70" xfId="3010" applyNumberFormat="1" applyFont="1" applyFill="1" applyBorder="1" applyAlignment="1">
      <alignment horizontal="right" vertical="center"/>
    </xf>
    <xf numFmtId="337" fontId="320" fillId="0" borderId="0" xfId="3010" applyNumberFormat="1" applyFont="1" applyFill="1" applyBorder="1" applyAlignment="1">
      <alignment horizontal="right" vertical="center"/>
    </xf>
    <xf numFmtId="350" fontId="248" fillId="0" borderId="71" xfId="3010" applyNumberFormat="1" applyFont="1" applyFill="1" applyBorder="1" applyAlignment="1">
      <alignment horizontal="right" vertical="center" wrapText="1"/>
    </xf>
    <xf numFmtId="350" fontId="250" fillId="54" borderId="70" xfId="3010" applyNumberFormat="1" applyFont="1" applyFill="1" applyBorder="1" applyAlignment="1">
      <alignment horizontal="right" vertical="center"/>
    </xf>
    <xf numFmtId="350" fontId="250" fillId="0" borderId="70" xfId="3010" applyNumberFormat="1" applyFont="1" applyFill="1" applyBorder="1" applyAlignment="1">
      <alignment horizontal="right" vertical="center"/>
    </xf>
    <xf numFmtId="350" fontId="250" fillId="61" borderId="70" xfId="3010" applyNumberFormat="1" applyFont="1" applyFill="1" applyBorder="1" applyAlignment="1">
      <alignment vertical="center"/>
    </xf>
    <xf numFmtId="350" fontId="248" fillId="54" borderId="0" xfId="3010" applyNumberFormat="1" applyFont="1" applyFill="1" applyBorder="1" applyAlignment="1">
      <alignment horizontal="right" vertical="center"/>
    </xf>
    <xf numFmtId="350" fontId="248" fillId="0" borderId="0" xfId="3010" applyNumberFormat="1" applyFont="1" applyFill="1" applyBorder="1" applyAlignment="1">
      <alignment horizontal="right" vertical="center"/>
    </xf>
    <xf numFmtId="350" fontId="248" fillId="61" borderId="0" xfId="3010" applyNumberFormat="1" applyFont="1" applyFill="1" applyBorder="1" applyAlignment="1">
      <alignment vertical="center"/>
    </xf>
    <xf numFmtId="9" fontId="248" fillId="54" borderId="0" xfId="3010" applyNumberFormat="1" applyFont="1" applyFill="1" applyAlignment="1">
      <alignment horizontal="right" vertical="center" wrapText="1"/>
    </xf>
    <xf numFmtId="265" fontId="364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horizontal="right" vertical="center"/>
    </xf>
    <xf numFmtId="0" fontId="306" fillId="61" borderId="0" xfId="3010" applyFont="1" applyFill="1" applyBorder="1" applyAlignment="1">
      <alignment vertical="center"/>
    </xf>
    <xf numFmtId="0" fontId="250" fillId="61" borderId="71" xfId="3010" applyFont="1" applyFill="1" applyBorder="1" applyAlignment="1">
      <alignment horizontal="right"/>
    </xf>
    <xf numFmtId="330" fontId="319" fillId="61" borderId="70" xfId="3010" quotePrefix="1" applyNumberFormat="1" applyFont="1" applyFill="1" applyBorder="1" applyAlignment="1">
      <alignment horizontal="right" vertical="center"/>
    </xf>
    <xf numFmtId="10" fontId="248" fillId="54" borderId="0" xfId="24802" applyNumberFormat="1" applyFont="1" applyFill="1" applyBorder="1" applyAlignment="1">
      <alignment horizontal="right" vertical="center"/>
    </xf>
    <xf numFmtId="10" fontId="248" fillId="0" borderId="0" xfId="24802" applyNumberFormat="1" applyFont="1" applyFill="1" applyBorder="1" applyAlignment="1">
      <alignment horizontal="right" vertical="center"/>
    </xf>
    <xf numFmtId="10" fontId="248" fillId="0" borderId="0" xfId="3010" applyNumberFormat="1" applyFont="1" applyFill="1" applyBorder="1" applyAlignment="1">
      <alignment horizontal="right" vertical="center"/>
    </xf>
    <xf numFmtId="0" fontId="318" fillId="61" borderId="71" xfId="3010" applyFont="1" applyFill="1" applyBorder="1" applyAlignment="1">
      <alignment horizontal="right"/>
    </xf>
    <xf numFmtId="0" fontId="318" fillId="0" borderId="71" xfId="3010" applyFont="1" applyFill="1" applyBorder="1" applyAlignment="1">
      <alignment horizontal="right"/>
    </xf>
    <xf numFmtId="351" fontId="248" fillId="61" borderId="70" xfId="3010" quotePrefix="1" applyNumberFormat="1" applyFont="1" applyFill="1" applyBorder="1" applyAlignment="1">
      <alignment horizontal="right" vertical="center"/>
    </xf>
    <xf numFmtId="351" fontId="248" fillId="61" borderId="0" xfId="3010" quotePrefix="1" applyNumberFormat="1" applyFont="1" applyFill="1" applyBorder="1" applyAlignment="1">
      <alignment horizontal="right" vertical="center"/>
    </xf>
    <xf numFmtId="169" fontId="248" fillId="54" borderId="0" xfId="3010" applyNumberFormat="1" applyFont="1" applyFill="1" applyBorder="1" applyAlignment="1">
      <alignment horizontal="right" vertical="center"/>
    </xf>
    <xf numFmtId="9" fontId="370" fillId="0" borderId="0" xfId="3010" applyNumberFormat="1" applyFont="1" applyFill="1" applyBorder="1" applyAlignment="1">
      <alignment horizontal="right" vertical="center"/>
    </xf>
    <xf numFmtId="0" fontId="248" fillId="0" borderId="71" xfId="3010" applyFont="1" applyFill="1" applyBorder="1" applyAlignment="1">
      <alignment vertical="center"/>
    </xf>
    <xf numFmtId="0" fontId="317" fillId="0" borderId="0" xfId="3010" applyFont="1" applyFill="1" applyAlignment="1">
      <alignment horizontal="right"/>
    </xf>
    <xf numFmtId="0" fontId="248" fillId="0" borderId="70" xfId="2988" applyFont="1" applyFill="1" applyBorder="1" applyAlignment="1">
      <alignment vertical="center"/>
    </xf>
    <xf numFmtId="168" fontId="248" fillId="0" borderId="70" xfId="2988" applyNumberFormat="1" applyFont="1" applyFill="1" applyBorder="1" applyAlignment="1">
      <alignment horizontal="right" vertical="center"/>
    </xf>
    <xf numFmtId="168" fontId="248" fillId="54" borderId="71" xfId="2988" applyNumberFormat="1" applyFont="1" applyFill="1" applyBorder="1" applyAlignment="1">
      <alignment horizontal="right" vertical="center"/>
    </xf>
    <xf numFmtId="168" fontId="248" fillId="0" borderId="71" xfId="2988" applyNumberFormat="1" applyFont="1" applyFill="1" applyBorder="1" applyAlignment="1">
      <alignment horizontal="right" vertical="center"/>
    </xf>
    <xf numFmtId="0" fontId="250" fillId="0" borderId="70" xfId="2988" applyFont="1" applyFill="1" applyBorder="1" applyAlignment="1">
      <alignment vertical="center"/>
    </xf>
    <xf numFmtId="168" fontId="250" fillId="54" borderId="70" xfId="2988" applyNumberFormat="1" applyFont="1" applyFill="1" applyBorder="1" applyAlignment="1">
      <alignment horizontal="right" vertical="center"/>
    </xf>
    <xf numFmtId="168" fontId="250" fillId="0" borderId="70" xfId="2988" applyNumberFormat="1" applyFont="1" applyFill="1" applyBorder="1" applyAlignment="1">
      <alignment horizontal="right" vertical="center"/>
    </xf>
    <xf numFmtId="168" fontId="248" fillId="54" borderId="0" xfId="2988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332" fontId="248" fillId="0" borderId="70" xfId="2988" applyNumberFormat="1" applyFont="1" applyFill="1" applyBorder="1" applyAlignment="1">
      <alignment horizontal="right" vertical="center"/>
    </xf>
    <xf numFmtId="332" fontId="250" fillId="0" borderId="95" xfId="2988" applyNumberFormat="1" applyFont="1" applyFill="1" applyBorder="1" applyAlignment="1">
      <alignment vertical="center" wrapText="1"/>
    </xf>
    <xf numFmtId="332" fontId="248" fillId="0" borderId="0" xfId="24804" applyNumberFormat="1" applyFont="1" applyFill="1" applyBorder="1" applyAlignment="1">
      <alignment horizontal="right" vertical="center" wrapText="1"/>
    </xf>
    <xf numFmtId="330" fontId="248" fillId="0" borderId="0" xfId="2988" applyNumberFormat="1" applyFont="1" applyFill="1" applyBorder="1" applyAlignment="1">
      <alignment horizontal="right" wrapText="1"/>
    </xf>
    <xf numFmtId="9" fontId="248" fillId="0" borderId="0" xfId="2988" applyNumberFormat="1" applyFont="1" applyFill="1" applyBorder="1" applyAlignment="1">
      <alignment vertical="center"/>
    </xf>
    <xf numFmtId="352" fontId="248" fillId="0" borderId="70" xfId="2988" applyNumberFormat="1" applyFont="1" applyFill="1" applyBorder="1" applyAlignment="1">
      <alignment horizontal="right" vertical="center" wrapText="1"/>
    </xf>
    <xf numFmtId="1" fontId="370" fillId="0" borderId="0" xfId="2988" applyNumberFormat="1" applyFont="1" applyFill="1" applyBorder="1" applyAlignment="1">
      <alignment horizontal="right" vertical="center" wrapText="1"/>
    </xf>
    <xf numFmtId="332" fontId="370" fillId="55" borderId="0" xfId="8938" applyNumberFormat="1" applyFont="1" applyFill="1" applyBorder="1" applyAlignment="1">
      <alignment horizontal="right" vertical="center" wrapText="1"/>
    </xf>
    <xf numFmtId="0" fontId="250" fillId="61" borderId="98" xfId="34671" applyFont="1" applyFill="1" applyBorder="1" applyAlignment="1">
      <alignment horizontal="left" wrapText="1"/>
    </xf>
    <xf numFmtId="0" fontId="317" fillId="0" borderId="0" xfId="2988" applyFont="1" applyFill="1" applyAlignment="1">
      <alignment horizontal="right"/>
    </xf>
    <xf numFmtId="0" fontId="306" fillId="0" borderId="71" xfId="2988" applyFont="1" applyFill="1" applyBorder="1" applyAlignment="1">
      <alignment vertical="center"/>
    </xf>
    <xf numFmtId="0" fontId="318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7" fillId="0" borderId="71" xfId="2988" applyFont="1" applyFill="1" applyBorder="1" applyAlignment="1">
      <alignment horizontal="right"/>
    </xf>
    <xf numFmtId="332" fontId="319" fillId="0" borderId="70" xfId="24806" applyNumberFormat="1" applyFont="1" applyFill="1" applyBorder="1" applyAlignment="1">
      <alignment horizontal="right" vertical="center" wrapText="1"/>
    </xf>
    <xf numFmtId="332" fontId="319" fillId="0" borderId="0" xfId="24806" applyNumberFormat="1" applyFont="1" applyFill="1" applyBorder="1" applyAlignment="1">
      <alignment horizontal="right" vertical="center" wrapText="1"/>
    </xf>
    <xf numFmtId="168" fontId="248" fillId="0" borderId="70" xfId="8938" applyNumberFormat="1" applyFont="1" applyFill="1" applyBorder="1" applyAlignment="1">
      <alignment horizontal="right" vertical="center" wrapText="1"/>
    </xf>
    <xf numFmtId="168" fontId="248" fillId="0" borderId="0" xfId="34624" applyNumberFormat="1" applyFont="1" applyFill="1" applyAlignment="1">
      <alignment horizontal="right" wrapText="1"/>
    </xf>
    <xf numFmtId="349" fontId="248" fillId="0" borderId="70" xfId="3010" applyNumberFormat="1" applyFont="1" applyFill="1" applyBorder="1" applyAlignment="1">
      <alignment horizontal="right" vertical="center"/>
    </xf>
    <xf numFmtId="0" fontId="317" fillId="61" borderId="0" xfId="24797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8" fillId="61" borderId="71" xfId="24797" applyFont="1" applyFill="1" applyBorder="1" applyAlignment="1">
      <alignment horizontal="right" wrapText="1"/>
    </xf>
    <xf numFmtId="0" fontId="248" fillId="61" borderId="70" xfId="3010" applyFont="1" applyFill="1" applyBorder="1" applyAlignment="1">
      <alignment vertical="center"/>
    </xf>
    <xf numFmtId="0" fontId="248" fillId="61" borderId="71" xfId="3010" applyFont="1" applyFill="1" applyBorder="1" applyAlignment="1">
      <alignment vertical="center" wrapText="1"/>
    </xf>
    <xf numFmtId="168" fontId="248" fillId="54" borderId="71" xfId="3010" applyNumberFormat="1" applyFont="1" applyFill="1" applyBorder="1" applyAlignment="1">
      <alignment horizontal="right" vertical="center"/>
    </xf>
    <xf numFmtId="349" fontId="248" fillId="0" borderId="71" xfId="3010" applyNumberFormat="1" applyFont="1" applyFill="1" applyBorder="1" applyAlignment="1">
      <alignment horizontal="right" vertical="center"/>
    </xf>
    <xf numFmtId="0" fontId="250" fillId="61" borderId="70" xfId="3010" applyFont="1" applyFill="1" applyBorder="1" applyAlignment="1">
      <alignment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349" fontId="250" fillId="0" borderId="70" xfId="3010" applyNumberFormat="1" applyFont="1" applyFill="1" applyBorder="1" applyAlignment="1">
      <alignment horizontal="right" vertical="center"/>
    </xf>
    <xf numFmtId="0" fontId="248" fillId="61" borderId="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/>
    </xf>
    <xf numFmtId="349" fontId="248" fillId="0" borderId="0" xfId="3010" applyNumberFormat="1" applyFont="1" applyFill="1" applyBorder="1" applyAlignment="1">
      <alignment horizontal="right" vertical="center"/>
    </xf>
    <xf numFmtId="0" fontId="248" fillId="61" borderId="0" xfId="3010" applyFont="1" applyFill="1" applyBorder="1" applyAlignment="1">
      <alignment vertical="center"/>
    </xf>
    <xf numFmtId="0" fontId="250" fillId="61" borderId="0" xfId="3010" applyFont="1" applyFill="1" applyBorder="1" applyAlignment="1">
      <alignment vertical="center"/>
    </xf>
    <xf numFmtId="0" fontId="306" fillId="61" borderId="71" xfId="3010" applyFont="1" applyFill="1" applyBorder="1" applyAlignment="1">
      <alignment vertical="center"/>
    </xf>
    <xf numFmtId="350" fontId="248" fillId="54" borderId="70" xfId="3010" applyNumberFormat="1" applyFont="1" applyFill="1" applyBorder="1" applyAlignment="1">
      <alignment horizontal="right" vertical="center" wrapText="1"/>
    </xf>
    <xf numFmtId="350" fontId="248" fillId="0" borderId="70" xfId="3010" applyNumberFormat="1" applyFont="1" applyFill="1" applyBorder="1" applyAlignment="1">
      <alignment horizontal="right" vertical="center" wrapText="1"/>
    </xf>
    <xf numFmtId="0" fontId="248" fillId="61" borderId="0" xfId="3010" applyFont="1" applyFill="1" applyAlignment="1">
      <alignment vertical="center"/>
    </xf>
    <xf numFmtId="350" fontId="248" fillId="54" borderId="0" xfId="3010" applyNumberFormat="1" applyFont="1" applyFill="1" applyAlignment="1">
      <alignment horizontal="right" vertical="center" wrapText="1"/>
    </xf>
    <xf numFmtId="350" fontId="248" fillId="0" borderId="0" xfId="3010" applyNumberFormat="1" applyFont="1" applyFill="1" applyBorder="1" applyAlignment="1">
      <alignment horizontal="right" vertical="center" wrapText="1"/>
    </xf>
    <xf numFmtId="0" fontId="248" fillId="0" borderId="70" xfId="3010" applyFont="1" applyBorder="1" applyAlignment="1">
      <alignment vertical="center"/>
    </xf>
    <xf numFmtId="0" fontId="248" fillId="0" borderId="71" xfId="3010" applyFont="1" applyBorder="1" applyAlignment="1">
      <alignment vertical="center"/>
    </xf>
    <xf numFmtId="349" fontId="370" fillId="0" borderId="0" xfId="3010" applyNumberFormat="1" applyFont="1" applyFill="1" applyBorder="1" applyAlignment="1">
      <alignment horizontal="right" vertical="center"/>
    </xf>
    <xf numFmtId="332" fontId="248" fillId="54" borderId="0" xfId="3010" applyNumberFormat="1" applyFont="1" applyFill="1" applyAlignment="1">
      <alignment horizontal="right" vertical="center" wrapText="1"/>
    </xf>
    <xf numFmtId="354" fontId="248" fillId="0" borderId="0" xfId="3010" applyNumberFormat="1" applyFont="1" applyFill="1" applyAlignment="1">
      <alignment horizontal="right" vertical="center" wrapText="1"/>
    </xf>
    <xf numFmtId="354" fontId="248" fillId="0" borderId="0" xfId="3010" applyNumberFormat="1" applyFont="1" applyFill="1" applyBorder="1" applyAlignment="1">
      <alignment horizontal="right" vertical="center"/>
    </xf>
    <xf numFmtId="168" fontId="317" fillId="0" borderId="0" xfId="3010" applyNumberFormat="1" applyFont="1" applyFill="1" applyBorder="1" applyAlignment="1">
      <alignment horizontal="right"/>
    </xf>
    <xf numFmtId="331" fontId="370" fillId="0" borderId="0" xfId="3010" applyNumberFormat="1" applyFont="1" applyFill="1" applyBorder="1" applyAlignment="1">
      <alignment horizontal="right"/>
    </xf>
    <xf numFmtId="0" fontId="371" fillId="0" borderId="0" xfId="3010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 wrapText="1"/>
    </xf>
    <xf numFmtId="168" fontId="248" fillId="0" borderId="97" xfId="34623" applyNumberFormat="1" applyFont="1" applyFill="1" applyBorder="1" applyAlignment="1">
      <alignment horizontal="right" wrapText="1"/>
    </xf>
    <xf numFmtId="0" fontId="306" fillId="0" borderId="71" xfId="2988" applyFont="1" applyFill="1" applyBorder="1" applyAlignment="1">
      <alignment horizontal="left" vertical="top" wrapText="1"/>
    </xf>
    <xf numFmtId="0" fontId="248" fillId="0" borderId="70" xfId="2988" applyFont="1" applyFill="1" applyBorder="1" applyAlignment="1">
      <alignment horizontal="left" vertical="center" wrapText="1"/>
    </xf>
    <xf numFmtId="0" fontId="248" fillId="0" borderId="71" xfId="2988" applyFont="1" applyFill="1" applyBorder="1" applyAlignment="1">
      <alignment horizontal="left" vertical="center" wrapText="1"/>
    </xf>
    <xf numFmtId="333" fontId="248" fillId="0" borderId="0" xfId="2988" applyNumberFormat="1" applyFont="1" applyFill="1" applyBorder="1" applyAlignment="1">
      <alignment horizontal="right" vertical="center" wrapText="1"/>
    </xf>
    <xf numFmtId="168" fontId="248" fillId="0" borderId="98" xfId="34623" applyNumberFormat="1" applyFont="1" applyFill="1" applyBorder="1" applyAlignment="1">
      <alignment horizontal="right" wrapText="1"/>
    </xf>
    <xf numFmtId="0" fontId="250" fillId="0" borderId="71" xfId="2988" applyFont="1" applyFill="1" applyBorder="1" applyAlignment="1">
      <alignment horizontal="left" vertical="center" wrapText="1"/>
    </xf>
    <xf numFmtId="0" fontId="250" fillId="0" borderId="71" xfId="3010" applyFont="1" applyFill="1" applyBorder="1" applyAlignment="1">
      <alignment vertical="center"/>
    </xf>
    <xf numFmtId="0" fontId="248" fillId="61" borderId="98" xfId="34671" applyFont="1" applyFill="1" applyBorder="1" applyAlignment="1">
      <alignment horizontal="left" wrapText="1"/>
    </xf>
    <xf numFmtId="330" fontId="248" fillId="54" borderId="0" xfId="2988" applyNumberFormat="1" applyFont="1" applyFill="1" applyBorder="1" applyAlignment="1">
      <alignment horizontal="right" vertical="center" wrapText="1"/>
    </xf>
    <xf numFmtId="0" fontId="248" fillId="0" borderId="96" xfId="2988" applyFont="1" applyFill="1" applyBorder="1" applyAlignment="1">
      <alignment vertical="center" wrapText="1"/>
    </xf>
    <xf numFmtId="0" fontId="248" fillId="0" borderId="71" xfId="2988" applyFont="1" applyFill="1" applyBorder="1" applyAlignment="1">
      <alignment vertical="center"/>
    </xf>
    <xf numFmtId="332" fontId="248" fillId="0" borderId="0" xfId="2988" applyNumberFormat="1" applyFont="1" applyFill="1" applyBorder="1" applyAlignment="1">
      <alignment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318" fillId="55" borderId="0" xfId="2988" applyFont="1" applyFill="1" applyBorder="1" applyAlignment="1">
      <alignment horizontal="right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168" fontId="250" fillId="0" borderId="70" xfId="2988" applyNumberFormat="1" applyFont="1" applyFill="1" applyBorder="1" applyAlignment="1">
      <alignment horizontal="right" vertical="center" wrapText="1"/>
    </xf>
    <xf numFmtId="330" fontId="318" fillId="0" borderId="71" xfId="2988" applyNumberFormat="1" applyFont="1" applyFill="1" applyBorder="1" applyAlignment="1">
      <alignment horizontal="right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0" fontId="318" fillId="61" borderId="97" xfId="34671" applyFont="1" applyFill="1" applyBorder="1" applyAlignment="1">
      <alignment horizontal="right" wrapText="1"/>
    </xf>
    <xf numFmtId="0" fontId="250" fillId="0" borderId="70" xfId="2988" applyFont="1" applyFill="1" applyBorder="1" applyAlignment="1">
      <alignment vertical="center" wrapText="1"/>
    </xf>
    <xf numFmtId="168" fontId="250" fillId="54" borderId="70" xfId="2988" applyNumberFormat="1" applyFont="1" applyFill="1" applyBorder="1" applyAlignment="1">
      <alignment vertical="center" wrapText="1"/>
    </xf>
    <xf numFmtId="168" fontId="250" fillId="0" borderId="70" xfId="2988" applyNumberFormat="1" applyFont="1" applyFill="1" applyBorder="1" applyAlignment="1">
      <alignment vertical="center" wrapText="1"/>
    </xf>
    <xf numFmtId="168" fontId="248" fillId="54" borderId="71" xfId="2988" applyNumberFormat="1" applyFont="1" applyFill="1" applyBorder="1" applyAlignment="1">
      <alignment vertical="center" wrapText="1"/>
    </xf>
    <xf numFmtId="168" fontId="248" fillId="0" borderId="71" xfId="2988" applyNumberFormat="1" applyFont="1" applyFill="1" applyBorder="1" applyAlignment="1">
      <alignment vertical="center" wrapText="1"/>
    </xf>
    <xf numFmtId="168" fontId="248" fillId="54" borderId="0" xfId="2988" applyNumberFormat="1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vertical="center" wrapText="1"/>
    </xf>
    <xf numFmtId="330" fontId="248" fillId="54" borderId="70" xfId="2988" applyNumberFormat="1" applyFont="1" applyFill="1" applyBorder="1" applyAlignment="1">
      <alignment horizontal="right" vertical="center" wrapText="1"/>
    </xf>
    <xf numFmtId="330" fontId="248" fillId="0" borderId="70" xfId="2988" applyNumberFormat="1" applyFont="1" applyFill="1" applyBorder="1" applyAlignment="1">
      <alignment horizontal="right" vertical="center" wrapText="1"/>
    </xf>
    <xf numFmtId="332" fontId="319" fillId="55" borderId="0" xfId="8938" applyNumberFormat="1" applyFont="1" applyFill="1" applyBorder="1" applyAlignment="1">
      <alignment horizontal="right" vertical="center" wrapText="1"/>
    </xf>
    <xf numFmtId="168" fontId="248" fillId="0" borderId="70" xfId="2988" applyNumberFormat="1" applyFont="1" applyFill="1" applyBorder="1" applyAlignment="1">
      <alignment vertical="center" wrapText="1"/>
    </xf>
    <xf numFmtId="168" fontId="248" fillId="54" borderId="70" xfId="2988" applyNumberFormat="1" applyFont="1" applyFill="1" applyBorder="1" applyAlignment="1">
      <alignment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331" fontId="248" fillId="0" borderId="0" xfId="2988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332" fontId="318" fillId="55" borderId="71" xfId="8938" applyNumberFormat="1" applyFont="1" applyFill="1" applyBorder="1" applyAlignment="1">
      <alignment horizontal="right" wrapText="1"/>
    </xf>
    <xf numFmtId="0" fontId="248" fillId="0" borderId="71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70" xfId="2988" applyFont="1" applyFill="1" applyBorder="1" applyAlignment="1">
      <alignment vertical="center" wrapText="1"/>
    </xf>
    <xf numFmtId="0" fontId="250" fillId="0" borderId="0" xfId="2988" applyFont="1" applyFill="1" applyBorder="1" applyAlignment="1">
      <alignment vertical="center" wrapText="1"/>
    </xf>
    <xf numFmtId="0" fontId="318" fillId="55" borderId="71" xfId="2988" applyFont="1" applyFill="1" applyBorder="1" applyAlignment="1">
      <alignment horizontal="right" wrapText="1"/>
    </xf>
    <xf numFmtId="0" fontId="318" fillId="0" borderId="0" xfId="2988" applyFont="1" applyFill="1" applyBorder="1" applyAlignment="1">
      <alignment horizontal="right" wrapText="1"/>
    </xf>
    <xf numFmtId="0" fontId="318" fillId="0" borderId="71" xfId="2988" applyFont="1" applyFill="1" applyBorder="1" applyAlignment="1">
      <alignment horizontal="right" wrapText="1"/>
    </xf>
    <xf numFmtId="0" fontId="306" fillId="0" borderId="71" xfId="2988" applyFont="1" applyFill="1" applyBorder="1" applyAlignment="1">
      <alignment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0" fontId="250" fillId="61" borderId="0" xfId="34671" applyFont="1" applyFill="1" applyBorder="1" applyAlignment="1">
      <alignment horizontal="left" wrapText="1"/>
    </xf>
    <xf numFmtId="0" fontId="317" fillId="0" borderId="71" xfId="3010" applyFont="1" applyFill="1" applyBorder="1" applyAlignment="1">
      <alignment vertical="center"/>
    </xf>
    <xf numFmtId="332" fontId="248" fillId="54" borderId="70" xfId="3010" applyNumberFormat="1" applyFont="1" applyFill="1" applyBorder="1" applyAlignment="1">
      <alignment horizontal="right" vertical="center"/>
    </xf>
    <xf numFmtId="332" fontId="248" fillId="0" borderId="70" xfId="3010" applyNumberFormat="1" applyFont="1" applyFill="1" applyBorder="1" applyAlignment="1">
      <alignment horizontal="right" vertical="center"/>
    </xf>
    <xf numFmtId="332" fontId="248" fillId="54" borderId="71" xfId="3010" applyNumberFormat="1" applyFont="1" applyFill="1" applyBorder="1" applyAlignment="1">
      <alignment horizontal="right" vertical="center"/>
    </xf>
    <xf numFmtId="332" fontId="248" fillId="0" borderId="71" xfId="3010" applyNumberFormat="1" applyFont="1" applyFill="1" applyBorder="1" applyAlignment="1">
      <alignment horizontal="right" vertical="center"/>
    </xf>
    <xf numFmtId="328" fontId="250" fillId="0" borderId="7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horizontal="right" vertical="center"/>
    </xf>
    <xf numFmtId="339" fontId="318" fillId="0" borderId="71" xfId="15472" applyNumberFormat="1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/>
    </xf>
    <xf numFmtId="325" fontId="250" fillId="0" borderId="70" xfId="15472" applyNumberFormat="1" applyFont="1" applyFill="1" applyBorder="1" applyAlignment="1">
      <alignment horizontal="right" vertical="center"/>
    </xf>
    <xf numFmtId="332" fontId="248" fillId="0" borderId="70" xfId="15472" applyNumberFormat="1" applyFont="1" applyFill="1" applyBorder="1" applyAlignment="1">
      <alignment horizontal="right" vertical="center" wrapText="1"/>
    </xf>
    <xf numFmtId="340" fontId="248" fillId="54" borderId="70" xfId="15472" applyNumberFormat="1" applyFont="1" applyFill="1" applyBorder="1" applyAlignment="1">
      <alignment horizontal="right" vertical="center" wrapText="1"/>
    </xf>
    <xf numFmtId="332" fontId="248" fillId="0" borderId="71" xfId="15472" applyNumberFormat="1" applyFont="1" applyFill="1" applyBorder="1" applyAlignment="1">
      <alignment horizontal="right" vertical="center" wrapText="1"/>
    </xf>
    <xf numFmtId="332" fontId="248" fillId="54" borderId="71" xfId="15472" applyNumberFormat="1" applyFont="1" applyFill="1" applyBorder="1" applyAlignment="1">
      <alignment horizontal="right" vertical="center" wrapText="1"/>
    </xf>
    <xf numFmtId="332" fontId="250" fillId="0" borderId="70" xfId="15472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7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71" xfId="15472" applyFont="1" applyBorder="1" applyAlignment="1">
      <alignment horizontal="right" wrapText="1"/>
    </xf>
    <xf numFmtId="0" fontId="317" fillId="0" borderId="71" xfId="3010" applyFont="1" applyFill="1" applyBorder="1" applyAlignment="1">
      <alignment wrapText="1"/>
    </xf>
    <xf numFmtId="339" fontId="250" fillId="0" borderId="70" xfId="15472" applyNumberFormat="1" applyFont="1" applyFill="1" applyBorder="1" applyAlignment="1">
      <alignment horizontal="right" vertical="center" wrapText="1"/>
    </xf>
    <xf numFmtId="339" fontId="250" fillId="54" borderId="7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>
      <alignment horizontal="right"/>
    </xf>
    <xf numFmtId="0" fontId="317" fillId="0" borderId="71" xfId="15472" applyFont="1" applyBorder="1" applyAlignment="1">
      <alignment horizontal="right"/>
    </xf>
    <xf numFmtId="340" fontId="248" fillId="0" borderId="70" xfId="15472" applyNumberFormat="1" applyFont="1" applyFill="1" applyBorder="1" applyAlignment="1">
      <alignment horizontal="right" vertical="center" wrapText="1"/>
    </xf>
    <xf numFmtId="0" fontId="310" fillId="0" borderId="0" xfId="3010" applyFont="1" applyFill="1" applyAlignment="1">
      <alignment vertical="center"/>
    </xf>
    <xf numFmtId="0" fontId="317" fillId="0" borderId="71" xfId="3010" applyFont="1" applyFill="1" applyBorder="1" applyAlignment="1">
      <alignment horizontal="left" vertical="center" wrapText="1"/>
    </xf>
    <xf numFmtId="325" fontId="248" fillId="0" borderId="71" xfId="15472" applyNumberFormat="1" applyFont="1" applyFill="1" applyBorder="1" applyAlignment="1">
      <alignment horizontal="right"/>
    </xf>
    <xf numFmtId="0" fontId="250" fillId="0" borderId="0" xfId="15472" applyFont="1" applyBorder="1" applyAlignment="1">
      <alignment horizontal="right" wrapText="1"/>
    </xf>
    <xf numFmtId="0" fontId="250" fillId="0" borderId="71" xfId="15472" applyFont="1" applyBorder="1" applyAlignment="1">
      <alignment horizontal="right" wrapText="1"/>
    </xf>
    <xf numFmtId="0" fontId="248" fillId="0" borderId="71" xfId="15472" applyFont="1" applyBorder="1" applyAlignment="1">
      <alignment horizontal="right"/>
    </xf>
    <xf numFmtId="0" fontId="317" fillId="61" borderId="97" xfId="34671" applyFont="1" applyFill="1" applyBorder="1" applyAlignment="1">
      <alignment horizontal="left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0" fontId="250" fillId="0" borderId="0" xfId="3010" applyFont="1" applyFill="1" applyBorder="1" applyAlignment="1">
      <alignment horizontal="left" vertical="center" wrapText="1"/>
    </xf>
    <xf numFmtId="325" fontId="248" fillId="54" borderId="71" xfId="15472" applyNumberFormat="1" applyFont="1" applyFill="1" applyBorder="1" applyAlignment="1">
      <alignment horizontal="right" wrapText="1"/>
    </xf>
    <xf numFmtId="0" fontId="318" fillId="0" borderId="71" xfId="3010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 wrapText="1"/>
    </xf>
    <xf numFmtId="0" fontId="250" fillId="0" borderId="71" xfId="3010" applyFont="1" applyFill="1" applyBorder="1" applyAlignment="1">
      <alignment vertical="center" wrapText="1"/>
    </xf>
    <xf numFmtId="0" fontId="250" fillId="0" borderId="70" xfId="3010" applyFont="1" applyFill="1" applyBorder="1" applyAlignment="1">
      <alignment vertical="center" wrapText="1"/>
    </xf>
    <xf numFmtId="325" fontId="250" fillId="0" borderId="0" xfId="2979" applyNumberFormat="1" applyFont="1" applyFill="1" applyBorder="1" applyAlignment="1">
      <alignment horizontal="left" vertical="center" wrapText="1"/>
    </xf>
    <xf numFmtId="0" fontId="248" fillId="0" borderId="70" xfId="3010" applyFont="1" applyFill="1" applyBorder="1" applyAlignment="1">
      <alignment horizontal="lef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horizontal="lef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horizontal="lef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0" fontId="250" fillId="0" borderId="71" xfId="3010" applyFont="1" applyFill="1" applyBorder="1" applyAlignment="1">
      <alignment horizontal="lef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/>
    </xf>
    <xf numFmtId="325" fontId="250" fillId="0" borderId="70" xfId="15472" applyNumberFormat="1" applyFont="1" applyBorder="1" applyAlignment="1">
      <alignment horizontal="right" vertical="center" wrapText="1"/>
    </xf>
    <xf numFmtId="0" fontId="250" fillId="0" borderId="0" xfId="15472" applyFont="1" applyBorder="1" applyAlignment="1">
      <alignment horizontal="right"/>
    </xf>
    <xf numFmtId="0" fontId="250" fillId="0" borderId="71" xfId="15472" applyFont="1" applyBorder="1" applyAlignment="1">
      <alignment horizontal="right"/>
    </xf>
    <xf numFmtId="0" fontId="317" fillId="0" borderId="71" xfId="3010" applyFont="1" applyFill="1" applyBorder="1" applyAlignment="1">
      <alignment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23" fontId="250" fillId="0" borderId="70" xfId="15472" applyNumberFormat="1" applyFont="1" applyFill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Border="1" applyAlignment="1">
      <alignment horizontal="right" wrapText="1"/>
    </xf>
    <xf numFmtId="325" fontId="248" fillId="0" borderId="71" xfId="15472" applyNumberFormat="1" applyFont="1" applyBorder="1" applyAlignment="1">
      <alignment horizontal="right" wrapText="1"/>
    </xf>
    <xf numFmtId="0" fontId="317" fillId="0" borderId="0" xfId="15472" applyFont="1" applyBorder="1" applyAlignment="1">
      <alignment horizontal="right" wrapText="1"/>
    </xf>
    <xf numFmtId="0" fontId="317" fillId="0" borderId="71" xfId="15472" applyFont="1" applyBorder="1" applyAlignment="1">
      <alignment horizontal="right" wrapText="1"/>
    </xf>
    <xf numFmtId="340" fontId="250" fillId="0" borderId="70" xfId="15472" applyNumberFormat="1" applyFont="1" applyFill="1" applyBorder="1" applyAlignment="1">
      <alignment horizontal="right" vertical="center" wrapText="1"/>
    </xf>
    <xf numFmtId="340" fontId="250" fillId="54" borderId="70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wrapText="1"/>
    </xf>
    <xf numFmtId="168" fontId="248" fillId="0" borderId="71" xfId="3010" applyNumberFormat="1" applyFont="1" applyFill="1" applyBorder="1" applyAlignment="1">
      <alignment horizontal="right" vertical="center"/>
    </xf>
    <xf numFmtId="350" fontId="248" fillId="0" borderId="0" xfId="3010" applyNumberFormat="1" applyFont="1" applyFill="1" applyAlignment="1">
      <alignment horizontal="right" vertical="center" wrapText="1"/>
    </xf>
    <xf numFmtId="350" fontId="248" fillId="54" borderId="0" xfId="3010" applyNumberFormat="1" applyFont="1" applyFill="1" applyBorder="1" applyAlignment="1">
      <alignment horizontal="right" vertical="center" wrapText="1"/>
    </xf>
    <xf numFmtId="325" fontId="248" fillId="0" borderId="70" xfId="2979" applyNumberFormat="1" applyFont="1" applyFill="1" applyBorder="1" applyAlignment="1">
      <alignment horizontal="left" vertical="center" wrapText="1"/>
    </xf>
    <xf numFmtId="325" fontId="248" fillId="0" borderId="71" xfId="2979" applyNumberFormat="1" applyFont="1" applyFill="1" applyBorder="1" applyAlignment="1">
      <alignment horizontal="left" vertical="center" wrapText="1"/>
    </xf>
    <xf numFmtId="325" fontId="250" fillId="0" borderId="70" xfId="2979" applyNumberFormat="1" applyFont="1" applyFill="1" applyBorder="1" applyAlignment="1">
      <alignment horizontal="left" vertical="center" wrapText="1"/>
    </xf>
    <xf numFmtId="325" fontId="317" fillId="0" borderId="71" xfId="2979" applyNumberFormat="1" applyFont="1" applyFill="1" applyBorder="1" applyAlignment="1">
      <alignment horizontal="left" vertical="center" wrapText="1"/>
    </xf>
    <xf numFmtId="325" fontId="317" fillId="0" borderId="0" xfId="2979" applyNumberFormat="1" applyFont="1" applyFill="1" applyBorder="1" applyAlignment="1">
      <alignment horizontal="left" vertical="center" wrapText="1"/>
    </xf>
    <xf numFmtId="0" fontId="248" fillId="0" borderId="70" xfId="3010" applyFont="1" applyFill="1" applyBorder="1" applyAlignment="1">
      <alignment vertical="center" wrapText="1"/>
    </xf>
    <xf numFmtId="168" fontId="248" fillId="0" borderId="70" xfId="3010" applyNumberFormat="1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50" fillId="54" borderId="70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vertical="center" wrapText="1"/>
    </xf>
    <xf numFmtId="0" fontId="318" fillId="0" borderId="71" xfId="15472" applyFont="1" applyBorder="1" applyAlignment="1">
      <alignment horizontal="right"/>
    </xf>
    <xf numFmtId="0" fontId="318" fillId="0" borderId="71" xfId="15472" applyFont="1" applyBorder="1" applyAlignment="1">
      <alignment horizontal="right" wrapText="1"/>
    </xf>
    <xf numFmtId="168" fontId="248" fillId="54" borderId="71" xfId="3010" applyNumberFormat="1" applyFont="1" applyFill="1" applyBorder="1" applyAlignment="1">
      <alignment vertical="center"/>
    </xf>
    <xf numFmtId="0" fontId="318" fillId="0" borderId="0" xfId="15472" applyFont="1" applyBorder="1" applyAlignment="1">
      <alignment horizontal="right" wrapText="1"/>
    </xf>
    <xf numFmtId="168" fontId="248" fillId="0" borderId="71" xfId="3010" applyNumberFormat="1" applyFont="1" applyFill="1" applyBorder="1" applyAlignment="1">
      <alignment vertical="center"/>
    </xf>
    <xf numFmtId="325" fontId="250" fillId="0" borderId="70" xfId="2979" applyNumberFormat="1" applyFont="1" applyFill="1" applyBorder="1" applyAlignment="1">
      <alignment vertical="center" wrapText="1"/>
    </xf>
    <xf numFmtId="0" fontId="317" fillId="61" borderId="97" xfId="34661" applyFont="1" applyFill="1" applyBorder="1" applyAlignment="1">
      <alignment horizontal="left" wrapText="1"/>
    </xf>
    <xf numFmtId="0" fontId="318" fillId="61" borderId="97" xfId="34661" applyFont="1" applyFill="1" applyBorder="1" applyAlignment="1">
      <alignment horizontal="right" wrapText="1"/>
    </xf>
    <xf numFmtId="0" fontId="318" fillId="0" borderId="97" xfId="34661" applyFont="1" applyFill="1" applyBorder="1" applyAlignment="1">
      <alignment horizontal="right" wrapText="1"/>
    </xf>
    <xf numFmtId="0" fontId="248" fillId="61" borderId="98" xfId="34661" applyFont="1" applyFill="1" applyBorder="1" applyAlignment="1">
      <alignment horizontal="left" wrapText="1"/>
    </xf>
    <xf numFmtId="0" fontId="248" fillId="61" borderId="97" xfId="34661" applyFont="1" applyFill="1" applyBorder="1" applyAlignment="1">
      <alignment horizontal="left" wrapText="1"/>
    </xf>
    <xf numFmtId="0" fontId="250" fillId="61" borderId="98" xfId="34661" applyFont="1" applyFill="1" applyBorder="1" applyAlignment="1">
      <alignment horizontal="left" wrapText="1"/>
    </xf>
    <xf numFmtId="0" fontId="248" fillId="61" borderId="0" xfId="34661" applyFont="1" applyFill="1" applyAlignment="1">
      <alignment horizontal="left" wrapText="1"/>
    </xf>
    <xf numFmtId="0" fontId="250" fillId="61" borderId="99" xfId="34661" applyFont="1" applyFill="1" applyBorder="1" applyAlignment="1">
      <alignment horizontal="left" wrapText="1"/>
    </xf>
    <xf numFmtId="0" fontId="250" fillId="61" borderId="0" xfId="34661" applyFont="1" applyFill="1" applyBorder="1" applyAlignment="1">
      <alignment horizontal="left" wrapText="1"/>
    </xf>
    <xf numFmtId="0" fontId="376" fillId="59" borderId="0" xfId="16678" applyFont="1" applyFill="1"/>
    <xf numFmtId="341" fontId="250" fillId="0" borderId="98" xfId="34625" applyNumberFormat="1" applyFont="1" applyFill="1" applyBorder="1" applyAlignment="1">
      <alignment horizontal="right" wrapText="1"/>
    </xf>
    <xf numFmtId="332" fontId="248" fillId="58" borderId="0" xfId="3010" applyNumberFormat="1" applyFont="1" applyFill="1" applyAlignment="1">
      <alignment horizontal="center" vertical="center"/>
    </xf>
    <xf numFmtId="168" fontId="248" fillId="54" borderId="98" xfId="0" applyNumberFormat="1" applyFont="1" applyFill="1" applyBorder="1" applyAlignment="1">
      <alignment horizontal="right" wrapText="1"/>
    </xf>
    <xf numFmtId="168" fontId="248" fillId="54" borderId="97" xfId="0" applyNumberFormat="1" applyFont="1" applyFill="1" applyBorder="1" applyAlignment="1">
      <alignment horizontal="right" wrapText="1"/>
    </xf>
    <xf numFmtId="168" fontId="250" fillId="54" borderId="98" xfId="0" applyNumberFormat="1" applyFont="1" applyFill="1" applyBorder="1" applyAlignment="1">
      <alignment horizontal="right" wrapText="1"/>
    </xf>
    <xf numFmtId="168" fontId="248" fillId="54" borderId="0" xfId="0" applyNumberFormat="1" applyFont="1" applyFill="1" applyAlignment="1">
      <alignment horizontal="right" wrapText="1"/>
    </xf>
    <xf numFmtId="168" fontId="250" fillId="54" borderId="99" xfId="0" applyNumberFormat="1" applyFont="1" applyFill="1" applyBorder="1" applyAlignment="1">
      <alignment horizontal="right" wrapText="1"/>
    </xf>
    <xf numFmtId="168" fontId="250" fillId="0" borderId="0" xfId="0" applyNumberFormat="1" applyFont="1" applyFill="1" applyBorder="1" applyAlignment="1">
      <alignment horizontal="right" wrapText="1"/>
    </xf>
    <xf numFmtId="0" fontId="318" fillId="0" borderId="97" xfId="0" applyFont="1" applyFill="1" applyBorder="1" applyAlignment="1">
      <alignment horizontal="right" wrapText="1"/>
    </xf>
    <xf numFmtId="168" fontId="248" fillId="0" borderId="98" xfId="0" applyNumberFormat="1" applyFont="1" applyFill="1" applyBorder="1" applyAlignment="1">
      <alignment horizontal="right" wrapText="1"/>
    </xf>
    <xf numFmtId="168" fontId="248" fillId="0" borderId="97" xfId="0" applyNumberFormat="1" applyFont="1" applyFill="1" applyBorder="1" applyAlignment="1">
      <alignment horizontal="right" wrapText="1"/>
    </xf>
    <xf numFmtId="168" fontId="250" fillId="0" borderId="98" xfId="0" applyNumberFormat="1" applyFont="1" applyFill="1" applyBorder="1" applyAlignment="1">
      <alignment horizontal="right" wrapText="1"/>
    </xf>
    <xf numFmtId="168" fontId="248" fillId="0" borderId="0" xfId="0" applyNumberFormat="1" applyFont="1" applyFill="1" applyAlignment="1">
      <alignment horizontal="right" wrapText="1"/>
    </xf>
    <xf numFmtId="0" fontId="318" fillId="61" borderId="97" xfId="0" applyFont="1" applyFill="1" applyBorder="1" applyAlignment="1">
      <alignment horizontal="right" wrapText="1"/>
    </xf>
    <xf numFmtId="341" fontId="250" fillId="0" borderId="98" xfId="0" applyNumberFormat="1" applyFont="1" applyFill="1" applyBorder="1" applyAlignment="1">
      <alignment horizontal="right" wrapText="1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Border="1" applyAlignment="1">
      <alignment horizontal="right" vertical="center" wrapText="1"/>
    </xf>
    <xf numFmtId="0" fontId="319" fillId="0" borderId="71" xfId="0" applyFont="1" applyBorder="1" applyAlignment="1">
      <alignment wrapText="1"/>
    </xf>
    <xf numFmtId="10" fontId="248" fillId="54" borderId="0" xfId="24776" applyNumberFormat="1" applyFont="1" applyFill="1" applyBorder="1" applyAlignment="1">
      <alignment horizontal="right" vertical="center"/>
    </xf>
    <xf numFmtId="0" fontId="307" fillId="0" borderId="71" xfId="0" applyFont="1" applyFill="1" applyBorder="1" applyAlignment="1"/>
    <xf numFmtId="0" fontId="319" fillId="0" borderId="71" xfId="0" applyFont="1" applyFill="1" applyBorder="1" applyAlignment="1">
      <alignment wrapText="1"/>
    </xf>
    <xf numFmtId="341" fontId="248" fillId="54" borderId="0" xfId="3010" applyNumberFormat="1" applyFont="1" applyFill="1" applyBorder="1" applyAlignment="1">
      <alignment horizontal="right" vertical="center"/>
    </xf>
    <xf numFmtId="341" fontId="248" fillId="61" borderId="0" xfId="3010" applyNumberFormat="1" applyFont="1" applyFill="1" applyBorder="1" applyAlignment="1">
      <alignment horizontal="right" vertical="center"/>
    </xf>
    <xf numFmtId="332" fontId="319" fillId="0" borderId="0" xfId="0" applyNumberFormat="1" applyFont="1" applyFill="1" applyBorder="1" applyAlignment="1">
      <alignment horizontal="right" vertical="center" wrapText="1"/>
    </xf>
    <xf numFmtId="332" fontId="370" fillId="0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0" fontId="321" fillId="0" borderId="71" xfId="0" applyFont="1" applyFill="1" applyBorder="1" applyAlignment="1">
      <alignment vertical="center" wrapText="1"/>
    </xf>
    <xf numFmtId="0" fontId="319" fillId="0" borderId="70" xfId="0" applyFont="1" applyFill="1" applyBorder="1" applyAlignment="1">
      <alignment vertical="center" wrapText="1"/>
    </xf>
    <xf numFmtId="332" fontId="248" fillId="54" borderId="70" xfId="0" applyNumberFormat="1" applyFont="1" applyFill="1" applyBorder="1" applyAlignment="1">
      <alignment horizontal="right" vertical="center" wrapText="1"/>
    </xf>
    <xf numFmtId="0" fontId="319" fillId="0" borderId="0" xfId="0" applyFont="1" applyAlignment="1">
      <alignment vertical="center" wrapText="1"/>
    </xf>
    <xf numFmtId="332" fontId="248" fillId="54" borderId="0" xfId="0" applyNumberFormat="1" applyFont="1" applyFill="1" applyBorder="1" applyAlignment="1">
      <alignment horizontal="right" vertical="center" wrapText="1"/>
    </xf>
    <xf numFmtId="332" fontId="319" fillId="0" borderId="0" xfId="0" applyNumberFormat="1" applyFont="1" applyAlignment="1">
      <alignment horizontal="right" vertical="center"/>
    </xf>
    <xf numFmtId="332" fontId="319" fillId="0" borderId="0" xfId="0" applyNumberFormat="1" applyFont="1" applyAlignment="1">
      <alignment horizontal="right" vertical="center" wrapText="1"/>
    </xf>
    <xf numFmtId="0" fontId="319" fillId="0" borderId="71" xfId="0" applyFont="1" applyBorder="1" applyAlignment="1">
      <alignment vertical="center" wrapText="1"/>
    </xf>
    <xf numFmtId="332" fontId="319" fillId="0" borderId="94" xfId="0" applyNumberFormat="1" applyFont="1" applyBorder="1" applyAlignment="1">
      <alignment horizontal="right" vertical="center"/>
    </xf>
    <xf numFmtId="332" fontId="320" fillId="0" borderId="95" xfId="0" applyNumberFormat="1" applyFont="1" applyBorder="1" applyAlignment="1">
      <alignment horizontal="right" vertical="center" wrapText="1"/>
    </xf>
    <xf numFmtId="332" fontId="319" fillId="0" borderId="0" xfId="0" applyNumberFormat="1" applyFont="1" applyBorder="1" applyAlignment="1">
      <alignment horizontal="right" vertical="center" wrapText="1"/>
    </xf>
    <xf numFmtId="0" fontId="319" fillId="0" borderId="0" xfId="0" applyFont="1" applyAlignment="1"/>
    <xf numFmtId="332" fontId="248" fillId="0" borderId="0" xfId="0" applyNumberFormat="1" applyFont="1" applyFill="1" applyBorder="1" applyAlignment="1">
      <alignment horizontal="right" vertical="center" wrapText="1"/>
    </xf>
    <xf numFmtId="355" fontId="248" fillId="54" borderId="0" xfId="0" applyNumberFormat="1" applyFont="1" applyFill="1" applyBorder="1" applyAlignment="1">
      <alignment horizontal="right" vertical="center" wrapText="1"/>
    </xf>
    <xf numFmtId="355" fontId="248" fillId="0" borderId="0" xfId="0" applyNumberFormat="1" applyFont="1" applyFill="1" applyBorder="1" applyAlignment="1">
      <alignment horizontal="right" vertical="center" wrapText="1"/>
    </xf>
    <xf numFmtId="168" fontId="318" fillId="0" borderId="71" xfId="0" applyNumberFormat="1" applyFont="1" applyFill="1" applyBorder="1" applyAlignment="1">
      <alignment horizontal="right" wrapText="1"/>
    </xf>
    <xf numFmtId="332" fontId="319" fillId="0" borderId="70" xfId="0" applyNumberFormat="1" applyFont="1" applyFill="1" applyBorder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9" fontId="319" fillId="0" borderId="0" xfId="0" applyNumberFormat="1" applyFont="1" applyAlignment="1">
      <alignment horizontal="right" vertical="center" wrapText="1"/>
    </xf>
    <xf numFmtId="0" fontId="319" fillId="0" borderId="0" xfId="0" applyFont="1" applyAlignment="1">
      <alignment horizontal="right" vertical="center" wrapText="1"/>
    </xf>
    <xf numFmtId="0" fontId="306" fillId="0" borderId="71" xfId="0" applyFont="1" applyFill="1" applyBorder="1" applyAlignment="1">
      <alignment vertical="center" wrapText="1"/>
    </xf>
    <xf numFmtId="168" fontId="248" fillId="0" borderId="70" xfId="0" applyNumberFormat="1" applyFont="1" applyFill="1" applyBorder="1" applyAlignment="1">
      <alignment horizontal="right" vertical="center" wrapText="1"/>
    </xf>
    <xf numFmtId="168" fontId="248" fillId="0" borderId="0" xfId="0" applyNumberFormat="1" applyFont="1" applyFill="1" applyBorder="1" applyAlignment="1">
      <alignment horizontal="right" vertical="center" wrapText="1"/>
    </xf>
    <xf numFmtId="168" fontId="248" fillId="0" borderId="0" xfId="8938" applyNumberFormat="1" applyFont="1" applyFill="1" applyBorder="1" applyAlignment="1">
      <alignment horizontal="right" vertical="center" wrapText="1"/>
    </xf>
    <xf numFmtId="353" fontId="248" fillId="54" borderId="0" xfId="0" applyNumberFormat="1" applyFont="1" applyFill="1" applyBorder="1" applyAlignment="1">
      <alignment horizontal="right" vertical="center" wrapText="1"/>
    </xf>
    <xf numFmtId="169" fontId="319" fillId="0" borderId="0" xfId="0" applyNumberFormat="1" applyFont="1" applyAlignment="1">
      <alignment horizontal="right" vertical="center" wrapText="1"/>
    </xf>
    <xf numFmtId="0" fontId="306" fillId="61" borderId="106" xfId="3010" applyFont="1" applyFill="1" applyBorder="1" applyAlignment="1">
      <alignment vertical="center"/>
    </xf>
    <xf numFmtId="168" fontId="317" fillId="0" borderId="106" xfId="3010" applyNumberFormat="1" applyFont="1" applyFill="1" applyBorder="1" applyAlignment="1">
      <alignment horizontal="right"/>
    </xf>
    <xf numFmtId="0" fontId="371" fillId="61" borderId="106" xfId="3010" applyFont="1" applyFill="1" applyBorder="1" applyAlignment="1">
      <alignment horizontal="right"/>
    </xf>
    <xf numFmtId="0" fontId="248" fillId="61" borderId="107" xfId="3010" applyFont="1" applyFill="1" applyBorder="1" applyAlignment="1">
      <alignment vertical="center"/>
    </xf>
    <xf numFmtId="350" fontId="248" fillId="0" borderId="107" xfId="3010" applyNumberFormat="1" applyFont="1" applyFill="1" applyBorder="1" applyAlignment="1">
      <alignment horizontal="right" vertical="center" wrapText="1"/>
    </xf>
    <xf numFmtId="0" fontId="371" fillId="61" borderId="107" xfId="3010" applyFont="1" applyFill="1" applyBorder="1" applyAlignment="1">
      <alignment horizontal="right" vertical="center"/>
    </xf>
    <xf numFmtId="0" fontId="306" fillId="61" borderId="106" xfId="3010" applyFont="1" applyFill="1" applyBorder="1" applyAlignment="1">
      <alignment vertical="center" wrapText="1"/>
    </xf>
    <xf numFmtId="0" fontId="318" fillId="0" borderId="106" xfId="3010" applyFont="1" applyFill="1" applyBorder="1" applyAlignment="1">
      <alignment horizontal="right"/>
    </xf>
    <xf numFmtId="168" fontId="248" fillId="0" borderId="107" xfId="3010" applyNumberFormat="1" applyFont="1" applyFill="1" applyBorder="1" applyAlignment="1">
      <alignment horizontal="right" vertical="center" wrapText="1"/>
    </xf>
    <xf numFmtId="337" fontId="248" fillId="0" borderId="107" xfId="3010" applyNumberFormat="1" applyFont="1" applyFill="1" applyBorder="1" applyAlignment="1">
      <alignment horizontal="right" vertical="center"/>
    </xf>
    <xf numFmtId="168" fontId="248" fillId="55" borderId="70" xfId="0" applyNumberFormat="1" applyFont="1" applyFill="1" applyBorder="1" applyAlignment="1">
      <alignment horizontal="right" vertical="center" wrapText="1"/>
    </xf>
    <xf numFmtId="168" fontId="248" fillId="55" borderId="71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8" fontId="320" fillId="55" borderId="70" xfId="0" applyNumberFormat="1" applyFont="1" applyFill="1" applyBorder="1" applyAlignment="1">
      <alignment horizontal="right" vertical="center" wrapText="1"/>
    </xf>
    <xf numFmtId="168" fontId="320" fillId="0" borderId="0" xfId="0" applyNumberFormat="1" applyFont="1" applyFill="1" applyBorder="1" applyAlignment="1">
      <alignment horizontal="right" vertical="center" wrapText="1"/>
    </xf>
    <xf numFmtId="0" fontId="319" fillId="0" borderId="71" xfId="0" applyFont="1" applyFill="1" applyBorder="1" applyAlignment="1">
      <alignment vertical="center" wrapText="1"/>
    </xf>
    <xf numFmtId="168" fontId="319" fillId="0" borderId="0" xfId="0" applyNumberFormat="1" applyFont="1" applyFill="1" applyAlignment="1">
      <alignment horizontal="right" vertical="center" wrapText="1"/>
    </xf>
    <xf numFmtId="1" fontId="248" fillId="0" borderId="0" xfId="24776" applyNumberFormat="1" applyFont="1" applyFill="1" applyBorder="1" applyAlignment="1">
      <alignment horizontal="right" vertical="center" wrapText="1"/>
    </xf>
    <xf numFmtId="333" fontId="319" fillId="0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/>
    </xf>
    <xf numFmtId="0" fontId="321" fillId="0" borderId="71" xfId="0" applyFont="1" applyFill="1" applyBorder="1" applyAlignment="1">
      <alignment vertical="center"/>
    </xf>
    <xf numFmtId="0" fontId="248" fillId="0" borderId="0" xfId="0" applyFont="1" applyFill="1" applyBorder="1" applyAlignment="1">
      <alignment vertical="center" wrapText="1"/>
    </xf>
    <xf numFmtId="169" fontId="248" fillId="0" borderId="0" xfId="24776" applyNumberFormat="1" applyFont="1" applyFill="1" applyBorder="1" applyAlignment="1">
      <alignment horizontal="right" vertical="center" wrapText="1"/>
    </xf>
    <xf numFmtId="169" fontId="319" fillId="0" borderId="0" xfId="24776" applyNumberFormat="1" applyFont="1" applyFill="1" applyBorder="1" applyAlignment="1">
      <alignment horizontal="right" vertical="center" wrapText="1"/>
    </xf>
    <xf numFmtId="9" fontId="319" fillId="0" borderId="0" xfId="24776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334" fontId="319" fillId="55" borderId="0" xfId="0" applyNumberFormat="1" applyFont="1" applyFill="1" applyBorder="1" applyAlignment="1">
      <alignment horizontal="right" vertical="center" wrapText="1"/>
    </xf>
    <xf numFmtId="0" fontId="319" fillId="0" borderId="0" xfId="0" applyFont="1" applyFill="1" applyAlignment="1">
      <alignment vertical="center" wrapText="1"/>
    </xf>
    <xf numFmtId="10" fontId="319" fillId="55" borderId="0" xfId="24776" applyNumberFormat="1" applyFont="1" applyFill="1" applyBorder="1" applyAlignment="1">
      <alignment horizontal="right" vertical="center" wrapText="1"/>
    </xf>
    <xf numFmtId="325" fontId="248" fillId="0" borderId="0" xfId="0" applyNumberFormat="1" applyFont="1" applyFill="1" applyBorder="1" applyAlignment="1">
      <alignment horizontal="right" vertical="center" wrapText="1"/>
    </xf>
    <xf numFmtId="168" fontId="319" fillId="55" borderId="70" xfId="0" applyNumberFormat="1" applyFont="1" applyFill="1" applyBorder="1" applyAlignment="1">
      <alignment horizontal="right" vertical="center" wrapText="1"/>
    </xf>
    <xf numFmtId="168" fontId="318" fillId="55" borderId="0" xfId="0" applyNumberFormat="1" applyFont="1" applyFill="1" applyBorder="1" applyAlignment="1">
      <alignment horizontal="right" wrapText="1"/>
    </xf>
    <xf numFmtId="332" fontId="319" fillId="0" borderId="0" xfId="0" quotePrefix="1" applyNumberFormat="1" applyFont="1" applyFill="1" applyBorder="1" applyAlignment="1">
      <alignment horizontal="right" vertical="center" wrapText="1"/>
    </xf>
    <xf numFmtId="0" fontId="320" fillId="0" borderId="104" xfId="0" applyFont="1" applyFill="1" applyBorder="1" applyAlignment="1">
      <alignment vertical="center" wrapText="1"/>
    </xf>
    <xf numFmtId="0" fontId="319" fillId="0" borderId="71" xfId="0" applyFont="1" applyFill="1" applyBorder="1" applyAlignment="1">
      <alignment vertical="center"/>
    </xf>
    <xf numFmtId="0" fontId="319" fillId="0" borderId="96" xfId="0" applyFont="1" applyFill="1" applyBorder="1" applyAlignment="1">
      <alignment vertical="center" wrapText="1"/>
    </xf>
    <xf numFmtId="0" fontId="321" fillId="0" borderId="108" xfId="0" applyFont="1" applyFill="1" applyBorder="1" applyAlignment="1">
      <alignment vertical="center" wrapText="1"/>
    </xf>
    <xf numFmtId="0" fontId="248" fillId="0" borderId="109" xfId="3010" applyFont="1" applyFill="1" applyBorder="1" applyAlignment="1">
      <alignment vertical="center" wrapText="1"/>
    </xf>
    <xf numFmtId="9" fontId="248" fillId="54" borderId="0" xfId="0" applyNumberFormat="1" applyFont="1" applyFill="1" applyBorder="1" applyAlignment="1">
      <alignment horizontal="right" vertical="center" wrapText="1"/>
    </xf>
    <xf numFmtId="0" fontId="319" fillId="0" borderId="109" xfId="0" applyFont="1" applyFill="1" applyBorder="1" applyAlignment="1">
      <alignment vertical="center" wrapText="1"/>
    </xf>
    <xf numFmtId="0" fontId="373" fillId="0" borderId="0" xfId="0" applyFont="1" applyFill="1" applyBorder="1" applyAlignment="1">
      <alignment vertical="center" wrapText="1"/>
    </xf>
    <xf numFmtId="332" fontId="318" fillId="55" borderId="71" xfId="0" applyNumberFormat="1" applyFont="1" applyFill="1" applyBorder="1" applyAlignment="1">
      <alignment horizontal="right" wrapText="1"/>
    </xf>
    <xf numFmtId="0" fontId="321" fillId="0" borderId="105" xfId="0" applyFont="1" applyFill="1" applyBorder="1" applyAlignment="1">
      <alignment vertical="center" wrapText="1"/>
    </xf>
    <xf numFmtId="0" fontId="248" fillId="0" borderId="0" xfId="0" applyFont="1" applyFill="1" applyBorder="1" applyAlignment="1">
      <alignment horizontal="right" wrapText="1"/>
    </xf>
    <xf numFmtId="168" fontId="248" fillId="0" borderId="0" xfId="0" applyNumberFormat="1" applyFont="1" applyFill="1" applyBorder="1" applyAlignment="1">
      <alignment horizontal="right" wrapText="1"/>
    </xf>
    <xf numFmtId="0" fontId="248" fillId="0" borderId="71" xfId="0" applyFont="1" applyBorder="1" applyAlignment="1">
      <alignment horizontal="right" wrapText="1"/>
    </xf>
    <xf numFmtId="338" fontId="248" fillId="0" borderId="70" xfId="0" applyNumberFormat="1" applyFont="1" applyFill="1" applyBorder="1" applyAlignment="1">
      <alignment horizontal="right" vertical="center" wrapText="1"/>
    </xf>
    <xf numFmtId="344" fontId="248" fillId="0" borderId="70" xfId="0" applyNumberFormat="1" applyFont="1" applyFill="1" applyBorder="1" applyAlignment="1">
      <alignment horizontal="right" vertical="center" wrapText="1"/>
    </xf>
    <xf numFmtId="338" fontId="248" fillId="0" borderId="0" xfId="0" applyNumberFormat="1" applyFont="1" applyFill="1" applyBorder="1" applyAlignment="1">
      <alignment horizontal="right" vertical="center" wrapText="1"/>
    </xf>
    <xf numFmtId="344" fontId="248" fillId="0" borderId="0" xfId="0" applyNumberFormat="1" applyFont="1" applyFill="1" applyBorder="1" applyAlignment="1">
      <alignment horizontal="right" vertical="center" wrapText="1"/>
    </xf>
    <xf numFmtId="168" fontId="248" fillId="0" borderId="71" xfId="0" applyNumberFormat="1" applyFont="1" applyFill="1" applyBorder="1" applyAlignment="1">
      <alignment horizontal="right" vertical="center" wrapText="1"/>
    </xf>
    <xf numFmtId="338" fontId="248" fillId="0" borderId="71" xfId="0" applyNumberFormat="1" applyFont="1" applyFill="1" applyBorder="1" applyAlignment="1">
      <alignment horizontal="right" vertical="center" wrapText="1"/>
    </xf>
    <xf numFmtId="344" fontId="248" fillId="0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wrapText="1"/>
    </xf>
    <xf numFmtId="338" fontId="248" fillId="0" borderId="70" xfId="0" applyNumberFormat="1" applyFont="1" applyFill="1" applyBorder="1" applyAlignment="1">
      <alignment horizontal="right" wrapText="1"/>
    </xf>
    <xf numFmtId="344" fontId="248" fillId="0" borderId="70" xfId="0" applyNumberFormat="1" applyFont="1" applyFill="1" applyBorder="1" applyAlignment="1">
      <alignment horizontal="right" wrapText="1"/>
    </xf>
    <xf numFmtId="168" fontId="248" fillId="0" borderId="71" xfId="0" applyNumberFormat="1" applyFont="1" applyFill="1" applyBorder="1" applyAlignment="1">
      <alignment horizontal="right" wrapText="1"/>
    </xf>
    <xf numFmtId="338" fontId="248" fillId="0" borderId="71" xfId="0" applyNumberFormat="1" applyFont="1" applyFill="1" applyBorder="1" applyAlignment="1">
      <alignment horizontal="right" wrapText="1"/>
    </xf>
    <xf numFmtId="344" fontId="248" fillId="0" borderId="71" xfId="0" applyNumberFormat="1" applyFont="1" applyFill="1" applyBorder="1" applyAlignment="1">
      <alignment horizontal="right" wrapText="1"/>
    </xf>
    <xf numFmtId="168" fontId="250" fillId="0" borderId="70" xfId="0" applyNumberFormat="1" applyFont="1" applyFill="1" applyBorder="1" applyAlignment="1">
      <alignment horizontal="right" wrapText="1"/>
    </xf>
    <xf numFmtId="338" fontId="250" fillId="0" borderId="70" xfId="0" applyNumberFormat="1" applyFont="1" applyFill="1" applyBorder="1" applyAlignment="1">
      <alignment horizontal="right" wrapText="1"/>
    </xf>
    <xf numFmtId="344" fontId="250" fillId="0" borderId="70" xfId="0" applyNumberFormat="1" applyFont="1" applyFill="1" applyBorder="1" applyAlignment="1">
      <alignment horizontal="right" wrapText="1"/>
    </xf>
    <xf numFmtId="343" fontId="250" fillId="54" borderId="98" xfId="0" applyNumberFormat="1" applyFont="1" applyFill="1" applyBorder="1" applyAlignment="1">
      <alignment horizontal="right" wrapText="1"/>
    </xf>
    <xf numFmtId="325" fontId="248" fillId="0" borderId="0" xfId="3010" applyNumberFormat="1" applyFont="1" applyFill="1" applyBorder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0" fontId="317" fillId="61" borderId="0" xfId="24797" applyFont="1" applyFill="1" applyAlignment="1">
      <alignment horizontal="right"/>
    </xf>
    <xf numFmtId="168" fontId="248" fillId="54" borderId="70" xfId="2988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wrapText="1"/>
    </xf>
    <xf numFmtId="0" fontId="248" fillId="0" borderId="0" xfId="3010" applyFont="1" applyFill="1" applyBorder="1" applyAlignment="1">
      <alignment wrapText="1"/>
    </xf>
    <xf numFmtId="0" fontId="248" fillId="55" borderId="0" xfId="3010" applyFont="1" applyFill="1" applyAlignment="1">
      <alignment vertical="center" wrapText="1"/>
    </xf>
    <xf numFmtId="0" fontId="318" fillId="0" borderId="71" xfId="0" applyFont="1" applyBorder="1" applyAlignment="1">
      <alignment horizontal="right" wrapText="1"/>
    </xf>
    <xf numFmtId="0" fontId="318" fillId="0" borderId="0" xfId="0" applyFont="1" applyBorder="1" applyAlignment="1">
      <alignment horizontal="right" wrapText="1"/>
    </xf>
    <xf numFmtId="0" fontId="318" fillId="0" borderId="0" xfId="0" applyFont="1" applyFill="1" applyBorder="1" applyAlignment="1">
      <alignment horizontal="right" wrapText="1"/>
    </xf>
    <xf numFmtId="325" fontId="324" fillId="0" borderId="0" xfId="2979" applyNumberFormat="1" applyFont="1" applyFill="1" applyBorder="1" applyAlignment="1">
      <alignment vertical="center"/>
    </xf>
    <xf numFmtId="325" fontId="324" fillId="0" borderId="0" xfId="2979" applyNumberFormat="1" applyFont="1" applyFill="1" applyBorder="1" applyAlignment="1">
      <alignment vertical="center" wrapText="1"/>
    </xf>
    <xf numFmtId="0" fontId="318" fillId="0" borderId="71" xfId="15472" applyFont="1" applyFill="1" applyBorder="1" applyAlignment="1">
      <alignment horizontal="right"/>
    </xf>
    <xf numFmtId="0" fontId="318" fillId="0" borderId="71" xfId="15472" applyFont="1" applyFill="1" applyBorder="1" applyAlignment="1">
      <alignment horizontal="right" wrapText="1"/>
    </xf>
    <xf numFmtId="332" fontId="248" fillId="0" borderId="0" xfId="3010" applyNumberFormat="1" applyFont="1" applyAlignment="1">
      <alignment vertical="center"/>
    </xf>
    <xf numFmtId="341" fontId="248" fillId="58" borderId="0" xfId="3010" applyNumberFormat="1" applyFont="1" applyFill="1" applyBorder="1" applyAlignment="1">
      <alignment horizontal="center" vertical="center"/>
    </xf>
    <xf numFmtId="265" fontId="323" fillId="0" borderId="0" xfId="16678" applyNumberFormat="1"/>
    <xf numFmtId="327" fontId="248" fillId="0" borderId="0" xfId="3010" applyNumberFormat="1" applyFont="1" applyFill="1" applyAlignment="1">
      <alignment vertical="center"/>
    </xf>
    <xf numFmtId="329" fontId="317" fillId="0" borderId="0" xfId="24797" applyNumberFormat="1" applyFont="1" applyFill="1" applyBorder="1" applyAlignment="1">
      <alignment horizontal="right" wrapText="1"/>
    </xf>
    <xf numFmtId="0" fontId="317" fillId="0" borderId="0" xfId="2979" applyFont="1" applyFill="1" applyBorder="1" applyAlignment="1">
      <alignment horizontal="right"/>
    </xf>
    <xf numFmtId="325" fontId="318" fillId="0" borderId="71" xfId="2979" applyNumberFormat="1" applyFont="1" applyFill="1" applyBorder="1" applyAlignment="1">
      <alignment horizontal="right"/>
    </xf>
    <xf numFmtId="0" fontId="318" fillId="0" borderId="71" xfId="3010" applyFont="1" applyBorder="1" applyAlignment="1">
      <alignment horizontal="right"/>
    </xf>
    <xf numFmtId="0" fontId="317" fillId="0" borderId="71" xfId="3010" applyFont="1" applyFill="1" applyBorder="1" applyAlignment="1">
      <alignment horizontal="right"/>
    </xf>
    <xf numFmtId="0" fontId="317" fillId="61" borderId="71" xfId="24800" applyFont="1" applyFill="1" applyBorder="1" applyAlignment="1">
      <alignment horizontal="right" wrapText="1"/>
    </xf>
    <xf numFmtId="0" fontId="377" fillId="0" borderId="0" xfId="3010" applyFont="1" applyFill="1" applyBorder="1" applyAlignment="1">
      <alignment horizontal="right" vertical="center"/>
    </xf>
    <xf numFmtId="0" fontId="248" fillId="0" borderId="0" xfId="2988" applyFont="1" applyFill="1" applyBorder="1" applyAlignment="1"/>
    <xf numFmtId="332" fontId="318" fillId="0" borderId="71" xfId="0" applyNumberFormat="1" applyFont="1" applyFill="1" applyBorder="1" applyAlignment="1">
      <alignment horizontal="right" wrapText="1"/>
    </xf>
    <xf numFmtId="0" fontId="317" fillId="0" borderId="0" xfId="3010" applyFont="1" applyFill="1" applyAlignment="1">
      <alignment horizontal="right" wrapText="1"/>
    </xf>
    <xf numFmtId="0" fontId="317" fillId="55" borderId="0" xfId="2988" applyFont="1" applyFill="1" applyBorder="1" applyAlignment="1">
      <alignment horizontal="right" wrapText="1"/>
    </xf>
    <xf numFmtId="9" fontId="248" fillId="0" borderId="70" xfId="3010" applyNumberFormat="1" applyFont="1" applyFill="1" applyBorder="1" applyAlignment="1">
      <alignment horizontal="right" vertical="center"/>
    </xf>
    <xf numFmtId="350" fontId="248" fillId="54" borderId="71" xfId="3010" applyNumberFormat="1" applyFont="1" applyFill="1" applyBorder="1" applyAlignment="1">
      <alignment horizontal="right" vertical="center" wrapText="1"/>
    </xf>
    <xf numFmtId="0" fontId="324" fillId="0" borderId="0" xfId="3010" applyFont="1" applyBorder="1" applyAlignment="1">
      <alignment vertical="center"/>
    </xf>
    <xf numFmtId="0" fontId="321" fillId="0" borderId="110" xfId="17255" applyFont="1" applyFill="1" applyBorder="1" applyAlignment="1">
      <alignment wrapText="1"/>
    </xf>
    <xf numFmtId="1" fontId="248" fillId="0" borderId="0" xfId="3010" applyNumberFormat="1" applyFont="1" applyFill="1" applyBorder="1" applyAlignment="1">
      <alignment vertical="center"/>
    </xf>
    <xf numFmtId="348" fontId="319" fillId="0" borderId="0" xfId="0" applyNumberFormat="1" applyFont="1" applyFill="1" applyBorder="1" applyAlignment="1">
      <alignment horizontal="right" vertical="center" wrapText="1"/>
    </xf>
    <xf numFmtId="168" fontId="248" fillId="55" borderId="0" xfId="20981" applyNumberFormat="1" applyFont="1" applyFill="1" applyBorder="1" applyAlignment="1">
      <alignment horizontal="right" vertical="center" wrapText="1"/>
    </xf>
    <xf numFmtId="332" fontId="320" fillId="0" borderId="0" xfId="0" applyNumberFormat="1" applyFont="1" applyFill="1" applyBorder="1" applyAlignment="1">
      <alignment horizontal="right"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248" fillId="127" borderId="0" xfId="3010" applyFont="1" applyFill="1" applyAlignment="1">
      <alignment vertical="center"/>
    </xf>
    <xf numFmtId="0" fontId="378" fillId="0" borderId="0" xfId="15472" applyFont="1" applyBorder="1" applyAlignment="1">
      <alignment vertical="center"/>
    </xf>
    <xf numFmtId="0" fontId="250" fillId="61" borderId="0" xfId="3010" applyFont="1" applyFill="1" applyAlignment="1">
      <alignment vertical="center"/>
    </xf>
    <xf numFmtId="0" fontId="317" fillId="61" borderId="0" xfId="24800" applyFont="1" applyFill="1" applyAlignment="1">
      <alignment horizontal="right" wrapText="1"/>
    </xf>
    <xf numFmtId="331" fontId="320" fillId="0" borderId="0" xfId="3010" applyNumberFormat="1" applyFont="1" applyFill="1" applyBorder="1" applyAlignment="1">
      <alignment horizontal="right" vertical="center"/>
    </xf>
    <xf numFmtId="332" fontId="248" fillId="54" borderId="111" xfId="0" applyNumberFormat="1" applyFont="1" applyFill="1" applyBorder="1" applyAlignment="1">
      <alignment horizontal="right" vertical="center" wrapText="1"/>
    </xf>
    <xf numFmtId="332" fontId="250" fillId="54" borderId="112" xfId="0" applyNumberFormat="1" applyFont="1" applyFill="1" applyBorder="1" applyAlignment="1">
      <alignment horizontal="right" vertical="center" wrapText="1"/>
    </xf>
    <xf numFmtId="352" fontId="248" fillId="0" borderId="0" xfId="2988" applyNumberFormat="1" applyFont="1" applyFill="1" applyBorder="1" applyAlignment="1">
      <alignment horizontal="right" vertical="center" wrapText="1"/>
    </xf>
    <xf numFmtId="234" fontId="248" fillId="54" borderId="0" xfId="24794" applyNumberFormat="1" applyFont="1" applyFill="1" applyBorder="1" applyAlignment="1">
      <alignment horizontal="right" vertical="center" wrapText="1"/>
    </xf>
    <xf numFmtId="168" fontId="250" fillId="0" borderId="70" xfId="3010" applyNumberFormat="1" applyFont="1" applyFill="1" applyBorder="1" applyAlignment="1">
      <alignment vertical="center"/>
    </xf>
    <xf numFmtId="332" fontId="248" fillId="54" borderId="107" xfId="3010" applyNumberFormat="1" applyFont="1" applyFill="1" applyBorder="1" applyAlignment="1">
      <alignment horizontal="right" vertical="center" wrapText="1"/>
    </xf>
    <xf numFmtId="325" fontId="248" fillId="54" borderId="0" xfId="3010" applyNumberFormat="1" applyFont="1" applyFill="1" applyAlignment="1">
      <alignment horizontal="right" vertical="center" wrapText="1"/>
    </xf>
    <xf numFmtId="358" fontId="248" fillId="54" borderId="0" xfId="3010" applyNumberFormat="1" applyFont="1" applyFill="1" applyBorder="1" applyAlignment="1">
      <alignment horizontal="right" vertical="center"/>
    </xf>
    <xf numFmtId="330" fontId="248" fillId="54" borderId="0" xfId="3010" applyNumberFormat="1" applyFont="1" applyFill="1" applyBorder="1" applyAlignment="1">
      <alignment horizontal="right" vertical="center"/>
    </xf>
    <xf numFmtId="169" fontId="248" fillId="54" borderId="70" xfId="24776" applyNumberFormat="1" applyFont="1" applyFill="1" applyBorder="1" applyAlignment="1">
      <alignment horizontal="right" vertical="center" wrapText="1"/>
    </xf>
    <xf numFmtId="348" fontId="248" fillId="54" borderId="0" xfId="0" applyNumberFormat="1" applyFont="1" applyFill="1" applyBorder="1" applyAlignment="1">
      <alignment horizontal="right" vertical="center" wrapText="1"/>
    </xf>
    <xf numFmtId="168" fontId="248" fillId="128" borderId="107" xfId="3010" applyNumberFormat="1" applyFont="1" applyFill="1" applyBorder="1" applyAlignment="1">
      <alignment horizontal="right" vertical="center" wrapText="1"/>
    </xf>
    <xf numFmtId="168" fontId="248" fillId="128" borderId="0" xfId="3010" applyNumberFormat="1" applyFont="1" applyFill="1" applyBorder="1" applyAlignment="1">
      <alignment horizontal="right" vertical="center" wrapText="1"/>
    </xf>
    <xf numFmtId="168" fontId="248" fillId="126" borderId="71" xfId="3010" applyNumberFormat="1" applyFont="1" applyFill="1" applyBorder="1" applyAlignment="1">
      <alignment horizontal="right" vertical="center"/>
    </xf>
    <xf numFmtId="168" fontId="250" fillId="126" borderId="70" xfId="3010" applyNumberFormat="1" applyFont="1" applyFill="1" applyBorder="1" applyAlignment="1">
      <alignment horizontal="right" vertical="center"/>
    </xf>
    <xf numFmtId="168" fontId="248" fillId="126" borderId="0" xfId="3010" applyNumberFormat="1" applyFont="1" applyFill="1" applyBorder="1" applyAlignment="1">
      <alignment horizontal="right" vertical="center"/>
    </xf>
    <xf numFmtId="352" fontId="248" fillId="126" borderId="70" xfId="2988" applyNumberFormat="1" applyFont="1" applyFill="1" applyBorder="1" applyAlignment="1">
      <alignment horizontal="right" vertical="center" wrapText="1"/>
    </xf>
    <xf numFmtId="352" fontId="248" fillId="126" borderId="0" xfId="2988" applyNumberFormat="1" applyFont="1" applyFill="1" applyBorder="1" applyAlignment="1">
      <alignment horizontal="right" vertical="center" wrapText="1"/>
    </xf>
    <xf numFmtId="168" fontId="248" fillId="126" borderId="71" xfId="2988" applyNumberFormat="1" applyFont="1" applyFill="1" applyBorder="1" applyAlignment="1">
      <alignment vertical="center" wrapText="1"/>
    </xf>
    <xf numFmtId="168" fontId="250" fillId="126" borderId="70" xfId="2988" applyNumberFormat="1" applyFont="1" applyFill="1" applyBorder="1" applyAlignment="1">
      <alignment vertical="center" wrapText="1"/>
    </xf>
    <xf numFmtId="168" fontId="248" fillId="126" borderId="0" xfId="2988" applyNumberFormat="1" applyFont="1" applyFill="1" applyBorder="1" applyAlignment="1">
      <alignment vertical="center" wrapText="1"/>
    </xf>
    <xf numFmtId="168" fontId="248" fillId="126" borderId="71" xfId="2988" applyNumberFormat="1" applyFont="1" applyFill="1" applyBorder="1" applyAlignment="1">
      <alignment horizontal="right" vertical="center"/>
    </xf>
    <xf numFmtId="168" fontId="250" fillId="126" borderId="70" xfId="3010" applyNumberFormat="1" applyFont="1" applyFill="1" applyBorder="1" applyAlignment="1">
      <alignment vertical="center"/>
    </xf>
    <xf numFmtId="325" fontId="248" fillId="126" borderId="71" xfId="15472" applyNumberFormat="1" applyFont="1" applyFill="1" applyBorder="1" applyAlignment="1">
      <alignment horizontal="right" vertical="center" wrapText="1"/>
    </xf>
    <xf numFmtId="325" fontId="250" fillId="126" borderId="70" xfId="15472" applyNumberFormat="1" applyFont="1" applyFill="1" applyBorder="1" applyAlignment="1">
      <alignment horizontal="right" vertical="center" wrapText="1"/>
    </xf>
    <xf numFmtId="325" fontId="248" fillId="126" borderId="70" xfId="15472" applyNumberFormat="1" applyFont="1" applyFill="1" applyBorder="1" applyAlignment="1">
      <alignment horizontal="right" vertical="center" wrapText="1"/>
    </xf>
    <xf numFmtId="325" fontId="248" fillId="126" borderId="71" xfId="15472" applyNumberFormat="1" applyFont="1" applyFill="1" applyBorder="1" applyAlignment="1">
      <alignment horizontal="right"/>
    </xf>
    <xf numFmtId="325" fontId="250" fillId="126" borderId="70" xfId="15472" applyNumberFormat="1" applyFont="1" applyFill="1" applyBorder="1" applyAlignment="1">
      <alignment horizontal="right" vertical="center"/>
    </xf>
    <xf numFmtId="168" fontId="248" fillId="126" borderId="70" xfId="3010" applyNumberFormat="1" applyFont="1" applyFill="1" applyBorder="1" applyAlignment="1">
      <alignment vertical="center"/>
    </xf>
    <xf numFmtId="168" fontId="248" fillId="126" borderId="0" xfId="3010" applyNumberFormat="1" applyFont="1" applyFill="1" applyBorder="1" applyAlignment="1">
      <alignment vertical="center"/>
    </xf>
    <xf numFmtId="168" fontId="250" fillId="126" borderId="70" xfId="15472" applyNumberFormat="1" applyFont="1" applyFill="1" applyBorder="1" applyAlignment="1">
      <alignment horizontal="right" vertical="center" wrapText="1"/>
    </xf>
    <xf numFmtId="332" fontId="248" fillId="126" borderId="0" xfId="0" applyNumberFormat="1" applyFont="1" applyFill="1" applyBorder="1" applyAlignment="1">
      <alignment horizontal="right" vertical="center" wrapText="1"/>
    </xf>
    <xf numFmtId="359" fontId="248" fillId="58" borderId="0" xfId="3010" applyNumberFormat="1" applyFont="1" applyFill="1" applyBorder="1" applyAlignment="1">
      <alignment horizontal="center" vertical="center"/>
    </xf>
    <xf numFmtId="9" fontId="248" fillId="54" borderId="70" xfId="3010" applyNumberFormat="1" applyFont="1" applyFill="1" applyBorder="1" applyAlignment="1">
      <alignment horizontal="right" vertical="center" wrapText="1"/>
    </xf>
    <xf numFmtId="9" fontId="248" fillId="0" borderId="0" xfId="2988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70" fillId="0" borderId="0" xfId="3010" applyFont="1" applyFill="1" applyAlignment="1">
      <alignment horizontal="left" vertical="center"/>
    </xf>
    <xf numFmtId="0" fontId="370" fillId="0" borderId="0" xfId="3010" applyFont="1" applyFill="1" applyAlignment="1">
      <alignment vertical="center"/>
    </xf>
    <xf numFmtId="0" fontId="379" fillId="0" borderId="0" xfId="3010" applyFont="1" applyFill="1" applyAlignment="1">
      <alignment horizontal="left" vertical="center"/>
    </xf>
    <xf numFmtId="0" fontId="380" fillId="0" borderId="0" xfId="3010" applyFont="1" applyFill="1" applyAlignment="1">
      <alignment horizontal="left" vertical="center"/>
    </xf>
    <xf numFmtId="0" fontId="379" fillId="0" borderId="0" xfId="3010" applyFont="1" applyFill="1" applyBorder="1" applyAlignment="1">
      <alignment horizontal="left" vertical="center"/>
    </xf>
    <xf numFmtId="0" fontId="379" fillId="5" borderId="0" xfId="3010" applyFont="1" applyFill="1" applyAlignment="1">
      <alignment horizontal="left" vertical="center"/>
    </xf>
    <xf numFmtId="0" fontId="379" fillId="0" borderId="0" xfId="3010" applyFont="1" applyFill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168" fontId="248" fillId="55" borderId="0" xfId="0" applyNumberFormat="1" applyFont="1" applyFill="1" applyAlignment="1">
      <alignment horizontal="right" vertical="center" wrapText="1"/>
    </xf>
    <xf numFmtId="168" fontId="250" fillId="55" borderId="70" xfId="0" applyNumberFormat="1" applyFont="1" applyFill="1" applyBorder="1" applyAlignment="1">
      <alignment horizontal="right" vertical="center" wrapText="1"/>
    </xf>
    <xf numFmtId="0" fontId="320" fillId="61" borderId="0" xfId="0" applyFont="1" applyFill="1" applyBorder="1" applyAlignment="1">
      <alignment vertical="center" wrapText="1"/>
    </xf>
    <xf numFmtId="168" fontId="250" fillId="55" borderId="0" xfId="0" applyNumberFormat="1" applyFont="1" applyFill="1" applyBorder="1" applyAlignment="1">
      <alignment horizontal="right" vertical="center" wrapText="1"/>
    </xf>
    <xf numFmtId="168" fontId="319" fillId="0" borderId="70" xfId="24789" applyNumberFormat="1" applyFont="1" applyFill="1" applyBorder="1" applyAlignment="1">
      <alignment horizontal="right" vertical="center" wrapText="1"/>
    </xf>
    <xf numFmtId="168" fontId="319" fillId="0" borderId="71" xfId="24789" applyNumberFormat="1" applyFont="1" applyFill="1" applyBorder="1" applyAlignment="1">
      <alignment horizontal="right" vertical="center" wrapText="1"/>
    </xf>
    <xf numFmtId="168" fontId="320" fillId="0" borderId="70" xfId="24789" applyNumberFormat="1" applyFont="1" applyFill="1" applyBorder="1" applyAlignment="1">
      <alignment horizontal="right" vertical="center" wrapText="1"/>
    </xf>
    <xf numFmtId="168" fontId="319" fillId="0" borderId="71" xfId="24790" applyNumberFormat="1" applyFont="1" applyFill="1" applyBorder="1" applyAlignment="1">
      <alignment horizontal="right" vertical="center" wrapText="1"/>
    </xf>
    <xf numFmtId="168" fontId="320" fillId="0" borderId="70" xfId="24791" applyNumberFormat="1" applyFont="1" applyFill="1" applyBorder="1" applyAlignment="1">
      <alignment horizontal="right" vertical="center" wrapText="1"/>
    </xf>
    <xf numFmtId="168" fontId="319" fillId="0" borderId="71" xfId="24791" applyNumberFormat="1" applyFont="1" applyFill="1" applyBorder="1" applyAlignment="1">
      <alignment horizontal="right" vertical="center" wrapText="1"/>
    </xf>
    <xf numFmtId="168" fontId="320" fillId="0" borderId="70" xfId="24792" applyNumberFormat="1" applyFont="1" applyFill="1" applyBorder="1" applyAlignment="1">
      <alignment horizontal="right" vertical="center" wrapText="1"/>
    </xf>
    <xf numFmtId="168" fontId="319" fillId="0" borderId="71" xfId="24792" applyNumberFormat="1" applyFont="1" applyFill="1" applyBorder="1" applyAlignment="1">
      <alignment horizontal="right" vertical="center" wrapText="1"/>
    </xf>
    <xf numFmtId="168" fontId="319" fillId="0" borderId="0" xfId="24792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168" fontId="248" fillId="0" borderId="71" xfId="2979" applyNumberFormat="1" applyFont="1" applyFill="1" applyBorder="1" applyAlignment="1">
      <alignment horizontal="right" vertical="center" wrapText="1"/>
    </xf>
    <xf numFmtId="330" fontId="319" fillId="0" borderId="0" xfId="24793" applyNumberFormat="1" applyFont="1" applyFill="1" applyBorder="1" applyAlignment="1">
      <alignment horizontal="right" vertical="center" wrapText="1"/>
    </xf>
    <xf numFmtId="9" fontId="319" fillId="0" borderId="0" xfId="24793" applyFont="1" applyFill="1" applyBorder="1" applyAlignment="1">
      <alignment horizontal="right" vertical="center" wrapText="1"/>
    </xf>
    <xf numFmtId="1" fontId="248" fillId="54" borderId="0" xfId="24793" applyNumberFormat="1" applyFont="1" applyFill="1" applyBorder="1" applyAlignment="1">
      <alignment horizontal="right" vertical="center" wrapText="1"/>
    </xf>
    <xf numFmtId="1" fontId="248" fillId="0" borderId="0" xfId="24793" applyNumberFormat="1" applyFont="1" applyFill="1" applyBorder="1" applyAlignment="1">
      <alignment horizontal="right" vertical="center" wrapText="1"/>
    </xf>
    <xf numFmtId="324" fontId="248" fillId="54" borderId="0" xfId="2979" applyNumberFormat="1" applyFont="1" applyFill="1" applyBorder="1" applyAlignment="1">
      <alignment horizontal="right"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325" fontId="319" fillId="0" borderId="70" xfId="24795" applyNumberFormat="1" applyFont="1" applyFill="1" applyBorder="1" applyAlignment="1">
      <alignment horizontal="right" vertical="center" wrapText="1"/>
    </xf>
    <xf numFmtId="329" fontId="317" fillId="0" borderId="0" xfId="24797" applyNumberFormat="1" applyFont="1" applyFill="1" applyBorder="1" applyAlignment="1">
      <alignment horizontal="right" wrapText="1"/>
    </xf>
    <xf numFmtId="324" fontId="317" fillId="0" borderId="0" xfId="2979" applyNumberFormat="1" applyFont="1" applyFill="1" applyBorder="1" applyAlignment="1">
      <alignment horizontal="right" wrapText="1"/>
    </xf>
    <xf numFmtId="0" fontId="318" fillId="0" borderId="103" xfId="3010" applyFont="1" applyFill="1" applyBorder="1" applyAlignment="1">
      <alignment horizontal="right"/>
    </xf>
    <xf numFmtId="327" fontId="248" fillId="54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323" fontId="248" fillId="54" borderId="0" xfId="3077" applyNumberFormat="1" applyFont="1" applyFill="1" applyBorder="1" applyAlignment="1">
      <alignment horizontal="right" vertical="center"/>
    </xf>
    <xf numFmtId="323" fontId="248" fillId="0" borderId="0" xfId="3077" applyNumberFormat="1" applyFont="1" applyFill="1" applyBorder="1" applyAlignment="1">
      <alignment horizontal="right" vertical="center"/>
    </xf>
    <xf numFmtId="332" fontId="248" fillId="54" borderId="0" xfId="2979" applyNumberFormat="1" applyFont="1" applyFill="1" applyBorder="1" applyAlignment="1">
      <alignment horizontal="right" vertical="center" wrapText="1"/>
    </xf>
    <xf numFmtId="332" fontId="248" fillId="0" borderId="0" xfId="2979" applyNumberFormat="1" applyFont="1" applyFill="1" applyBorder="1" applyAlignment="1">
      <alignment horizontal="right" vertical="center" wrapText="1"/>
    </xf>
    <xf numFmtId="169" fontId="248" fillId="0" borderId="0" xfId="24799" quotePrefix="1" applyNumberFormat="1" applyFont="1" applyFill="1" applyBorder="1" applyAlignment="1">
      <alignment horizontal="right" vertical="center" wrapText="1"/>
    </xf>
    <xf numFmtId="169" fontId="248" fillId="0" borderId="0" xfId="3010" applyNumberFormat="1" applyFont="1" applyFill="1" applyBorder="1" applyAlignment="1">
      <alignment horizontal="right" vertical="center"/>
    </xf>
    <xf numFmtId="348" fontId="248" fillId="0" borderId="0" xfId="2979" applyNumberFormat="1" applyFont="1" applyFill="1" applyBorder="1" applyAlignment="1">
      <alignment horizontal="right" vertical="center" wrapText="1"/>
    </xf>
    <xf numFmtId="0" fontId="318" fillId="0" borderId="103" xfId="3010" applyFont="1" applyFill="1" applyBorder="1" applyAlignment="1">
      <alignment horizontal="right" vertical="center"/>
    </xf>
    <xf numFmtId="329" fontId="320" fillId="0" borderId="71" xfId="24797" applyNumberFormat="1" applyFont="1" applyFill="1" applyBorder="1" applyAlignment="1">
      <alignment horizontal="right" vertical="center" wrapText="1"/>
    </xf>
    <xf numFmtId="324" fontId="250" fillId="0" borderId="71" xfId="2979" applyNumberFormat="1" applyFont="1" applyFill="1" applyBorder="1" applyAlignment="1">
      <alignment horizontal="right" vertical="center" wrapText="1"/>
    </xf>
    <xf numFmtId="348" fontId="248" fillId="54" borderId="93" xfId="2979" applyNumberFormat="1" applyFont="1" applyFill="1" applyBorder="1" applyAlignment="1">
      <alignment horizontal="right" vertical="center" wrapText="1"/>
    </xf>
    <xf numFmtId="348" fontId="248" fillId="0" borderId="7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333" fontId="248" fillId="54" borderId="0" xfId="2988" applyNumberFormat="1" applyFont="1" applyFill="1" applyBorder="1" applyAlignment="1">
      <alignment horizontal="right" vertical="center" wrapText="1"/>
    </xf>
    <xf numFmtId="333" fontId="248" fillId="55" borderId="0" xfId="2988" applyNumberFormat="1" applyFont="1" applyFill="1" applyBorder="1" applyAlignment="1">
      <alignment horizontal="right" vertical="center" wrapText="1"/>
    </xf>
    <xf numFmtId="333" fontId="248" fillId="0" borderId="0" xfId="2988" applyNumberFormat="1" applyFont="1" applyFill="1" applyBorder="1" applyAlignment="1">
      <alignment horizontal="right" vertical="center" wrapText="1"/>
    </xf>
    <xf numFmtId="168" fontId="248" fillId="0" borderId="70" xfId="9365" applyNumberFormat="1" applyFont="1" applyFill="1" applyBorder="1" applyAlignment="1">
      <alignment horizontal="right" vertical="center" wrapText="1"/>
    </xf>
    <xf numFmtId="168" fontId="248" fillId="55" borderId="70" xfId="9365" applyNumberFormat="1" applyFont="1" applyFill="1" applyBorder="1" applyAlignment="1">
      <alignment horizontal="right" vertical="center" wrapText="1"/>
    </xf>
    <xf numFmtId="168" fontId="248" fillId="54" borderId="70" xfId="10672" applyNumberFormat="1" applyFont="1" applyFill="1" applyBorder="1" applyAlignment="1">
      <alignment horizontal="right" vertical="center" wrapText="1"/>
    </xf>
    <xf numFmtId="168" fontId="250" fillId="54" borderId="70" xfId="24807" applyNumberFormat="1" applyFont="1" applyFill="1" applyBorder="1" applyAlignment="1">
      <alignment horizontal="right" vertical="center" wrapText="1"/>
    </xf>
    <xf numFmtId="168" fontId="248" fillId="54" borderId="71" xfId="24807" applyNumberFormat="1" applyFont="1" applyFill="1" applyBorder="1" applyAlignment="1">
      <alignment horizontal="right" vertical="center" wrapText="1"/>
    </xf>
    <xf numFmtId="168" fontId="248" fillId="54" borderId="0" xfId="24807" applyNumberFormat="1" applyFont="1" applyFill="1" applyAlignment="1">
      <alignment horizontal="right" vertical="center" wrapText="1"/>
    </xf>
    <xf numFmtId="168" fontId="248" fillId="54" borderId="0" xfId="24807" applyNumberFormat="1" applyFont="1" applyFill="1" applyBorder="1" applyAlignment="1">
      <alignment horizontal="right" vertical="center" wrapText="1"/>
    </xf>
    <xf numFmtId="332" fontId="248" fillId="0" borderId="70" xfId="24808" applyNumberFormat="1" applyFont="1" applyFill="1" applyBorder="1" applyAlignment="1">
      <alignment horizontal="right" vertical="center" wrapText="1"/>
    </xf>
    <xf numFmtId="332" fontId="248" fillId="54" borderId="0" xfId="24808" applyNumberFormat="1" applyFont="1" applyFill="1" applyBorder="1" applyAlignment="1">
      <alignment horizontal="right" vertical="center" wrapText="1"/>
    </xf>
    <xf numFmtId="332" fontId="248" fillId="0" borderId="0" xfId="24808" applyNumberFormat="1" applyFont="1" applyFill="1" applyBorder="1" applyAlignment="1">
      <alignment horizontal="right" vertical="center" wrapText="1"/>
    </xf>
    <xf numFmtId="9" fontId="248" fillId="0" borderId="0" xfId="24808" applyNumberFormat="1" applyFont="1" applyFill="1" applyBorder="1" applyAlignment="1">
      <alignment horizontal="right" vertical="center" wrapText="1"/>
    </xf>
    <xf numFmtId="332" fontId="248" fillId="54" borderId="0" xfId="24803" applyNumberFormat="1" applyFont="1" applyFill="1" applyBorder="1" applyAlignment="1">
      <alignment horizontal="right" vertical="center" wrapText="1"/>
    </xf>
    <xf numFmtId="332" fontId="248" fillId="0" borderId="0" xfId="24803" applyNumberFormat="1" applyFont="1" applyFill="1" applyBorder="1" applyAlignment="1">
      <alignment horizontal="right" vertical="center" wrapText="1"/>
    </xf>
    <xf numFmtId="10" fontId="248" fillId="54" borderId="0" xfId="17250" applyNumberFormat="1" applyFont="1" applyFill="1" applyBorder="1" applyAlignment="1">
      <alignment horizontal="right" vertical="center" wrapText="1"/>
    </xf>
    <xf numFmtId="10" fontId="248" fillId="0" borderId="0" xfId="17250" applyNumberFormat="1" applyFont="1" applyFill="1" applyBorder="1" applyAlignment="1">
      <alignment horizontal="right" vertical="center" wrapText="1"/>
    </xf>
    <xf numFmtId="325" fontId="248" fillId="54" borderId="0" xfId="24804" applyNumberFormat="1" applyFont="1" applyFill="1" applyBorder="1" applyAlignment="1">
      <alignment horizontal="right" vertical="center" wrapText="1"/>
    </xf>
    <xf numFmtId="168" fontId="248" fillId="0" borderId="70" xfId="24807" applyNumberFormat="1" applyFont="1" applyFill="1" applyBorder="1" applyAlignment="1">
      <alignment horizontal="right" vertical="center" wrapText="1"/>
    </xf>
    <xf numFmtId="334" fontId="248" fillId="55" borderId="0" xfId="3010" applyNumberFormat="1" applyFont="1" applyFill="1" applyBorder="1" applyAlignment="1">
      <alignment vertical="center" wrapText="1"/>
    </xf>
    <xf numFmtId="334" fontId="248" fillId="55" borderId="71" xfId="3010" applyNumberFormat="1" applyFont="1" applyFill="1" applyBorder="1" applyAlignment="1">
      <alignment vertical="center" wrapText="1"/>
    </xf>
    <xf numFmtId="332" fontId="248" fillId="0" borderId="71" xfId="24807" applyNumberFormat="1" applyFont="1" applyFill="1" applyBorder="1" applyAlignment="1">
      <alignment horizontal="right" vertical="center" wrapText="1"/>
    </xf>
    <xf numFmtId="332" fontId="250" fillId="0" borderId="70" xfId="24807" applyNumberFormat="1" applyFont="1" applyFill="1" applyBorder="1" applyAlignment="1">
      <alignment horizontal="right" vertical="center" wrapText="1"/>
    </xf>
    <xf numFmtId="168" fontId="248" fillId="0" borderId="0" xfId="10672" applyNumberFormat="1" applyFont="1" applyFill="1" applyBorder="1" applyAlignment="1">
      <alignment horizontal="right" vertical="center" wrapText="1"/>
    </xf>
    <xf numFmtId="168" fontId="250" fillId="0" borderId="70" xfId="24807" applyNumberFormat="1" applyFont="1" applyFill="1" applyBorder="1" applyAlignment="1">
      <alignment horizontal="right" vertical="center" wrapText="1"/>
    </xf>
    <xf numFmtId="168" fontId="248" fillId="0" borderId="71" xfId="24807" applyNumberFormat="1" applyFont="1" applyFill="1" applyBorder="1" applyAlignment="1">
      <alignment horizontal="right" vertical="center" wrapText="1"/>
    </xf>
    <xf numFmtId="168" fontId="248" fillId="0" borderId="0" xfId="24807" applyNumberFormat="1" applyFont="1" applyFill="1" applyAlignment="1">
      <alignment horizontal="right" vertical="center" wrapText="1"/>
    </xf>
    <xf numFmtId="168" fontId="248" fillId="0" borderId="0" xfId="24807" applyNumberFormat="1" applyFont="1" applyFill="1" applyBorder="1" applyAlignment="1">
      <alignment horizontal="right" vertical="center" wrapText="1"/>
    </xf>
    <xf numFmtId="335" fontId="248" fillId="0" borderId="0" xfId="2988" applyNumberFormat="1" applyFont="1" applyFill="1" applyBorder="1" applyAlignment="1">
      <alignment horizontal="right" vertical="center" wrapText="1"/>
    </xf>
    <xf numFmtId="0" fontId="364" fillId="0" borderId="71" xfId="2988" applyFont="1" applyFill="1" applyBorder="1" applyAlignment="1">
      <alignment vertical="center" wrapText="1"/>
    </xf>
    <xf numFmtId="168" fontId="318" fillId="0" borderId="71" xfId="24807" applyNumberFormat="1" applyFont="1" applyFill="1" applyBorder="1" applyAlignment="1">
      <alignment horizontal="right" wrapText="1"/>
    </xf>
    <xf numFmtId="332" fontId="248" fillId="0" borderId="70" xfId="24807" applyNumberFormat="1" applyFont="1" applyFill="1" applyBorder="1" applyAlignment="1">
      <alignment horizontal="right" vertical="center" wrapText="1"/>
    </xf>
    <xf numFmtId="332" fontId="248" fillId="0" borderId="0" xfId="24807" applyNumberFormat="1" applyFont="1" applyFill="1" applyBorder="1" applyAlignment="1">
      <alignment horizontal="right" vertical="center" wrapText="1"/>
    </xf>
    <xf numFmtId="168" fontId="248" fillId="55" borderId="0" xfId="9338" applyNumberFormat="1" applyFont="1" applyFill="1" applyBorder="1" applyAlignment="1">
      <alignment horizontal="right" vertical="center" wrapText="1"/>
    </xf>
    <xf numFmtId="168" fontId="248" fillId="54" borderId="70" xfId="9338" applyNumberFormat="1" applyFont="1" applyFill="1" applyBorder="1" applyAlignment="1">
      <alignment horizontal="right" vertical="center" wrapText="1"/>
    </xf>
    <xf numFmtId="168" fontId="248" fillId="0" borderId="70" xfId="10672" applyNumberFormat="1" applyFont="1" applyFill="1" applyBorder="1" applyAlignment="1">
      <alignment horizontal="right" vertical="center" wrapText="1"/>
    </xf>
    <xf numFmtId="168" fontId="248" fillId="55" borderId="70" xfId="9281" applyNumberFormat="1" applyFont="1" applyFill="1" applyBorder="1" applyAlignment="1">
      <alignment horizontal="right" vertical="center" wrapText="1"/>
    </xf>
    <xf numFmtId="168" fontId="248" fillId="54" borderId="0" xfId="9338" applyNumberFormat="1" applyFont="1" applyFill="1" applyBorder="1" applyAlignment="1">
      <alignment horizontal="right" vertical="center" wrapText="1"/>
    </xf>
    <xf numFmtId="168" fontId="248" fillId="55" borderId="0" xfId="9281" applyNumberFormat="1" applyFont="1" applyFill="1" applyBorder="1" applyAlignment="1">
      <alignment horizontal="right" vertical="center" wrapText="1"/>
    </xf>
    <xf numFmtId="168" fontId="248" fillId="54" borderId="96" xfId="2988" applyNumberFormat="1" applyFont="1" applyFill="1" applyBorder="1" applyAlignment="1">
      <alignment horizontal="right" vertical="center"/>
    </xf>
    <xf numFmtId="168" fontId="248" fillId="0" borderId="96" xfId="2988" applyNumberFormat="1" applyFont="1" applyFill="1" applyBorder="1" applyAlignment="1">
      <alignment horizontal="right" vertical="center" wrapText="1"/>
    </xf>
    <xf numFmtId="168" fontId="248" fillId="55" borderId="113" xfId="2988" applyNumberFormat="1" applyFont="1" applyFill="1" applyBorder="1" applyAlignment="1">
      <alignment horizontal="right" vertical="center" wrapText="1"/>
    </xf>
    <xf numFmtId="168" fontId="248" fillId="54" borderId="113" xfId="2988" applyNumberFormat="1" applyFont="1" applyFill="1" applyBorder="1" applyAlignment="1">
      <alignment horizontal="right" vertical="center" wrapText="1"/>
    </xf>
    <xf numFmtId="168" fontId="248" fillId="0" borderId="113" xfId="2988" applyNumberFormat="1" applyFont="1" applyFill="1" applyBorder="1" applyAlignment="1">
      <alignment horizontal="right" vertical="center" wrapText="1"/>
    </xf>
    <xf numFmtId="168" fontId="250" fillId="0" borderId="104" xfId="24807" applyNumberFormat="1" applyFont="1" applyFill="1" applyBorder="1" applyAlignment="1">
      <alignment horizontal="right" vertical="center" wrapText="1"/>
    </xf>
    <xf numFmtId="168" fontId="248" fillId="0" borderId="96" xfId="24807" applyNumberFormat="1" applyFont="1" applyFill="1" applyBorder="1" applyAlignment="1">
      <alignment horizontal="right" vertical="center" wrapText="1"/>
    </xf>
    <xf numFmtId="332" fontId="248" fillId="0" borderId="96" xfId="24807" applyNumberFormat="1" applyFont="1" applyFill="1" applyBorder="1" applyAlignment="1">
      <alignment horizontal="right" vertical="center" wrapText="1"/>
    </xf>
    <xf numFmtId="332" fontId="250" fillId="0" borderId="104" xfId="24807" applyNumberFormat="1" applyFont="1" applyFill="1" applyBorder="1" applyAlignment="1">
      <alignment horizontal="right" vertical="center" wrapText="1"/>
    </xf>
    <xf numFmtId="9" fontId="248" fillId="0" borderId="0" xfId="24807" applyNumberFormat="1" applyFont="1" applyFill="1" applyBorder="1" applyAlignment="1">
      <alignment horizontal="right" vertical="center" wrapText="1"/>
    </xf>
    <xf numFmtId="335" fontId="248" fillId="54" borderId="0" xfId="2988" applyNumberFormat="1" applyFont="1" applyFill="1" applyBorder="1" applyAlignment="1">
      <alignment horizontal="right" vertical="center" wrapText="1"/>
    </xf>
    <xf numFmtId="335" fontId="248" fillId="55" borderId="0" xfId="2988" applyNumberFormat="1" applyFont="1" applyFill="1" applyBorder="1" applyAlignment="1">
      <alignment horizontal="right" vertical="center" wrapText="1"/>
    </xf>
    <xf numFmtId="0" fontId="373" fillId="0" borderId="0" xfId="2988" applyFont="1" applyFill="1" applyBorder="1" applyAlignment="1">
      <alignment vertical="center" wrapText="1"/>
    </xf>
    <xf numFmtId="330" fontId="373" fillId="0" borderId="0" xfId="2988" applyNumberFormat="1" applyFont="1" applyFill="1" applyBorder="1" applyAlignment="1">
      <alignment horizontal="right" vertical="center" wrapText="1"/>
    </xf>
    <xf numFmtId="325" fontId="248" fillId="0" borderId="0" xfId="24803" applyNumberFormat="1" applyFont="1" applyFill="1" applyBorder="1" applyAlignment="1">
      <alignment horizontal="right" vertical="center" wrapText="1"/>
    </xf>
    <xf numFmtId="168" fontId="248" fillId="54" borderId="7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168" fontId="248" fillId="0" borderId="70" xfId="2988" applyNumberFormat="1" applyFont="1" applyFill="1" applyBorder="1" applyAlignment="1">
      <alignment horizontal="right" vertical="center" wrapText="1"/>
    </xf>
    <xf numFmtId="168" fontId="248" fillId="55" borderId="70" xfId="2988" applyNumberFormat="1" applyFont="1" applyFill="1" applyBorder="1" applyAlignment="1">
      <alignment horizontal="right" vertical="center" wrapText="1"/>
    </xf>
    <xf numFmtId="168" fontId="248" fillId="54" borderId="0" xfId="2988" applyNumberFormat="1" applyFont="1" applyFill="1" applyBorder="1" applyAlignment="1">
      <alignment horizontal="right" vertical="center" wrapText="1"/>
    </xf>
    <xf numFmtId="0" fontId="364" fillId="0" borderId="0" xfId="2988" applyFont="1" applyFill="1" applyBorder="1" applyAlignment="1">
      <alignment vertical="center" wrapText="1"/>
    </xf>
    <xf numFmtId="325" fontId="248" fillId="54" borderId="70" xfId="2988" applyNumberFormat="1" applyFont="1" applyFill="1" applyBorder="1" applyAlignment="1">
      <alignment horizontal="right" vertical="center" wrapText="1"/>
    </xf>
    <xf numFmtId="325" fontId="248" fillId="0" borderId="0" xfId="2988" applyNumberFormat="1" applyFont="1" applyFill="1" applyBorder="1" applyAlignment="1">
      <alignment horizontal="right" vertical="center" wrapText="1"/>
    </xf>
    <xf numFmtId="325" fontId="248" fillId="55" borderId="70" xfId="2988" applyNumberFormat="1" applyFont="1" applyFill="1" applyBorder="1" applyAlignment="1">
      <alignment horizontal="right" vertical="center" wrapText="1"/>
    </xf>
    <xf numFmtId="325" fontId="248" fillId="0" borderId="70" xfId="2988" applyNumberFormat="1" applyFont="1" applyFill="1" applyBorder="1" applyAlignment="1">
      <alignment horizontal="right" vertical="center" wrapText="1"/>
    </xf>
    <xf numFmtId="0" fontId="318" fillId="55" borderId="0" xfId="2988" applyFont="1" applyFill="1" applyBorder="1" applyAlignment="1">
      <alignment horizontal="right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168" fontId="250" fillId="54" borderId="7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168" fontId="250" fillId="0" borderId="70" xfId="2988" applyNumberFormat="1" applyFont="1" applyFill="1" applyBorder="1" applyAlignment="1">
      <alignment horizontal="right" vertical="center" wrapText="1"/>
    </xf>
    <xf numFmtId="168" fontId="250" fillId="55" borderId="70" xfId="2988" applyNumberFormat="1" applyFont="1" applyFill="1" applyBorder="1" applyAlignment="1">
      <alignment horizontal="right" vertical="center" wrapText="1"/>
    </xf>
    <xf numFmtId="343" fontId="248" fillId="54" borderId="7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341" fontId="248" fillId="0" borderId="70" xfId="2988" applyNumberFormat="1" applyFont="1" applyFill="1" applyBorder="1" applyAlignment="1">
      <alignment horizontal="right" vertical="center" wrapText="1"/>
    </xf>
    <xf numFmtId="343" fontId="248" fillId="0" borderId="70" xfId="2988" applyNumberFormat="1" applyFont="1" applyFill="1" applyBorder="1" applyAlignment="1">
      <alignment horizontal="right" vertical="center" wrapText="1"/>
    </xf>
    <xf numFmtId="343" fontId="248" fillId="54" borderId="70" xfId="2988" applyNumberFormat="1" applyFont="1" applyFill="1" applyBorder="1" applyAlignment="1">
      <alignment vertical="center" wrapText="1"/>
    </xf>
    <xf numFmtId="343" fontId="248" fillId="54" borderId="0" xfId="2988" applyNumberFormat="1" applyFont="1" applyFill="1" applyBorder="1" applyAlignment="1">
      <alignment horizontal="right" vertical="center" wrapText="1"/>
    </xf>
    <xf numFmtId="341" fontId="248" fillId="0" borderId="0" xfId="2988" applyNumberFormat="1" applyFont="1" applyFill="1" applyBorder="1" applyAlignment="1">
      <alignment horizontal="right" vertical="center" wrapText="1"/>
    </xf>
    <xf numFmtId="332" fontId="248" fillId="54" borderId="71" xfId="2988" applyNumberFormat="1" applyFont="1" applyFill="1" applyBorder="1" applyAlignment="1">
      <alignment vertical="center" wrapText="1"/>
    </xf>
    <xf numFmtId="332" fontId="248" fillId="0" borderId="0" xfId="2988" applyNumberFormat="1" applyFont="1" applyFill="1" applyBorder="1" applyAlignment="1">
      <alignment vertical="center" wrapText="1"/>
    </xf>
    <xf numFmtId="332" fontId="248" fillId="0" borderId="71" xfId="2988" applyNumberFormat="1" applyFont="1" applyFill="1" applyBorder="1" applyAlignment="1">
      <alignment vertical="center" wrapText="1"/>
    </xf>
    <xf numFmtId="332" fontId="248" fillId="55" borderId="71" xfId="2988" applyNumberFormat="1" applyFont="1" applyFill="1" applyBorder="1" applyAlignment="1">
      <alignment vertical="center" wrapText="1"/>
    </xf>
    <xf numFmtId="332" fontId="248" fillId="0" borderId="71" xfId="2988" applyNumberFormat="1" applyFont="1" applyFill="1" applyBorder="1" applyAlignment="1">
      <alignment horizontal="right" vertical="center" wrapText="1"/>
    </xf>
    <xf numFmtId="332" fontId="248" fillId="55" borderId="71" xfId="2988" applyNumberFormat="1" applyFont="1" applyFill="1" applyBorder="1" applyAlignment="1">
      <alignment horizontal="right" vertical="center" wrapText="1"/>
    </xf>
    <xf numFmtId="343" fontId="250" fillId="54" borderId="70" xfId="2988" applyNumberFormat="1" applyFont="1" applyFill="1" applyBorder="1" applyAlignment="1">
      <alignment vertical="center" wrapText="1"/>
    </xf>
    <xf numFmtId="343" fontId="250" fillId="0" borderId="0" xfId="2988" applyNumberFormat="1" applyFont="1" applyFill="1" applyBorder="1" applyAlignment="1">
      <alignment vertical="center" wrapText="1"/>
    </xf>
    <xf numFmtId="343" fontId="250" fillId="0" borderId="70" xfId="2988" applyNumberFormat="1" applyFont="1" applyFill="1" applyBorder="1" applyAlignment="1">
      <alignment vertical="center" wrapText="1"/>
    </xf>
    <xf numFmtId="343" fontId="250" fillId="55" borderId="70" xfId="2988" applyNumberFormat="1" applyFont="1" applyFill="1" applyBorder="1" applyAlignment="1">
      <alignment vertical="center" wrapText="1"/>
    </xf>
    <xf numFmtId="343" fontId="248" fillId="54" borderId="0" xfId="2988" applyNumberFormat="1" applyFont="1" applyFill="1" applyBorder="1" applyAlignment="1">
      <alignment vertical="center" wrapText="1"/>
    </xf>
    <xf numFmtId="343" fontId="248" fillId="0" borderId="0" xfId="2988" applyNumberFormat="1" applyFont="1" applyFill="1" applyBorder="1" applyAlignment="1">
      <alignment vertical="center" wrapText="1"/>
    </xf>
    <xf numFmtId="343" fontId="248" fillId="55" borderId="0" xfId="2988" applyNumberFormat="1" applyFont="1" applyFill="1" applyBorder="1" applyAlignment="1">
      <alignment vertical="center" wrapText="1"/>
    </xf>
    <xf numFmtId="332" fontId="248" fillId="54" borderId="0" xfId="2988" applyNumberFormat="1" applyFont="1" applyFill="1" applyBorder="1" applyAlignment="1">
      <alignment horizontal="right" vertical="center" wrapText="1"/>
    </xf>
    <xf numFmtId="343" fontId="248" fillId="0" borderId="0" xfId="2988" applyNumberFormat="1" applyFont="1" applyFill="1" applyBorder="1" applyAlignment="1">
      <alignment horizontal="right" vertical="center" wrapText="1"/>
    </xf>
    <xf numFmtId="332" fontId="248" fillId="55" borderId="0" xfId="8938" applyNumberFormat="1" applyFont="1" applyFill="1" applyBorder="1" applyAlignment="1">
      <alignment horizontal="right" vertical="center" wrapText="1"/>
    </xf>
    <xf numFmtId="328" fontId="248" fillId="54" borderId="0" xfId="2988" applyNumberFormat="1" applyFont="1" applyFill="1" applyBorder="1" applyAlignment="1">
      <alignment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328" fontId="248" fillId="0" borderId="0" xfId="2988" applyNumberFormat="1" applyFont="1" applyFill="1" applyBorder="1" applyAlignment="1">
      <alignment vertical="center" wrapText="1"/>
    </xf>
    <xf numFmtId="328" fontId="248" fillId="55" borderId="0" xfId="2988" applyNumberFormat="1" applyFont="1" applyFill="1" applyBorder="1" applyAlignment="1">
      <alignment horizontal="right" vertical="center" wrapText="1"/>
    </xf>
    <xf numFmtId="328" fontId="248" fillId="54" borderId="0" xfId="2988" applyNumberFormat="1" applyFont="1" applyFill="1" applyBorder="1" applyAlignment="1">
      <alignment horizontal="right" vertical="center" wrapText="1"/>
    </xf>
    <xf numFmtId="330" fontId="318" fillId="55" borderId="0" xfId="2988" applyNumberFormat="1" applyFont="1" applyFill="1" applyBorder="1" applyAlignment="1">
      <alignment horizontal="right" wrapText="1"/>
    </xf>
    <xf numFmtId="330" fontId="318" fillId="55" borderId="71" xfId="2988" applyNumberFormat="1" applyFont="1" applyFill="1" applyBorder="1" applyAlignment="1">
      <alignment horizontal="right" wrapText="1"/>
    </xf>
    <xf numFmtId="325" fontId="248" fillId="54" borderId="70" xfId="2988" applyNumberFormat="1" applyFont="1" applyFill="1" applyBorder="1" applyAlignment="1">
      <alignment vertical="center" wrapText="1"/>
    </xf>
    <xf numFmtId="325" fontId="248" fillId="0" borderId="70" xfId="2988" applyNumberFormat="1" applyFont="1" applyFill="1" applyBorder="1" applyAlignment="1">
      <alignment vertical="center" wrapText="1"/>
    </xf>
    <xf numFmtId="325" fontId="248" fillId="54" borderId="0" xfId="2988" applyNumberFormat="1" applyFont="1" applyFill="1" applyBorder="1" applyAlignment="1">
      <alignment vertical="center" wrapText="1"/>
    </xf>
    <xf numFmtId="325" fontId="248" fillId="0" borderId="0" xfId="2988" applyNumberFormat="1" applyFont="1" applyFill="1" applyBorder="1" applyAlignment="1">
      <alignment vertical="center" wrapText="1"/>
    </xf>
    <xf numFmtId="325" fontId="248" fillId="54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vertical="center" wrapText="1"/>
    </xf>
    <xf numFmtId="323" fontId="248" fillId="55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horizontal="right" vertical="center" wrapText="1"/>
    </xf>
    <xf numFmtId="330" fontId="248" fillId="54" borderId="0" xfId="2988" applyNumberFormat="1" applyFont="1" applyFill="1" applyBorder="1" applyAlignment="1">
      <alignment horizontal="right"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331" fontId="248" fillId="54" borderId="0" xfId="2988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331" fontId="248" fillId="0" borderId="0" xfId="2988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vertical="center" wrapText="1"/>
    </xf>
    <xf numFmtId="168" fontId="248" fillId="54" borderId="70" xfId="2988" applyNumberFormat="1" applyFont="1" applyFill="1" applyBorder="1" applyAlignment="1">
      <alignment vertical="center" wrapText="1"/>
    </xf>
    <xf numFmtId="168" fontId="248" fillId="0" borderId="70" xfId="2988" applyNumberFormat="1" applyFont="1" applyFill="1" applyBorder="1" applyAlignment="1">
      <alignment vertical="center" wrapText="1"/>
    </xf>
    <xf numFmtId="168" fontId="248" fillId="55" borderId="70" xfId="2988" applyNumberFormat="1" applyFont="1" applyFill="1" applyBorder="1" applyAlignment="1">
      <alignment vertical="center" wrapText="1"/>
    </xf>
    <xf numFmtId="168" fontId="248" fillId="54" borderId="71" xfId="2988" applyNumberFormat="1" applyFont="1" applyFill="1" applyBorder="1" applyAlignment="1">
      <alignment vertical="center" wrapText="1"/>
    </xf>
    <xf numFmtId="168" fontId="248" fillId="0" borderId="71" xfId="2988" applyNumberFormat="1" applyFont="1" applyFill="1" applyBorder="1" applyAlignment="1">
      <alignment vertical="center" wrapText="1"/>
    </xf>
    <xf numFmtId="168" fontId="248" fillId="55" borderId="71" xfId="2988" applyNumberFormat="1" applyFont="1" applyFill="1" applyBorder="1" applyAlignment="1">
      <alignment vertical="center" wrapText="1"/>
    </xf>
    <xf numFmtId="168" fontId="250" fillId="54" borderId="70" xfId="2988" applyNumberFormat="1" applyFont="1" applyFill="1" applyBorder="1" applyAlignment="1">
      <alignment vertical="center" wrapText="1"/>
    </xf>
    <xf numFmtId="168" fontId="250" fillId="0" borderId="70" xfId="2988" applyNumberFormat="1" applyFont="1" applyFill="1" applyBorder="1" applyAlignment="1">
      <alignment vertical="center" wrapText="1"/>
    </xf>
    <xf numFmtId="168" fontId="250" fillId="55" borderId="70" xfId="2988" applyNumberFormat="1" applyFont="1" applyFill="1" applyBorder="1" applyAlignment="1">
      <alignment vertical="center" wrapText="1"/>
    </xf>
    <xf numFmtId="168" fontId="248" fillId="54" borderId="0" xfId="2988" applyNumberFormat="1" applyFont="1" applyFill="1" applyBorder="1" applyAlignment="1">
      <alignment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332" fontId="319" fillId="55" borderId="0" xfId="8938" applyNumberFormat="1" applyFont="1" applyFill="1" applyBorder="1" applyAlignment="1">
      <alignment horizontal="right" vertical="center" wrapText="1"/>
    </xf>
    <xf numFmtId="168" fontId="250" fillId="55" borderId="0" xfId="2988" applyNumberFormat="1" applyFont="1" applyFill="1" applyBorder="1" applyAlignment="1">
      <alignment vertical="center" wrapText="1"/>
    </xf>
    <xf numFmtId="332" fontId="319" fillId="54" borderId="0" xfId="8938" applyNumberFormat="1" applyFont="1" applyFill="1" applyBorder="1" applyAlignment="1">
      <alignment horizontal="right" vertical="center" wrapText="1"/>
    </xf>
    <xf numFmtId="332" fontId="319" fillId="0" borderId="0" xfId="8938" applyNumberFormat="1" applyFont="1" applyFill="1" applyBorder="1" applyAlignment="1">
      <alignment horizontal="right" vertical="center" wrapText="1"/>
    </xf>
    <xf numFmtId="348" fontId="319" fillId="54" borderId="0" xfId="8938" applyNumberFormat="1" applyFont="1" applyFill="1" applyBorder="1" applyAlignment="1">
      <alignment horizontal="right" vertical="center" wrapText="1"/>
    </xf>
    <xf numFmtId="348" fontId="319" fillId="55" borderId="0" xfId="8938" applyNumberFormat="1" applyFont="1" applyFill="1" applyBorder="1" applyAlignment="1">
      <alignment horizontal="right" vertical="center" wrapText="1"/>
    </xf>
    <xf numFmtId="348" fontId="319" fillId="0" borderId="0" xfId="8938" applyNumberFormat="1" applyFont="1" applyFill="1" applyBorder="1" applyAlignment="1">
      <alignment horizontal="right" vertical="center" wrapText="1"/>
    </xf>
    <xf numFmtId="332" fontId="318" fillId="0" borderId="71" xfId="8938" applyNumberFormat="1" applyFont="1" applyFill="1" applyBorder="1" applyAlignment="1">
      <alignment horizontal="right" wrapText="1"/>
    </xf>
    <xf numFmtId="332" fontId="318" fillId="55" borderId="71" xfId="8938" applyNumberFormat="1" applyFont="1" applyFill="1" applyBorder="1" applyAlignment="1">
      <alignment horizontal="right" wrapText="1"/>
    </xf>
    <xf numFmtId="325" fontId="319" fillId="54" borderId="70" xfId="8938" applyNumberFormat="1" applyFont="1" applyFill="1" applyBorder="1" applyAlignment="1">
      <alignment horizontal="right" vertical="center" wrapText="1"/>
    </xf>
    <xf numFmtId="325" fontId="319" fillId="55" borderId="70" xfId="8938" applyNumberFormat="1" applyFont="1" applyFill="1" applyBorder="1" applyAlignment="1">
      <alignment horizontal="right" vertical="center" wrapText="1"/>
    </xf>
    <xf numFmtId="325" fontId="319" fillId="0" borderId="70" xfId="8938" applyNumberFormat="1" applyFont="1" applyFill="1" applyBorder="1" applyAlignment="1">
      <alignment horizontal="right" vertical="center" wrapText="1"/>
    </xf>
    <xf numFmtId="325" fontId="319" fillId="54" borderId="0" xfId="8938" applyNumberFormat="1" applyFont="1" applyFill="1" applyBorder="1" applyAlignment="1">
      <alignment horizontal="right" vertical="center" wrapText="1"/>
    </xf>
    <xf numFmtId="325" fontId="319" fillId="55" borderId="0" xfId="8938" applyNumberFormat="1" applyFont="1" applyFill="1" applyBorder="1" applyAlignment="1">
      <alignment horizontal="right" vertical="center" wrapText="1"/>
    </xf>
    <xf numFmtId="325" fontId="319" fillId="0" borderId="0" xfId="8938" applyNumberFormat="1" applyFont="1" applyFill="1" applyBorder="1" applyAlignment="1">
      <alignment horizontal="right" vertical="center" wrapText="1"/>
    </xf>
    <xf numFmtId="323" fontId="319" fillId="54" borderId="0" xfId="8938" applyNumberFormat="1" applyFont="1" applyFill="1" applyBorder="1" applyAlignment="1">
      <alignment horizontal="right" vertical="center" wrapText="1"/>
    </xf>
    <xf numFmtId="323" fontId="319" fillId="55" borderId="0" xfId="8938" applyNumberFormat="1" applyFont="1" applyFill="1" applyBorder="1" applyAlignment="1">
      <alignment horizontal="right" vertical="center" wrapText="1"/>
    </xf>
    <xf numFmtId="323" fontId="319" fillId="0" borderId="0" xfId="8938" applyNumberFormat="1" applyFont="1" applyFill="1" applyBorder="1" applyAlignment="1">
      <alignment horizontal="right" vertical="center" wrapText="1"/>
    </xf>
    <xf numFmtId="0" fontId="318" fillId="0" borderId="71" xfId="2988" applyFont="1" applyFill="1" applyBorder="1" applyAlignment="1">
      <alignment horizontal="right" wrapText="1"/>
    </xf>
    <xf numFmtId="0" fontId="318" fillId="0" borderId="0" xfId="2988" applyFont="1" applyFill="1" applyBorder="1" applyAlignment="1">
      <alignment horizontal="right" wrapText="1"/>
    </xf>
    <xf numFmtId="0" fontId="318" fillId="55" borderId="71" xfId="2988" applyFont="1" applyFill="1" applyBorder="1" applyAlignment="1">
      <alignment horizontal="right" wrapText="1"/>
    </xf>
    <xf numFmtId="0" fontId="248" fillId="0" borderId="71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168" fontId="248" fillId="54" borderId="71" xfId="2988" applyNumberFormat="1" applyFont="1" applyFill="1" applyBorder="1" applyAlignment="1">
      <alignment horizontal="right" vertical="center" wrapText="1"/>
    </xf>
    <xf numFmtId="168" fontId="248" fillId="0" borderId="71" xfId="2988" applyNumberFormat="1" applyFont="1" applyFill="1" applyBorder="1" applyAlignment="1">
      <alignment horizontal="right" vertical="center" wrapText="1"/>
    </xf>
    <xf numFmtId="168" fontId="248" fillId="55" borderId="71" xfId="2988" applyNumberFormat="1" applyFont="1" applyFill="1" applyBorder="1" applyAlignment="1">
      <alignment horizontal="right" vertical="center" wrapText="1"/>
    </xf>
    <xf numFmtId="0" fontId="248" fillId="55" borderId="71" xfId="2988" applyFont="1" applyFill="1" applyBorder="1" applyAlignment="1">
      <alignment vertical="center" wrapText="1"/>
    </xf>
    <xf numFmtId="168" fontId="248" fillId="55" borderId="70" xfId="10767" applyNumberFormat="1" applyFont="1" applyFill="1" applyBorder="1" applyAlignment="1">
      <alignment horizontal="right" vertical="center" wrapText="1"/>
    </xf>
    <xf numFmtId="168" fontId="248" fillId="0" borderId="70" xfId="9338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/>
    </xf>
    <xf numFmtId="325" fontId="310" fillId="54" borderId="70" xfId="15472" applyNumberFormat="1" applyFont="1" applyFill="1" applyBorder="1" applyAlignment="1">
      <alignment horizontal="right" vertical="center" wrapText="1"/>
    </xf>
    <xf numFmtId="325" fontId="310" fillId="54" borderId="71" xfId="15472" applyNumberFormat="1" applyFont="1" applyFill="1" applyBorder="1" applyAlignment="1">
      <alignment horizontal="right" vertical="center" wrapText="1"/>
    </xf>
    <xf numFmtId="325" fontId="367" fillId="54" borderId="70" xfId="15472" applyNumberFormat="1" applyFont="1" applyFill="1" applyBorder="1" applyAlignment="1">
      <alignment horizontal="right" vertical="center" wrapText="1"/>
    </xf>
    <xf numFmtId="325" fontId="367" fillId="0" borderId="71" xfId="15472" applyNumberFormat="1" applyFont="1" applyFill="1" applyBorder="1" applyAlignment="1">
      <alignment horizontal="right" vertical="center" wrapText="1"/>
    </xf>
    <xf numFmtId="0" fontId="367" fillId="0" borderId="71" xfId="15472" applyNumberFormat="1" applyFont="1" applyFill="1" applyBorder="1" applyAlignment="1">
      <alignment horizontal="right" vertical="center" wrapText="1"/>
    </xf>
    <xf numFmtId="9" fontId="367" fillId="54" borderId="70" xfId="15472" applyNumberFormat="1" applyFont="1" applyFill="1" applyBorder="1" applyAlignment="1">
      <alignment horizontal="right" vertical="center" wrapText="1"/>
    </xf>
    <xf numFmtId="9" fontId="367" fillId="0" borderId="0" xfId="15472" applyNumberFormat="1" applyFont="1" applyFill="1" applyBorder="1" applyAlignment="1">
      <alignment horizontal="right" vertical="center" wrapText="1"/>
    </xf>
    <xf numFmtId="9" fontId="367" fillId="0" borderId="71" xfId="15472" applyNumberFormat="1" applyFont="1" applyFill="1" applyBorder="1" applyAlignment="1">
      <alignment horizontal="right" vertical="center" wrapText="1"/>
    </xf>
    <xf numFmtId="168" fontId="310" fillId="54" borderId="70" xfId="3010" applyNumberFormat="1" applyFont="1" applyFill="1" applyBorder="1" applyAlignment="1">
      <alignment vertical="center"/>
    </xf>
    <xf numFmtId="168" fontId="310" fillId="54" borderId="71" xfId="3010" applyNumberFormat="1" applyFont="1" applyFill="1" applyBorder="1" applyAlignment="1">
      <alignment vertical="center"/>
    </xf>
    <xf numFmtId="0" fontId="248" fillId="0" borderId="0" xfId="15472" applyFont="1" applyBorder="1" applyAlignment="1">
      <alignment horizontal="right" wrapText="1"/>
    </xf>
    <xf numFmtId="3" fontId="248" fillId="55" borderId="71" xfId="15472" applyNumberFormat="1" applyFont="1" applyFill="1" applyBorder="1" applyAlignment="1">
      <alignment horizontal="right" wrapText="1"/>
    </xf>
    <xf numFmtId="325" fontId="367" fillId="54" borderId="70" xfId="15472" applyNumberFormat="1" applyFont="1" applyFill="1" applyBorder="1" applyAlignment="1">
      <alignment horizontal="right" vertical="center"/>
    </xf>
    <xf numFmtId="3" fontId="250" fillId="0" borderId="0" xfId="15472" applyNumberFormat="1" applyFont="1" applyBorder="1" applyAlignment="1">
      <alignment horizontal="right" vertical="center" wrapText="1"/>
    </xf>
    <xf numFmtId="3" fontId="250" fillId="55" borderId="70" xfId="15472" applyNumberFormat="1" applyFont="1" applyFill="1" applyBorder="1" applyAlignment="1">
      <alignment horizontal="right" vertical="center" wrapText="1"/>
    </xf>
    <xf numFmtId="3" fontId="250" fillId="0" borderId="70" xfId="15472" applyNumberFormat="1" applyFont="1" applyBorder="1" applyAlignment="1">
      <alignment horizontal="right" vertical="center" wrapText="1"/>
    </xf>
    <xf numFmtId="0" fontId="367" fillId="0" borderId="0" xfId="15472" applyFont="1" applyBorder="1" applyAlignment="1">
      <alignment horizontal="right"/>
    </xf>
    <xf numFmtId="0" fontId="317" fillId="0" borderId="0" xfId="15472" applyFont="1" applyBorder="1" applyAlignment="1">
      <alignment horizontal="right"/>
    </xf>
    <xf numFmtId="0" fontId="367" fillId="0" borderId="71" xfId="15472" applyFont="1" applyBorder="1" applyAlignment="1">
      <alignment horizontal="right"/>
    </xf>
    <xf numFmtId="0" fontId="317" fillId="0" borderId="71" xfId="15472" applyFont="1" applyBorder="1" applyAlignment="1">
      <alignment horizontal="right"/>
    </xf>
    <xf numFmtId="168" fontId="248" fillId="0" borderId="71" xfId="3010" applyNumberFormat="1" applyFont="1" applyFill="1" applyBorder="1" applyAlignment="1">
      <alignment horizontal="right" vertical="center"/>
    </xf>
    <xf numFmtId="168" fontId="367" fillId="54" borderId="70" xfId="15472" applyNumberFormat="1" applyFont="1" applyFill="1" applyBorder="1" applyAlignment="1">
      <alignment horizontal="right" vertical="center" wrapText="1"/>
    </xf>
    <xf numFmtId="0" fontId="318" fillId="0" borderId="71" xfId="3010" applyFont="1" applyFill="1" applyBorder="1" applyAlignment="1">
      <alignment horizontal="right"/>
    </xf>
    <xf numFmtId="0" fontId="318" fillId="0" borderId="0" xfId="3010" applyFont="1" applyFill="1" applyAlignment="1">
      <alignment horizontal="right"/>
    </xf>
    <xf numFmtId="332" fontId="310" fillId="54" borderId="70" xfId="15472" applyNumberFormat="1" applyFont="1" applyFill="1" applyBorder="1" applyAlignment="1">
      <alignment horizontal="right" vertical="center" wrapText="1"/>
    </xf>
    <xf numFmtId="340" fontId="248" fillId="0" borderId="70" xfId="15472" applyNumberFormat="1" applyFont="1" applyFill="1" applyBorder="1" applyAlignment="1">
      <alignment horizontal="right" vertical="center" wrapText="1"/>
    </xf>
    <xf numFmtId="340" fontId="248" fillId="55" borderId="70" xfId="15472" applyNumberFormat="1" applyFont="1" applyFill="1" applyBorder="1" applyAlignment="1">
      <alignment horizontal="right" vertical="center" wrapText="1"/>
    </xf>
    <xf numFmtId="332" fontId="310" fillId="54" borderId="71" xfId="3010" applyNumberFormat="1" applyFont="1" applyFill="1" applyBorder="1" applyAlignment="1">
      <alignment horizontal="right" vertical="center"/>
    </xf>
    <xf numFmtId="168" fontId="367" fillId="0" borderId="71" xfId="15472" applyNumberFormat="1" applyFont="1" applyFill="1" applyBorder="1" applyAlignment="1">
      <alignment horizontal="right" vertical="center" wrapText="1"/>
    </xf>
    <xf numFmtId="323" fontId="367" fillId="54" borderId="70" xfId="15472" applyNumberFormat="1" applyFont="1" applyFill="1" applyBorder="1" applyAlignment="1">
      <alignment horizontal="right" vertical="center" wrapText="1"/>
    </xf>
    <xf numFmtId="0" fontId="310" fillId="0" borderId="0" xfId="3010" applyFont="1" applyFill="1" applyAlignment="1">
      <alignment vertical="center"/>
    </xf>
    <xf numFmtId="0" fontId="310" fillId="0" borderId="71" xfId="3010" applyFont="1" applyFill="1" applyBorder="1" applyAlignment="1">
      <alignment horizontal="right" vertical="center"/>
    </xf>
    <xf numFmtId="0" fontId="318" fillId="55" borderId="71" xfId="3010" applyFont="1" applyFill="1" applyBorder="1" applyAlignment="1">
      <alignment horizontal="right" vertical="center"/>
    </xf>
    <xf numFmtId="168" fontId="310" fillId="54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168" fontId="248" fillId="55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339" fontId="367" fillId="54" borderId="70" xfId="15472" applyNumberFormat="1" applyFont="1" applyFill="1" applyBorder="1" applyAlignment="1">
      <alignment horizontal="right" vertical="center" wrapText="1"/>
    </xf>
    <xf numFmtId="339" fontId="250" fillId="0" borderId="0" xfId="15472" applyNumberFormat="1" applyFont="1" applyFill="1" applyBorder="1" applyAlignment="1">
      <alignment horizontal="right" vertical="center" wrapText="1"/>
    </xf>
    <xf numFmtId="339" fontId="250" fillId="55" borderId="70" xfId="15472" applyNumberFormat="1" applyFont="1" applyFill="1" applyBorder="1" applyAlignment="1">
      <alignment horizontal="right" vertical="center" wrapText="1"/>
    </xf>
    <xf numFmtId="339" fontId="250" fillId="0" borderId="70" xfId="15472" applyNumberFormat="1" applyFont="1" applyFill="1" applyBorder="1" applyAlignment="1">
      <alignment horizontal="right" vertical="center" wrapText="1"/>
    </xf>
    <xf numFmtId="339" fontId="250" fillId="54" borderId="70" xfId="15472" applyNumberFormat="1" applyFont="1" applyFill="1" applyBorder="1" applyAlignment="1">
      <alignment horizontal="right" vertical="center" wrapText="1"/>
    </xf>
    <xf numFmtId="9" fontId="250" fillId="55" borderId="71" xfId="15472" applyNumberFormat="1" applyFont="1" applyFill="1" applyBorder="1" applyAlignment="1">
      <alignment horizontal="right" vertical="center" wrapText="1"/>
    </xf>
    <xf numFmtId="9" fontId="250" fillId="0" borderId="71" xfId="15472" applyNumberFormat="1" applyFont="1" applyFill="1" applyBorder="1" applyAlignment="1">
      <alignment horizontal="right" vertical="center" wrapText="1"/>
    </xf>
    <xf numFmtId="206" fontId="248" fillId="0" borderId="0" xfId="3010" applyNumberFormat="1" applyFont="1" applyFill="1" applyAlignment="1">
      <alignment horizontal="right" vertical="center"/>
    </xf>
    <xf numFmtId="169" fontId="250" fillId="0" borderId="0" xfId="15472" applyNumberFormat="1" applyFont="1" applyFill="1" applyBorder="1" applyAlignment="1">
      <alignment horizontal="right" vertical="center" wrapText="1"/>
    </xf>
    <xf numFmtId="169" fontId="250" fillId="0" borderId="70" xfId="15472" applyNumberFormat="1" applyFont="1" applyFill="1" applyBorder="1" applyAlignment="1">
      <alignment horizontal="right" vertical="center" wrapText="1"/>
    </xf>
    <xf numFmtId="325" fontId="248" fillId="0" borderId="0" xfId="15472" applyNumberFormat="1" applyFont="1" applyFill="1" applyBorder="1" applyAlignment="1">
      <alignment horizontal="right"/>
    </xf>
    <xf numFmtId="325" fontId="250" fillId="55" borderId="0" xfId="15472" applyNumberFormat="1" applyFont="1" applyFill="1" applyBorder="1" applyAlignment="1">
      <alignment horizontal="right" vertical="center" wrapText="1"/>
    </xf>
    <xf numFmtId="3" fontId="248" fillId="0" borderId="0" xfId="15472" applyNumberFormat="1" applyFont="1" applyBorder="1" applyAlignment="1">
      <alignment horizontal="right" wrapText="1"/>
    </xf>
    <xf numFmtId="3" fontId="248" fillId="0" borderId="70" xfId="15472" applyNumberFormat="1" applyFont="1" applyBorder="1" applyAlignment="1">
      <alignment horizontal="right" wrapText="1"/>
    </xf>
    <xf numFmtId="325" fontId="250" fillId="55" borderId="0" xfId="15472" applyNumberFormat="1" applyFont="1" applyFill="1" applyBorder="1" applyAlignment="1">
      <alignment horizontal="right" vertical="center"/>
    </xf>
    <xf numFmtId="0" fontId="250" fillId="0" borderId="0" xfId="15472" applyFont="1" applyBorder="1" applyAlignment="1">
      <alignment horizontal="right" wrapText="1"/>
    </xf>
    <xf numFmtId="0" fontId="250" fillId="0" borderId="0" xfId="15472" applyFont="1" applyFill="1" applyBorder="1" applyAlignment="1">
      <alignment horizontal="right" wrapText="1"/>
    </xf>
    <xf numFmtId="0" fontId="250" fillId="0" borderId="71" xfId="15472" applyFont="1" applyBorder="1" applyAlignment="1">
      <alignment horizontal="right" wrapText="1"/>
    </xf>
    <xf numFmtId="0" fontId="250" fillId="0" borderId="71" xfId="15472" applyFont="1" applyFill="1" applyBorder="1" applyAlignment="1">
      <alignment horizontal="right" wrapText="1"/>
    </xf>
    <xf numFmtId="325" fontId="248" fillId="55" borderId="0" xfId="15472" applyNumberFormat="1" applyFont="1" applyFill="1" applyBorder="1" applyAlignment="1">
      <alignment horizontal="right"/>
    </xf>
    <xf numFmtId="344" fontId="248" fillId="0" borderId="0" xfId="15472" applyNumberFormat="1" applyFont="1" applyFill="1" applyBorder="1" applyAlignment="1">
      <alignment horizontal="right" vertical="center" wrapText="1"/>
    </xf>
    <xf numFmtId="344" fontId="248" fillId="54" borderId="70" xfId="15472" applyNumberFormat="1" applyFont="1" applyFill="1" applyBorder="1" applyAlignment="1">
      <alignment horizontal="right" vertical="center" wrapText="1"/>
    </xf>
    <xf numFmtId="344" fontId="248" fillId="55" borderId="70" xfId="15472" applyNumberFormat="1" applyFont="1" applyFill="1" applyBorder="1" applyAlignment="1">
      <alignment horizontal="right" vertical="center" wrapText="1"/>
    </xf>
    <xf numFmtId="344" fontId="248" fillId="0" borderId="70" xfId="15472" applyNumberFormat="1" applyFont="1" applyFill="1" applyBorder="1" applyAlignment="1">
      <alignment horizontal="right" vertical="center" wrapText="1"/>
    </xf>
    <xf numFmtId="360" fontId="248" fillId="0" borderId="71" xfId="3010" applyNumberFormat="1" applyFont="1" applyFill="1" applyBorder="1" applyAlignment="1">
      <alignment horizontal="right" vertical="center"/>
    </xf>
    <xf numFmtId="341" fontId="250" fillId="54" borderId="70" xfId="15472" applyNumberFormat="1" applyFont="1" applyFill="1" applyBorder="1" applyAlignment="1">
      <alignment horizontal="right" vertical="center" wrapText="1"/>
    </xf>
    <xf numFmtId="344" fontId="250" fillId="0" borderId="0" xfId="15472" applyNumberFormat="1" applyFont="1" applyFill="1" applyBorder="1" applyAlignment="1">
      <alignment horizontal="right" vertical="center" wrapText="1"/>
    </xf>
    <xf numFmtId="341" fontId="250" fillId="0" borderId="70" xfId="15472" applyNumberFormat="1" applyFont="1" applyFill="1" applyBorder="1" applyAlignment="1">
      <alignment horizontal="right" vertical="center" wrapText="1"/>
    </xf>
    <xf numFmtId="341" fontId="250" fillId="55" borderId="70" xfId="15472" applyNumberFormat="1" applyFont="1" applyFill="1" applyBorder="1" applyAlignment="1">
      <alignment horizontal="right" vertical="center" wrapText="1"/>
    </xf>
    <xf numFmtId="344" fontId="250" fillId="55" borderId="70" xfId="15472" applyNumberFormat="1" applyFont="1" applyFill="1" applyBorder="1" applyAlignment="1">
      <alignment horizontal="right" vertical="center" wrapText="1"/>
    </xf>
    <xf numFmtId="344" fontId="250" fillId="0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Border="1" applyAlignment="1">
      <alignment horizontal="right" vertical="center" wrapText="1"/>
    </xf>
    <xf numFmtId="169" fontId="250" fillId="55" borderId="70" xfId="15472" applyNumberFormat="1" applyFont="1" applyFill="1" applyBorder="1" applyAlignment="1">
      <alignment horizontal="right" vertical="center" wrapText="1"/>
    </xf>
    <xf numFmtId="341" fontId="248" fillId="54" borderId="70" xfId="15472" applyNumberFormat="1" applyFont="1" applyFill="1" applyBorder="1" applyAlignment="1">
      <alignment horizontal="right" vertical="center" wrapText="1"/>
    </xf>
    <xf numFmtId="341" fontId="248" fillId="0" borderId="70" xfId="15472" applyNumberFormat="1" applyFont="1" applyFill="1" applyBorder="1" applyAlignment="1">
      <alignment horizontal="right" vertical="center" wrapText="1"/>
    </xf>
    <xf numFmtId="341" fontId="248" fillId="54" borderId="71" xfId="3010" applyNumberFormat="1" applyFont="1" applyFill="1" applyBorder="1" applyAlignment="1">
      <alignment horizontal="right" vertical="center"/>
    </xf>
    <xf numFmtId="341" fontId="248" fillId="0" borderId="71" xfId="3010" applyNumberFormat="1" applyFont="1" applyFill="1" applyBorder="1" applyAlignment="1">
      <alignment horizontal="right" vertical="center"/>
    </xf>
    <xf numFmtId="169" fontId="250" fillId="54" borderId="70" xfId="15472" applyNumberFormat="1" applyFont="1" applyFill="1" applyBorder="1" applyAlignment="1">
      <alignment horizontal="right" vertical="center" wrapText="1"/>
    </xf>
    <xf numFmtId="0" fontId="248" fillId="0" borderId="71" xfId="15472" applyFont="1" applyBorder="1" applyAlignment="1">
      <alignment horizontal="right"/>
    </xf>
    <xf numFmtId="0" fontId="318" fillId="55" borderId="71" xfId="15472" applyFont="1" applyFill="1" applyBorder="1" applyAlignment="1">
      <alignment horizontal="right"/>
    </xf>
    <xf numFmtId="0" fontId="318" fillId="55" borderId="71" xfId="15472" applyFont="1" applyFill="1" applyBorder="1" applyAlignment="1">
      <alignment horizontal="right" wrapText="1"/>
    </xf>
    <xf numFmtId="325" fontId="248" fillId="0" borderId="0" xfId="15472" applyNumberFormat="1" applyFont="1" applyFill="1" applyBorder="1" applyAlignment="1">
      <alignment horizontal="right" wrapText="1"/>
    </xf>
    <xf numFmtId="325" fontId="248" fillId="0" borderId="70" xfId="15472" applyNumberFormat="1" applyFont="1" applyBorder="1" applyAlignment="1">
      <alignment horizontal="right" wrapText="1"/>
    </xf>
    <xf numFmtId="168" fontId="248" fillId="0" borderId="0" xfId="15472" applyNumberFormat="1" applyFont="1" applyFill="1" applyBorder="1" applyAlignment="1">
      <alignment horizontal="right" vertical="center" wrapText="1"/>
    </xf>
    <xf numFmtId="279" fontId="248" fillId="0" borderId="70" xfId="15472" applyNumberFormat="1" applyFont="1" applyFill="1" applyBorder="1" applyAlignment="1">
      <alignment horizontal="right" vertical="center" wrapText="1"/>
    </xf>
    <xf numFmtId="49" fontId="250" fillId="0" borderId="0" xfId="15472" applyNumberFormat="1" applyFont="1" applyFill="1" applyBorder="1" applyAlignment="1">
      <alignment horizontal="right" vertical="center" wrapText="1"/>
    </xf>
    <xf numFmtId="357" fontId="250" fillId="0" borderId="70" xfId="15472" applyNumberFormat="1" applyFont="1" applyFill="1" applyBorder="1" applyAlignment="1">
      <alignment horizontal="right" vertical="center" wrapText="1"/>
    </xf>
    <xf numFmtId="9" fontId="250" fillId="55" borderId="0" xfId="15472" applyNumberFormat="1" applyFont="1" applyFill="1" applyBorder="1" applyAlignment="1">
      <alignment horizontal="right" vertical="center" wrapText="1"/>
    </xf>
    <xf numFmtId="168" fontId="365" fillId="0" borderId="0" xfId="15472" applyNumberFormat="1" applyFont="1" applyFill="1" applyBorder="1" applyAlignment="1">
      <alignment horizontal="right" vertical="center" wrapText="1"/>
    </xf>
    <xf numFmtId="332" fontId="248" fillId="55" borderId="70" xfId="15472" applyNumberFormat="1" applyFont="1" applyFill="1" applyBorder="1" applyAlignment="1">
      <alignment horizontal="right" vertical="center" wrapText="1"/>
    </xf>
    <xf numFmtId="206" fontId="248" fillId="54" borderId="71" xfId="3010" applyNumberFormat="1" applyFont="1" applyFill="1" applyBorder="1" applyAlignment="1">
      <alignment horizontal="right" vertical="center"/>
    </xf>
    <xf numFmtId="325" fontId="248" fillId="0" borderId="0" xfId="15472" applyNumberFormat="1" applyFont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 wrapText="1"/>
    </xf>
    <xf numFmtId="325" fontId="248" fillId="55" borderId="71" xfId="15472" applyNumberFormat="1" applyFont="1" applyFill="1" applyBorder="1" applyAlignment="1">
      <alignment horizontal="right" wrapText="1"/>
    </xf>
    <xf numFmtId="325" fontId="248" fillId="55" borderId="0" xfId="15472" applyNumberFormat="1" applyFont="1" applyFill="1" applyBorder="1" applyAlignment="1">
      <alignment horizontal="right" wrapText="1"/>
    </xf>
    <xf numFmtId="265" fontId="248" fillId="55" borderId="70" xfId="15472" applyNumberFormat="1" applyFont="1" applyFill="1" applyBorder="1" applyAlignment="1">
      <alignment horizontal="right" vertical="center" wrapText="1"/>
    </xf>
    <xf numFmtId="206" fontId="248" fillId="55" borderId="71" xfId="3010" applyNumberFormat="1" applyFont="1" applyFill="1" applyBorder="1" applyAlignment="1">
      <alignment horizontal="right" vertical="center"/>
    </xf>
    <xf numFmtId="0" fontId="317" fillId="0" borderId="0" xfId="15472" applyFont="1" applyBorder="1" applyAlignment="1">
      <alignment horizontal="right" wrapText="1"/>
    </xf>
    <xf numFmtId="0" fontId="318" fillId="0" borderId="71" xfId="15472" applyFont="1" applyBorder="1" applyAlignment="1">
      <alignment horizontal="right"/>
    </xf>
    <xf numFmtId="0" fontId="318" fillId="0" borderId="0" xfId="15472" applyFont="1" applyBorder="1" applyAlignment="1">
      <alignment horizontal="right" wrapText="1"/>
    </xf>
    <xf numFmtId="0" fontId="318" fillId="0" borderId="71" xfId="15472" applyFont="1" applyBorder="1" applyAlignment="1">
      <alignment horizontal="right" wrapText="1"/>
    </xf>
    <xf numFmtId="325" fontId="248" fillId="0" borderId="0" xfId="15472" applyNumberFormat="1" applyFont="1" applyFill="1" applyBorder="1" applyAlignment="1">
      <alignment horizontal="right" vertical="center" wrapText="1"/>
    </xf>
    <xf numFmtId="325" fontId="248" fillId="55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325" fontId="250" fillId="0" borderId="0" xfId="15472" applyNumberFormat="1" applyFont="1" applyFill="1" applyBorder="1" applyAlignment="1">
      <alignment horizontal="right" vertical="center" wrapText="1"/>
    </xf>
    <xf numFmtId="325" fontId="250" fillId="55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325" fontId="250" fillId="55" borderId="71" xfId="15472" applyNumberFormat="1" applyFont="1" applyFill="1" applyBorder="1" applyAlignment="1">
      <alignment horizontal="righ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0" xfId="15472" applyNumberFormat="1" applyFont="1" applyFill="1" applyBorder="1" applyAlignment="1">
      <alignment horizontal="right" vertical="center" wrapText="1"/>
    </xf>
    <xf numFmtId="0" fontId="250" fillId="55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9" fontId="250" fillId="55" borderId="70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/>
    </xf>
    <xf numFmtId="325" fontId="248" fillId="0" borderId="71" xfId="15472" applyNumberFormat="1" applyFont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/>
    </xf>
    <xf numFmtId="325" fontId="250" fillId="54" borderId="70" xfId="15472" applyNumberFormat="1" applyFont="1" applyFill="1" applyBorder="1" applyAlignment="1">
      <alignment horizontal="right" vertical="center"/>
    </xf>
    <xf numFmtId="0" fontId="317" fillId="55" borderId="0" xfId="15472" applyFont="1" applyFill="1" applyBorder="1" applyAlignment="1">
      <alignment horizontal="right"/>
    </xf>
    <xf numFmtId="0" fontId="317" fillId="55" borderId="0" xfId="15472" applyFont="1" applyFill="1" applyBorder="1" applyAlignment="1">
      <alignment horizontal="right" wrapText="1"/>
    </xf>
    <xf numFmtId="0" fontId="317" fillId="55" borderId="71" xfId="15472" applyFont="1" applyFill="1" applyBorder="1" applyAlignment="1">
      <alignment horizontal="right"/>
    </xf>
    <xf numFmtId="0" fontId="317" fillId="0" borderId="71" xfId="15472" applyFont="1" applyBorder="1" applyAlignment="1">
      <alignment horizontal="right" wrapText="1"/>
    </xf>
    <xf numFmtId="0" fontId="317" fillId="55" borderId="71" xfId="15472" applyFont="1" applyFill="1" applyBorder="1" applyAlignment="1">
      <alignment horizontal="right" wrapText="1"/>
    </xf>
    <xf numFmtId="168" fontId="250" fillId="55" borderId="0" xfId="15472" applyNumberFormat="1" applyFont="1" applyFill="1" applyBorder="1" applyAlignment="1">
      <alignment horizontal="right" vertical="center" wrapText="1"/>
    </xf>
    <xf numFmtId="340" fontId="248" fillId="0" borderId="0" xfId="15472" applyNumberFormat="1" applyFont="1" applyFill="1" applyBorder="1" applyAlignment="1">
      <alignment horizontal="right" vertical="center" wrapText="1"/>
    </xf>
    <xf numFmtId="332" fontId="248" fillId="54" borderId="70" xfId="15472" applyNumberFormat="1" applyFont="1" applyFill="1" applyBorder="1" applyAlignment="1">
      <alignment horizontal="right" vertical="center" wrapText="1"/>
    </xf>
    <xf numFmtId="332" fontId="248" fillId="0" borderId="71" xfId="3010" applyNumberFormat="1" applyFont="1" applyFill="1" applyBorder="1" applyAlignment="1">
      <alignment horizontal="right" vertical="center"/>
    </xf>
    <xf numFmtId="206" fontId="248" fillId="0" borderId="71" xfId="3010" applyNumberFormat="1" applyFont="1" applyFill="1" applyBorder="1" applyAlignment="1">
      <alignment horizontal="right" vertical="center"/>
    </xf>
    <xf numFmtId="340" fontId="250" fillId="0" borderId="0" xfId="15472" applyNumberFormat="1" applyFont="1" applyFill="1" applyBorder="1" applyAlignment="1">
      <alignment horizontal="right" vertical="center" wrapText="1"/>
    </xf>
    <xf numFmtId="332" fontId="250" fillId="55" borderId="70" xfId="15472" applyNumberFormat="1" applyFont="1" applyFill="1" applyBorder="1" applyAlignment="1">
      <alignment horizontal="right" vertical="center" wrapText="1"/>
    </xf>
    <xf numFmtId="340" fontId="250" fillId="0" borderId="70" xfId="15472" applyNumberFormat="1" applyFont="1" applyFill="1" applyBorder="1" applyAlignment="1">
      <alignment horizontal="right" vertical="center" wrapText="1"/>
    </xf>
    <xf numFmtId="332" fontId="250" fillId="54" borderId="70" xfId="15472" applyNumberFormat="1" applyFont="1" applyFill="1" applyBorder="1" applyAlignment="1">
      <alignment horizontal="right" vertical="center" wrapText="1"/>
    </xf>
    <xf numFmtId="340" fontId="250" fillId="55" borderId="70" xfId="15472" applyNumberFormat="1" applyFont="1" applyFill="1" applyBorder="1" applyAlignment="1">
      <alignment horizontal="right" vertical="center" wrapText="1"/>
    </xf>
    <xf numFmtId="168" fontId="250" fillId="55" borderId="71" xfId="15472" applyNumberFormat="1" applyFont="1" applyFill="1" applyBorder="1" applyAlignment="1">
      <alignment horizontal="right"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23" fontId="250" fillId="55" borderId="70" xfId="15472" applyNumberFormat="1" applyFont="1" applyFill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323" fontId="250" fillId="0" borderId="70" xfId="15472" applyNumberFormat="1" applyFont="1" applyFill="1" applyBorder="1" applyAlignment="1">
      <alignment horizontal="right" vertical="center" wrapText="1"/>
    </xf>
    <xf numFmtId="0" fontId="318" fillId="0" borderId="0" xfId="3010" applyFont="1" applyFill="1" applyBorder="1" applyAlignment="1">
      <alignment horizontal="right" vertical="center"/>
    </xf>
    <xf numFmtId="0" fontId="318" fillId="0" borderId="71" xfId="3010" applyFont="1" applyFill="1" applyBorder="1" applyAlignment="1">
      <alignment horizontal="right" vertical="center"/>
    </xf>
    <xf numFmtId="325" fontId="248" fillId="55" borderId="70" xfId="15472" applyNumberFormat="1" applyFont="1" applyFill="1" applyBorder="1" applyAlignment="1">
      <alignment horizontal="right"/>
    </xf>
    <xf numFmtId="325" fontId="248" fillId="0" borderId="71" xfId="15472" applyNumberFormat="1" applyFont="1" applyFill="1" applyBorder="1" applyAlignment="1">
      <alignment horizontal="right"/>
    </xf>
    <xf numFmtId="325" fontId="248" fillId="54" borderId="70" xfId="15472" applyNumberFormat="1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 wrapText="1"/>
    </xf>
    <xf numFmtId="325" fontId="248" fillId="55" borderId="70" xfId="15472" applyNumberFormat="1" applyFont="1" applyFill="1" applyBorder="1" applyAlignment="1">
      <alignment horizontal="right" wrapText="1"/>
    </xf>
    <xf numFmtId="0" fontId="318" fillId="0" borderId="0" xfId="3010" applyFont="1" applyFill="1" applyAlignment="1">
      <alignment horizontal="right" vertical="center"/>
    </xf>
    <xf numFmtId="325" fontId="248" fillId="54" borderId="70" xfId="15472" applyNumberFormat="1" applyFont="1" applyFill="1" applyBorder="1" applyAlignment="1">
      <alignment horizontal="right"/>
    </xf>
    <xf numFmtId="0" fontId="250" fillId="0" borderId="0" xfId="15472" applyFont="1" applyBorder="1" applyAlignment="1">
      <alignment horizontal="right"/>
    </xf>
    <xf numFmtId="0" fontId="250" fillId="0" borderId="71" xfId="15472" applyFont="1" applyBorder="1" applyAlignment="1">
      <alignment horizontal="right"/>
    </xf>
    <xf numFmtId="332" fontId="248" fillId="54" borderId="71" xfId="3010" applyNumberFormat="1" applyFont="1" applyFill="1" applyBorder="1" applyAlignment="1">
      <alignment horizontal="right" vertical="center"/>
    </xf>
    <xf numFmtId="340" fontId="250" fillId="54" borderId="70" xfId="15472" applyNumberFormat="1" applyFont="1" applyFill="1" applyBorder="1" applyAlignment="1">
      <alignment horizontal="right" vertical="center" wrapText="1"/>
    </xf>
    <xf numFmtId="0" fontId="318" fillId="0" borderId="71" xfId="15472" applyFont="1" applyFill="1" applyBorder="1" applyAlignment="1">
      <alignment horizontal="right"/>
    </xf>
    <xf numFmtId="0" fontId="318" fillId="0" borderId="71" xfId="15472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/>
    </xf>
    <xf numFmtId="0" fontId="250" fillId="0" borderId="0" xfId="15472" applyFont="1" applyFill="1" applyBorder="1" applyAlignment="1">
      <alignment horizontal="right"/>
    </xf>
    <xf numFmtId="0" fontId="317" fillId="0" borderId="0" xfId="15472" applyFont="1" applyFill="1" applyBorder="1" applyAlignment="1">
      <alignment horizontal="right" wrapText="1"/>
    </xf>
    <xf numFmtId="0" fontId="250" fillId="0" borderId="71" xfId="15472" applyFont="1" applyFill="1" applyBorder="1" applyAlignment="1">
      <alignment horizontal="right"/>
    </xf>
    <xf numFmtId="0" fontId="317" fillId="0" borderId="71" xfId="15472" applyFont="1" applyFill="1" applyBorder="1" applyAlignment="1">
      <alignment horizontal="right" wrapText="1"/>
    </xf>
    <xf numFmtId="332" fontId="248" fillId="0" borderId="70" xfId="15472" applyNumberFormat="1" applyFont="1" applyFill="1" applyBorder="1" applyAlignment="1">
      <alignment horizontal="right" vertical="center" wrapText="1"/>
    </xf>
    <xf numFmtId="265" fontId="248" fillId="0" borderId="70" xfId="15472" applyNumberFormat="1" applyFont="1" applyFill="1" applyBorder="1" applyAlignment="1">
      <alignment horizontal="right" vertical="center" wrapText="1"/>
    </xf>
    <xf numFmtId="332" fontId="250" fillId="0" borderId="70" xfId="15472" applyNumberFormat="1" applyFont="1" applyFill="1" applyBorder="1" applyAlignment="1">
      <alignment horizontal="right" vertical="center" wrapText="1"/>
    </xf>
    <xf numFmtId="323" fontId="250" fillId="0" borderId="0" xfId="15472" applyNumberFormat="1" applyFont="1" applyFill="1" applyBorder="1" applyAlignment="1">
      <alignment horizontal="right" vertical="center" wrapText="1"/>
    </xf>
    <xf numFmtId="0" fontId="318" fillId="0" borderId="0" xfId="15472" applyFont="1" applyBorder="1" applyAlignment="1">
      <alignment horizontal="right"/>
    </xf>
    <xf numFmtId="0" fontId="318" fillId="0" borderId="0" xfId="15472" applyFont="1" applyFill="1" applyBorder="1" applyAlignment="1">
      <alignment horizontal="right"/>
    </xf>
    <xf numFmtId="0" fontId="318" fillId="0" borderId="0" xfId="15472" applyFont="1" applyFill="1" applyBorder="1" applyAlignment="1">
      <alignment horizontal="right" wrapText="1"/>
    </xf>
    <xf numFmtId="168" fontId="248" fillId="0" borderId="0" xfId="15472" applyNumberFormat="1" applyFont="1" applyBorder="1" applyAlignment="1">
      <alignment horizontal="right" wrapText="1"/>
    </xf>
    <xf numFmtId="168" fontId="248" fillId="54" borderId="71" xfId="15472" applyNumberFormat="1" applyFont="1" applyFill="1" applyBorder="1" applyAlignment="1">
      <alignment horizontal="right" wrapText="1"/>
    </xf>
    <xf numFmtId="168" fontId="248" fillId="0" borderId="71" xfId="15472" applyNumberFormat="1" applyFont="1" applyFill="1" applyBorder="1" applyAlignment="1">
      <alignment horizontal="right" wrapText="1"/>
    </xf>
    <xf numFmtId="168" fontId="248" fillId="55" borderId="71" xfId="15472" applyNumberFormat="1" applyFont="1" applyFill="1" applyBorder="1" applyAlignment="1">
      <alignment horizontal="right" wrapText="1"/>
    </xf>
    <xf numFmtId="265" fontId="318" fillId="0" borderId="71" xfId="15472" applyNumberFormat="1" applyFont="1" applyFill="1" applyBorder="1" applyAlignment="1">
      <alignment horizontal="right" vertical="center" wrapText="1"/>
    </xf>
    <xf numFmtId="168" fontId="248" fillId="0" borderId="0" xfId="3010" applyNumberFormat="1" applyFont="1" applyFill="1" applyBorder="1" applyAlignment="1">
      <alignment vertical="center"/>
    </xf>
    <xf numFmtId="168" fontId="248" fillId="55" borderId="70" xfId="3010" applyNumberFormat="1" applyFont="1" applyFill="1" applyBorder="1" applyAlignment="1">
      <alignment vertical="center"/>
    </xf>
    <xf numFmtId="168" fontId="248" fillId="0" borderId="70" xfId="3010" applyNumberFormat="1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vertical="center"/>
    </xf>
    <xf numFmtId="325" fontId="250" fillId="55" borderId="70" xfId="15472" applyNumberFormat="1" applyFont="1" applyFill="1" applyBorder="1" applyAlignment="1">
      <alignment horizontal="right" vertical="center"/>
    </xf>
    <xf numFmtId="168" fontId="248" fillId="55" borderId="71" xfId="3010" applyNumberFormat="1" applyFont="1" applyFill="1" applyBorder="1" applyAlignment="1">
      <alignment vertical="center"/>
    </xf>
    <xf numFmtId="168" fontId="248" fillId="54" borderId="71" xfId="3010" applyNumberFormat="1" applyFont="1" applyFill="1" applyBorder="1" applyAlignment="1">
      <alignment vertical="center"/>
    </xf>
    <xf numFmtId="168" fontId="250" fillId="0" borderId="0" xfId="15472" applyNumberFormat="1" applyFont="1" applyFill="1" applyBorder="1" applyAlignment="1">
      <alignment horizontal="right" vertical="center" wrapText="1"/>
    </xf>
    <xf numFmtId="168" fontId="250" fillId="55" borderId="70" xfId="15472" applyNumberFormat="1" applyFont="1" applyFill="1" applyBorder="1" applyAlignment="1">
      <alignment horizontal="right" vertical="center" wrapText="1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50" fillId="54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Fill="1" applyBorder="1" applyAlignment="1">
      <alignment horizontal="right" vertical="center"/>
    </xf>
    <xf numFmtId="168" fontId="248" fillId="54" borderId="71" xfId="15472" applyNumberFormat="1" applyFont="1" applyFill="1" applyBorder="1" applyAlignment="1">
      <alignment horizontal="right" vertical="center" wrapText="1"/>
    </xf>
    <xf numFmtId="168" fontId="248" fillId="0" borderId="71" xfId="15472" applyNumberFormat="1" applyFont="1" applyFill="1" applyBorder="1" applyAlignment="1">
      <alignment horizontal="right" vertical="center" wrapText="1"/>
    </xf>
    <xf numFmtId="168" fontId="248" fillId="0" borderId="71" xfId="3010" applyNumberFormat="1" applyFont="1" applyFill="1" applyBorder="1" applyAlignment="1">
      <alignment vertical="center"/>
    </xf>
    <xf numFmtId="325" fontId="248" fillId="54" borderId="70" xfId="15472" applyNumberFormat="1" applyFont="1" applyFill="1" applyBorder="1" applyAlignment="1">
      <alignment horizontal="right" vertical="center"/>
    </xf>
    <xf numFmtId="168" fontId="248" fillId="55" borderId="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vertical="center"/>
    </xf>
    <xf numFmtId="325" fontId="248" fillId="55" borderId="70" xfId="15472" applyNumberFormat="1" applyFont="1" applyFill="1" applyBorder="1" applyAlignment="1">
      <alignment horizontal="right" vertical="center"/>
    </xf>
    <xf numFmtId="168" fontId="248" fillId="54" borderId="70" xfId="15472" applyNumberFormat="1" applyFont="1" applyFill="1" applyBorder="1" applyAlignment="1">
      <alignment horizontal="right" vertical="center" wrapText="1"/>
    </xf>
    <xf numFmtId="168" fontId="248" fillId="0" borderId="70" xfId="15472" applyNumberFormat="1" applyFont="1" applyFill="1" applyBorder="1" applyAlignment="1">
      <alignment horizontal="right" vertical="center" wrapText="1"/>
    </xf>
    <xf numFmtId="168" fontId="248" fillId="55" borderId="70" xfId="15472" applyNumberFormat="1" applyFont="1" applyFill="1" applyBorder="1" applyAlignment="1">
      <alignment horizontal="right" vertical="center" wrapText="1"/>
    </xf>
    <xf numFmtId="168" fontId="248" fillId="0" borderId="0" xfId="15472" applyNumberFormat="1" applyFont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/>
    </xf>
    <xf numFmtId="168" fontId="248" fillId="0" borderId="71" xfId="15472" applyNumberFormat="1" applyFont="1" applyBorder="1" applyAlignment="1">
      <alignment horizontal="right" vertical="center" wrapText="1"/>
    </xf>
    <xf numFmtId="168" fontId="248" fillId="55" borderId="71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Border="1" applyAlignment="1">
      <alignment horizontal="right" vertical="center" wrapText="1"/>
    </xf>
    <xf numFmtId="168" fontId="250" fillId="0" borderId="70" xfId="15472" applyNumberFormat="1" applyFont="1" applyBorder="1" applyAlignment="1">
      <alignment horizontal="right" vertical="center" wrapText="1"/>
    </xf>
    <xf numFmtId="0" fontId="250" fillId="0" borderId="0" xfId="15472" applyFont="1" applyBorder="1" applyAlignment="1">
      <alignment horizontal="right" vertical="center"/>
    </xf>
    <xf numFmtId="168" fontId="317" fillId="0" borderId="0" xfId="15472" applyNumberFormat="1" applyFont="1" applyBorder="1" applyAlignment="1">
      <alignment horizontal="right" vertical="center" wrapText="1"/>
    </xf>
    <xf numFmtId="0" fontId="250" fillId="0" borderId="0" xfId="15472" applyFont="1" applyFill="1" applyBorder="1" applyAlignment="1">
      <alignment horizontal="right" vertical="center"/>
    </xf>
    <xf numFmtId="0" fontId="317" fillId="55" borderId="0" xfId="15472" applyFont="1" applyFill="1" applyBorder="1" applyAlignment="1">
      <alignment horizontal="right" vertical="center"/>
    </xf>
    <xf numFmtId="168" fontId="317" fillId="0" borderId="0" xfId="15472" applyNumberFormat="1" applyFont="1" applyFill="1" applyBorder="1" applyAlignment="1">
      <alignment horizontal="right" vertical="center" wrapText="1"/>
    </xf>
    <xf numFmtId="168" fontId="317" fillId="55" borderId="0" xfId="15472" applyNumberFormat="1" applyFont="1" applyFill="1" applyBorder="1" applyAlignment="1">
      <alignment horizontal="right" vertical="center" wrapText="1"/>
    </xf>
    <xf numFmtId="0" fontId="250" fillId="0" borderId="71" xfId="15472" applyFont="1" applyBorder="1" applyAlignment="1">
      <alignment horizontal="right" vertical="center"/>
    </xf>
    <xf numFmtId="0" fontId="250" fillId="0" borderId="71" xfId="15472" applyFont="1" applyFill="1" applyBorder="1" applyAlignment="1">
      <alignment horizontal="right" vertical="center"/>
    </xf>
    <xf numFmtId="0" fontId="317" fillId="55" borderId="71" xfId="15472" applyFont="1" applyFill="1" applyBorder="1" applyAlignment="1">
      <alignment horizontal="right" vertical="center"/>
    </xf>
    <xf numFmtId="168" fontId="317" fillId="0" borderId="71" xfId="15472" applyNumberFormat="1" applyFont="1" applyBorder="1" applyAlignment="1">
      <alignment horizontal="right" vertical="center" wrapText="1"/>
    </xf>
    <xf numFmtId="168" fontId="317" fillId="0" borderId="71" xfId="15472" applyNumberFormat="1" applyFont="1" applyFill="1" applyBorder="1" applyAlignment="1">
      <alignment horizontal="right" vertical="center" wrapText="1"/>
    </xf>
    <xf numFmtId="168" fontId="317" fillId="55" borderId="71" xfId="15472" applyNumberFormat="1" applyFont="1" applyFill="1" applyBorder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319" fillId="0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168" fontId="320" fillId="0" borderId="70" xfId="0" applyNumberFormat="1" applyFont="1" applyFill="1" applyBorder="1" applyAlignment="1">
      <alignment horizontal="right" vertical="center" wrapText="1"/>
    </xf>
    <xf numFmtId="330" fontId="248" fillId="54" borderId="0" xfId="24776" applyNumberFormat="1" applyFont="1" applyFill="1" applyBorder="1" applyAlignment="1">
      <alignment horizontal="right" vertical="center" wrapText="1"/>
    </xf>
    <xf numFmtId="9" fontId="320" fillId="0" borderId="0" xfId="24776" applyNumberFormat="1" applyFont="1" applyFill="1" applyBorder="1" applyAlignment="1">
      <alignment horizontal="right" vertical="center" wrapText="1"/>
    </xf>
    <xf numFmtId="347" fontId="248" fillId="54" borderId="0" xfId="24794" applyNumberFormat="1" applyFont="1" applyFill="1" applyBorder="1" applyAlignment="1">
      <alignment vertical="center"/>
    </xf>
    <xf numFmtId="347" fontId="248" fillId="0" borderId="0" xfId="8037" applyNumberFormat="1" applyFont="1" applyFill="1" applyBorder="1" applyAlignment="1">
      <alignment vertical="center"/>
    </xf>
    <xf numFmtId="9" fontId="248" fillId="54" borderId="0" xfId="24776" applyFont="1" applyFill="1" applyBorder="1" applyAlignment="1">
      <alignment horizontal="right" vertical="center" wrapText="1"/>
    </xf>
    <xf numFmtId="1" fontId="250" fillId="0" borderId="0" xfId="24776" applyNumberFormat="1" applyFont="1" applyFill="1" applyBorder="1" applyAlignment="1">
      <alignment horizontal="right" vertical="center"/>
    </xf>
    <xf numFmtId="325" fontId="248" fillId="54" borderId="70" xfId="24776" applyNumberFormat="1" applyFont="1" applyFill="1" applyBorder="1" applyAlignment="1">
      <alignment horizontal="right" vertical="center" wrapText="1"/>
    </xf>
    <xf numFmtId="337" fontId="319" fillId="0" borderId="70" xfId="24776" applyNumberFormat="1" applyFont="1" applyFill="1" applyBorder="1" applyAlignment="1">
      <alignment horizontal="right" vertical="center" wrapText="1"/>
    </xf>
    <xf numFmtId="325" fontId="248" fillId="54" borderId="0" xfId="24794" applyNumberFormat="1" applyFont="1" applyFill="1" applyBorder="1" applyAlignment="1">
      <alignment vertical="center"/>
    </xf>
    <xf numFmtId="325" fontId="248" fillId="0" borderId="0" xfId="8059" applyNumberFormat="1" applyFont="1" applyFill="1" applyBorder="1" applyAlignment="1">
      <alignment vertical="center"/>
    </xf>
    <xf numFmtId="337" fontId="319" fillId="0" borderId="0" xfId="24776" applyNumberFormat="1" applyFont="1" applyFill="1" applyBorder="1" applyAlignment="1">
      <alignment horizontal="right" vertical="center" wrapText="1"/>
    </xf>
    <xf numFmtId="342" fontId="248" fillId="54" borderId="0" xfId="24794" applyNumberFormat="1" applyFont="1" applyFill="1" applyAlignment="1">
      <alignment vertical="center"/>
    </xf>
    <xf numFmtId="342" fontId="248" fillId="0" borderId="0" xfId="8059" applyNumberFormat="1" applyFont="1" applyFill="1" applyAlignment="1">
      <alignment vertical="center"/>
    </xf>
    <xf numFmtId="356" fontId="248" fillId="54" borderId="0" xfId="24794" applyNumberFormat="1" applyFont="1" applyFill="1" applyAlignment="1">
      <alignment vertical="center"/>
    </xf>
    <xf numFmtId="9" fontId="248" fillId="0" borderId="0" xfId="8059" applyNumberFormat="1" applyFont="1" applyFill="1" applyBorder="1" applyAlignment="1">
      <alignment vertical="center"/>
    </xf>
    <xf numFmtId="339" fontId="248" fillId="54" borderId="0" xfId="24794" applyNumberFormat="1" applyFont="1" applyFill="1" applyAlignment="1">
      <alignment vertical="center"/>
    </xf>
    <xf numFmtId="339" fontId="248" fillId="0" borderId="0" xfId="8059" applyNumberFormat="1" applyFont="1" applyFill="1" applyAlignment="1">
      <alignment vertical="center"/>
    </xf>
    <xf numFmtId="339" fontId="248" fillId="0" borderId="0" xfId="24794" applyNumberFormat="1" applyFont="1" applyFill="1" applyAlignment="1">
      <alignment vertical="center"/>
    </xf>
    <xf numFmtId="169" fontId="248" fillId="54" borderId="0" xfId="24776" applyNumberFormat="1" applyFont="1" applyFill="1" applyBorder="1" applyAlignment="1">
      <alignment horizontal="right" vertical="center" wrapText="1"/>
    </xf>
    <xf numFmtId="0" fontId="248" fillId="0" borderId="0" xfId="0" applyFont="1" applyFill="1" applyAlignment="1">
      <alignment horizontal="right"/>
    </xf>
    <xf numFmtId="9" fontId="248" fillId="54" borderId="0" xfId="24776" applyNumberFormat="1" applyFont="1" applyFill="1" applyBorder="1" applyAlignment="1">
      <alignment horizontal="right" vertical="center" wrapText="1"/>
    </xf>
    <xf numFmtId="168" fontId="319" fillId="0" borderId="70" xfId="0" applyNumberFormat="1" applyFont="1" applyFill="1" applyBorder="1" applyAlignment="1">
      <alignment horizontal="right" vertical="center" wrapText="1"/>
    </xf>
    <xf numFmtId="168" fontId="320" fillId="54" borderId="70" xfId="0" applyNumberFormat="1" applyFont="1" applyFill="1" applyBorder="1" applyAlignment="1">
      <alignment horizontal="right" vertical="center" wrapText="1"/>
    </xf>
    <xf numFmtId="168" fontId="319" fillId="55" borderId="71" xfId="0" applyNumberFormat="1" applyFont="1" applyFill="1" applyBorder="1" applyAlignment="1">
      <alignment horizontal="right" vertical="center" wrapText="1"/>
    </xf>
    <xf numFmtId="168" fontId="319" fillId="54" borderId="71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319" fillId="54" borderId="0" xfId="0" applyNumberFormat="1" applyFont="1" applyFill="1" applyAlignment="1">
      <alignment horizontal="right" vertical="center" wrapText="1"/>
    </xf>
    <xf numFmtId="168" fontId="319" fillId="54" borderId="0" xfId="0" applyNumberFormat="1" applyFont="1" applyFill="1" applyBorder="1" applyAlignment="1">
      <alignment horizontal="right" vertical="center" wrapText="1"/>
    </xf>
    <xf numFmtId="1" fontId="248" fillId="54" borderId="0" xfId="24776" applyNumberFormat="1" applyFont="1" applyFill="1" applyBorder="1" applyAlignment="1">
      <alignment horizontal="right" vertical="center" wrapText="1"/>
    </xf>
    <xf numFmtId="1" fontId="248" fillId="55" borderId="0" xfId="24776" applyNumberFormat="1" applyFont="1" applyFill="1" applyBorder="1" applyAlignment="1">
      <alignment horizontal="right" vertical="center" wrapText="1"/>
    </xf>
    <xf numFmtId="333" fontId="248" fillId="54" borderId="0" xfId="0" applyNumberFormat="1" applyFont="1" applyFill="1" applyBorder="1" applyAlignment="1">
      <alignment horizontal="right" vertical="center" wrapText="1"/>
    </xf>
    <xf numFmtId="333" fontId="319" fillId="55" borderId="0" xfId="0" applyNumberFormat="1" applyFont="1" applyFill="1" applyBorder="1" applyAlignment="1">
      <alignment horizontal="right" vertical="center" wrapText="1"/>
    </xf>
    <xf numFmtId="333" fontId="319" fillId="54" borderId="0" xfId="0" applyNumberFormat="1" applyFont="1" applyFill="1" applyBorder="1" applyAlignment="1">
      <alignment horizontal="right" vertical="center" wrapText="1"/>
    </xf>
    <xf numFmtId="168" fontId="364" fillId="0" borderId="0" xfId="0" applyNumberFormat="1" applyFont="1" applyFill="1" applyBorder="1" applyAlignment="1">
      <alignment horizontal="right" vertical="center" wrapText="1"/>
    </xf>
    <xf numFmtId="168" fontId="318" fillId="55" borderId="71" xfId="0" applyNumberFormat="1" applyFont="1" applyFill="1" applyBorder="1" applyAlignment="1">
      <alignment horizontal="right" wrapText="1"/>
    </xf>
    <xf numFmtId="332" fontId="319" fillId="55" borderId="70" xfId="0" applyNumberFormat="1" applyFont="1" applyFill="1" applyBorder="1" applyAlignment="1">
      <alignment horizontal="right" vertical="center" wrapText="1"/>
    </xf>
    <xf numFmtId="332" fontId="319" fillId="54" borderId="70" xfId="0" applyNumberFormat="1" applyFont="1" applyFill="1" applyBorder="1" applyAlignment="1">
      <alignment horizontal="right" vertical="center" wrapText="1"/>
    </xf>
    <xf numFmtId="345" fontId="248" fillId="54" borderId="0" xfId="0" applyNumberFormat="1" applyFont="1" applyFill="1" applyBorder="1" applyAlignment="1">
      <alignment horizontal="right" vertical="center" wrapText="1"/>
    </xf>
    <xf numFmtId="345" fontId="248" fillId="0" borderId="0" xfId="0" applyNumberFormat="1" applyFont="1" applyFill="1" applyBorder="1" applyAlignment="1">
      <alignment horizontal="right" vertical="center" wrapText="1"/>
    </xf>
    <xf numFmtId="332" fontId="319" fillId="54" borderId="0" xfId="0" applyNumberFormat="1" applyFont="1" applyFill="1" applyBorder="1" applyAlignment="1">
      <alignment horizontal="right" vertical="center" wrapText="1"/>
    </xf>
    <xf numFmtId="169" fontId="319" fillId="54" borderId="0" xfId="24776" applyNumberFormat="1" applyFont="1" applyFill="1" applyBorder="1" applyAlignment="1">
      <alignment horizontal="right" vertical="center" wrapText="1"/>
    </xf>
    <xf numFmtId="332" fontId="248" fillId="0" borderId="71" xfId="0" applyNumberFormat="1" applyFont="1" applyFill="1" applyBorder="1" applyAlignment="1">
      <alignment horizontal="right" vertical="center" wrapText="1"/>
    </xf>
    <xf numFmtId="332" fontId="319" fillId="0" borderId="71" xfId="0" applyNumberFormat="1" applyFont="1" applyFill="1" applyBorder="1" applyAlignment="1">
      <alignment horizontal="right" vertical="center" wrapText="1"/>
    </xf>
    <xf numFmtId="348" fontId="248" fillId="54" borderId="70" xfId="0" applyNumberFormat="1" applyFont="1" applyFill="1" applyBorder="1" applyAlignment="1">
      <alignment horizontal="right" vertical="center" wrapText="1"/>
    </xf>
    <xf numFmtId="348" fontId="319" fillId="55" borderId="70" xfId="0" applyNumberFormat="1" applyFont="1" applyFill="1" applyBorder="1" applyAlignment="1">
      <alignment horizontal="right" vertical="center" wrapText="1"/>
    </xf>
    <xf numFmtId="348" fontId="319" fillId="54" borderId="70" xfId="0" applyNumberFormat="1" applyFont="1" applyFill="1" applyBorder="1" applyAlignment="1">
      <alignment horizontal="right" vertical="center" wrapText="1"/>
    </xf>
    <xf numFmtId="348" fontId="319" fillId="0" borderId="70" xfId="0" applyNumberFormat="1" applyFont="1" applyFill="1" applyBorder="1" applyAlignment="1">
      <alignment horizontal="right" vertical="center" wrapText="1"/>
    </xf>
    <xf numFmtId="9" fontId="319" fillId="55" borderId="0" xfId="24776" applyFont="1" applyFill="1" applyBorder="1" applyAlignment="1">
      <alignment horizontal="right" vertical="center" wrapText="1"/>
    </xf>
    <xf numFmtId="9" fontId="319" fillId="54" borderId="0" xfId="24776" applyFont="1" applyFill="1" applyBorder="1" applyAlignment="1">
      <alignment horizontal="right" vertical="center" wrapText="1"/>
    </xf>
    <xf numFmtId="168" fontId="248" fillId="54" borderId="70" xfId="10675" applyNumberFormat="1" applyFont="1" applyFill="1" applyBorder="1" applyAlignment="1">
      <alignment horizontal="right" vertical="center" wrapText="1"/>
    </xf>
    <xf numFmtId="168" fontId="248" fillId="0" borderId="70" xfId="10675" applyNumberFormat="1" applyFont="1" applyFill="1" applyBorder="1" applyAlignment="1">
      <alignment horizontal="right" vertical="center" wrapText="1"/>
    </xf>
    <xf numFmtId="168" fontId="248" fillId="0" borderId="70" xfId="20873" applyNumberFormat="1" applyFont="1" applyFill="1" applyBorder="1" applyAlignment="1">
      <alignment horizontal="right" vertical="center" wrapText="1"/>
    </xf>
    <xf numFmtId="168" fontId="248" fillId="55" borderId="70" xfId="20981" applyNumberFormat="1" applyFont="1" applyFill="1" applyBorder="1" applyAlignment="1">
      <alignment horizontal="right" vertical="center" wrapText="1"/>
    </xf>
    <xf numFmtId="9" fontId="319" fillId="0" borderId="0" xfId="0" applyNumberFormat="1" applyFont="1" applyFill="1" applyBorder="1" applyAlignment="1">
      <alignment horizontal="right" vertical="center" wrapText="1"/>
    </xf>
    <xf numFmtId="9" fontId="319" fillId="55" borderId="0" xfId="0" applyNumberFormat="1" applyFont="1" applyFill="1" applyBorder="1" applyAlignment="1">
      <alignment horizontal="right" vertical="center" wrapText="1"/>
    </xf>
    <xf numFmtId="10" fontId="319" fillId="0" borderId="0" xfId="24776" applyNumberFormat="1" applyFont="1" applyFill="1" applyBorder="1" applyAlignment="1">
      <alignment horizontal="right" vertical="center" wrapText="1"/>
    </xf>
    <xf numFmtId="10" fontId="248" fillId="0" borderId="0" xfId="24776" applyNumberFormat="1" applyFont="1" applyFill="1" applyBorder="1" applyAlignment="1">
      <alignment horizontal="right" vertical="center" wrapText="1"/>
    </xf>
    <xf numFmtId="10" fontId="248" fillId="55" borderId="0" xfId="24776" applyNumberFormat="1" applyFont="1" applyFill="1" applyBorder="1" applyAlignment="1">
      <alignment horizontal="right" vertical="center" wrapText="1"/>
    </xf>
    <xf numFmtId="10" fontId="319" fillId="54" borderId="0" xfId="24776" applyNumberFormat="1" applyFont="1" applyFill="1" applyBorder="1" applyAlignment="1">
      <alignment horizontal="right" vertical="center" wrapText="1"/>
    </xf>
    <xf numFmtId="325" fontId="248" fillId="54" borderId="0" xfId="0" applyNumberFormat="1" applyFont="1" applyFill="1" applyBorder="1" applyAlignment="1">
      <alignment horizontal="right" vertical="center" wrapText="1"/>
    </xf>
    <xf numFmtId="168" fontId="319" fillId="54" borderId="70" xfId="0" applyNumberFormat="1" applyFont="1" applyFill="1" applyBorder="1" applyAlignment="1">
      <alignment horizontal="right" vertical="center" wrapText="1"/>
    </xf>
    <xf numFmtId="332" fontId="248" fillId="54" borderId="71" xfId="0" applyNumberFormat="1" applyFont="1" applyFill="1" applyBorder="1" applyAlignment="1">
      <alignment horizontal="right" vertical="center" wrapText="1"/>
    </xf>
    <xf numFmtId="332" fontId="319" fillId="55" borderId="71" xfId="0" applyNumberFormat="1" applyFont="1" applyFill="1" applyBorder="1" applyAlignment="1">
      <alignment horizontal="right" vertical="center" wrapText="1"/>
    </xf>
    <xf numFmtId="332" fontId="319" fillId="54" borderId="71" xfId="0" applyNumberFormat="1" applyFont="1" applyFill="1" applyBorder="1" applyAlignment="1">
      <alignment horizontal="right" vertical="center" wrapText="1"/>
    </xf>
    <xf numFmtId="332" fontId="320" fillId="54" borderId="70" xfId="0" applyNumberFormat="1" applyFont="1" applyFill="1" applyBorder="1" applyAlignment="1">
      <alignment horizontal="right" vertical="center" wrapText="1"/>
    </xf>
    <xf numFmtId="332" fontId="320" fillId="55" borderId="0" xfId="0" applyNumberFormat="1" applyFont="1" applyFill="1" applyBorder="1" applyAlignment="1">
      <alignment horizontal="right" vertical="center" wrapText="1"/>
    </xf>
    <xf numFmtId="332" fontId="320" fillId="55" borderId="70" xfId="0" applyNumberFormat="1" applyFont="1" applyFill="1" applyBorder="1" applyAlignment="1">
      <alignment horizontal="right" vertical="center" wrapText="1"/>
    </xf>
    <xf numFmtId="332" fontId="320" fillId="0" borderId="70" xfId="0" applyNumberFormat="1" applyFont="1" applyFill="1" applyBorder="1" applyAlignment="1">
      <alignment horizontal="right" vertical="center" wrapText="1"/>
    </xf>
    <xf numFmtId="334" fontId="319" fillId="0" borderId="71" xfId="0" applyNumberFormat="1" applyFont="1" applyFill="1" applyBorder="1" applyAlignment="1">
      <alignment horizontal="right" vertical="center" wrapText="1"/>
    </xf>
    <xf numFmtId="332" fontId="250" fillId="54" borderId="70" xfId="0" applyNumberFormat="1" applyFont="1" applyFill="1" applyBorder="1" applyAlignment="1">
      <alignment horizontal="right" vertical="center" wrapText="1"/>
    </xf>
    <xf numFmtId="168" fontId="248" fillId="54" borderId="70" xfId="24794" applyNumberFormat="1" applyFont="1" applyFill="1" applyBorder="1" applyAlignment="1">
      <alignment horizontal="right" vertical="center"/>
    </xf>
    <xf numFmtId="168" fontId="248" fillId="0" borderId="70" xfId="10718" applyNumberFormat="1" applyFont="1" applyFill="1" applyBorder="1" applyAlignment="1">
      <alignment horizontal="right" vertical="center" wrapText="1"/>
    </xf>
    <xf numFmtId="168" fontId="248" fillId="55" borderId="70" xfId="10675" applyNumberFormat="1" applyFont="1" applyFill="1" applyBorder="1" applyAlignment="1">
      <alignment horizontal="right" vertical="center" wrapText="1"/>
    </xf>
    <xf numFmtId="168" fontId="248" fillId="54" borderId="0" xfId="24794" applyNumberFormat="1" applyFont="1" applyFill="1" applyBorder="1" applyAlignment="1">
      <alignment horizontal="right" vertical="center"/>
    </xf>
    <xf numFmtId="168" fontId="248" fillId="0" borderId="0" xfId="10718" applyNumberFormat="1" applyFont="1" applyFill="1" applyBorder="1" applyAlignment="1">
      <alignment horizontal="right" vertical="center" wrapText="1"/>
    </xf>
    <xf numFmtId="168" fontId="248" fillId="55" borderId="0" xfId="10675" applyNumberFormat="1" applyFont="1" applyFill="1" applyBorder="1" applyAlignment="1">
      <alignment horizontal="right" vertical="center" wrapText="1"/>
    </xf>
    <xf numFmtId="168" fontId="250" fillId="54" borderId="104" xfId="0" applyNumberFormat="1" applyFont="1" applyFill="1" applyBorder="1" applyAlignment="1">
      <alignment horizontal="right" vertical="center"/>
    </xf>
    <xf numFmtId="168" fontId="320" fillId="55" borderId="114" xfId="0" applyNumberFormat="1" applyFont="1" applyFill="1" applyBorder="1" applyAlignment="1">
      <alignment horizontal="right" vertical="center" wrapText="1"/>
    </xf>
    <xf numFmtId="168" fontId="320" fillId="54" borderId="114" xfId="0" applyNumberFormat="1" applyFont="1" applyFill="1" applyBorder="1" applyAlignment="1">
      <alignment horizontal="right" vertical="center" wrapText="1"/>
    </xf>
    <xf numFmtId="168" fontId="320" fillId="0" borderId="114" xfId="0" applyNumberFormat="1" applyFont="1" applyFill="1" applyBorder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/>
    </xf>
    <xf numFmtId="168" fontId="250" fillId="54" borderId="70" xfId="0" applyNumberFormat="1" applyFont="1" applyFill="1" applyBorder="1" applyAlignment="1">
      <alignment horizontal="right" vertical="center"/>
    </xf>
    <xf numFmtId="168" fontId="248" fillId="54" borderId="0" xfId="0" applyNumberFormat="1" applyFont="1" applyFill="1" applyAlignment="1">
      <alignment horizontal="right" vertical="center"/>
    </xf>
    <xf numFmtId="168" fontId="248" fillId="54" borderId="96" xfId="0" applyNumberFormat="1" applyFont="1" applyFill="1" applyBorder="1" applyAlignment="1">
      <alignment horizontal="right" vertical="center"/>
    </xf>
    <xf numFmtId="168" fontId="319" fillId="55" borderId="113" xfId="0" applyNumberFormat="1" applyFont="1" applyFill="1" applyBorder="1" applyAlignment="1">
      <alignment horizontal="right" vertical="center" wrapText="1"/>
    </xf>
    <xf numFmtId="168" fontId="319" fillId="54" borderId="113" xfId="0" applyNumberFormat="1" applyFont="1" applyFill="1" applyBorder="1" applyAlignment="1">
      <alignment horizontal="right" vertical="center" wrapText="1"/>
    </xf>
    <xf numFmtId="168" fontId="319" fillId="0" borderId="113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Border="1" applyAlignment="1">
      <alignment horizontal="right" vertical="center"/>
    </xf>
    <xf numFmtId="332" fontId="248" fillId="54" borderId="96" xfId="0" applyNumberFormat="1" applyFont="1" applyFill="1" applyBorder="1" applyAlignment="1">
      <alignment horizontal="right" vertical="center" wrapText="1"/>
    </xf>
    <xf numFmtId="332" fontId="319" fillId="55" borderId="113" xfId="0" applyNumberFormat="1" applyFont="1" applyFill="1" applyBorder="1" applyAlignment="1">
      <alignment horizontal="right" vertical="center" wrapText="1"/>
    </xf>
    <xf numFmtId="332" fontId="319" fillId="54" borderId="113" xfId="0" applyNumberFormat="1" applyFont="1" applyFill="1" applyBorder="1" applyAlignment="1">
      <alignment horizontal="right" vertical="center" wrapText="1"/>
    </xf>
    <xf numFmtId="332" fontId="319" fillId="0" borderId="113" xfId="0" applyNumberFormat="1" applyFont="1" applyFill="1" applyBorder="1" applyAlignment="1">
      <alignment horizontal="right" vertical="center" wrapText="1"/>
    </xf>
    <xf numFmtId="332" fontId="250" fillId="54" borderId="104" xfId="0" applyNumberFormat="1" applyFont="1" applyFill="1" applyBorder="1" applyAlignment="1">
      <alignment horizontal="right" vertical="center" wrapText="1"/>
    </xf>
    <xf numFmtId="332" fontId="320" fillId="55" borderId="114" xfId="0" applyNumberFormat="1" applyFont="1" applyFill="1" applyBorder="1" applyAlignment="1">
      <alignment horizontal="right" vertical="center" wrapText="1"/>
    </xf>
    <xf numFmtId="332" fontId="320" fillId="54" borderId="114" xfId="0" applyNumberFormat="1" applyFont="1" applyFill="1" applyBorder="1" applyAlignment="1">
      <alignment horizontal="right" vertical="center" wrapText="1"/>
    </xf>
    <xf numFmtId="332" fontId="320" fillId="0" borderId="114" xfId="0" applyNumberFormat="1" applyFont="1" applyFill="1" applyBorder="1" applyAlignment="1">
      <alignment horizontal="right" vertical="center" wrapText="1"/>
    </xf>
    <xf numFmtId="9" fontId="319" fillId="54" borderId="0" xfId="0" applyNumberFormat="1" applyFont="1" applyFill="1" applyBorder="1" applyAlignment="1">
      <alignment horizontal="right" vertical="center" wrapText="1"/>
    </xf>
    <xf numFmtId="332" fontId="248" fillId="55" borderId="70" xfId="0" applyNumberFormat="1" applyFont="1" applyFill="1" applyBorder="1" applyAlignment="1">
      <alignment horizontal="right" vertical="center" wrapText="1"/>
    </xf>
    <xf numFmtId="341" fontId="248" fillId="55" borderId="0" xfId="0" applyNumberFormat="1" applyFont="1" applyFill="1" applyBorder="1" applyAlignment="1">
      <alignment horizontal="right" vertical="center" wrapText="1"/>
    </xf>
    <xf numFmtId="341" fontId="248" fillId="54" borderId="0" xfId="0" applyNumberFormat="1" applyFont="1" applyFill="1" applyBorder="1" applyAlignment="1">
      <alignment horizontal="right" vertical="center" wrapText="1"/>
    </xf>
    <xf numFmtId="343" fontId="248" fillId="54" borderId="0" xfId="0" applyNumberFormat="1" applyFont="1" applyFill="1" applyBorder="1" applyAlignment="1">
      <alignment horizontal="right" vertical="center" wrapText="1"/>
    </xf>
    <xf numFmtId="343" fontId="248" fillId="0" borderId="0" xfId="0" applyNumberFormat="1" applyFont="1" applyFill="1" applyBorder="1" applyAlignment="1">
      <alignment horizontal="right" vertical="center" wrapText="1"/>
    </xf>
    <xf numFmtId="9" fontId="248" fillId="0" borderId="0" xfId="24776" applyFont="1" applyFill="1" applyBorder="1" applyAlignment="1">
      <alignment vertical="center" wrapText="1"/>
    </xf>
    <xf numFmtId="348" fontId="248" fillId="55" borderId="0" xfId="0" applyNumberFormat="1" applyFont="1" applyFill="1" applyBorder="1" applyAlignment="1">
      <alignment horizontal="right" vertical="center" wrapText="1"/>
    </xf>
    <xf numFmtId="9" fontId="248" fillId="55" borderId="0" xfId="24776" applyFont="1" applyFill="1" applyBorder="1" applyAlignment="1">
      <alignment horizontal="right" vertical="center" wrapText="1"/>
    </xf>
    <xf numFmtId="332" fontId="318" fillId="55" borderId="0" xfId="0" applyNumberFormat="1" applyFont="1" applyFill="1" applyBorder="1" applyAlignment="1">
      <alignment horizontal="right" wrapText="1"/>
    </xf>
    <xf numFmtId="325" fontId="248" fillId="54" borderId="70" xfId="0" applyNumberFormat="1" applyFont="1" applyFill="1" applyBorder="1" applyAlignment="1">
      <alignment horizontal="right" vertical="center" wrapText="1"/>
    </xf>
    <xf numFmtId="325" fontId="248" fillId="55" borderId="70" xfId="0" applyNumberFormat="1" applyFont="1" applyFill="1" applyBorder="1" applyAlignment="1">
      <alignment horizontal="right" vertical="center" wrapText="1"/>
    </xf>
    <xf numFmtId="323" fontId="248" fillId="54" borderId="0" xfId="0" applyNumberFormat="1" applyFont="1" applyFill="1" applyBorder="1" applyAlignment="1">
      <alignment horizontal="right" vertical="center" wrapText="1"/>
    </xf>
    <xf numFmtId="323" fontId="248" fillId="55" borderId="0" xfId="0" applyNumberFormat="1" applyFont="1" applyFill="1" applyBorder="1" applyAlignment="1">
      <alignment horizontal="right" vertical="center" wrapText="1"/>
    </xf>
    <xf numFmtId="168" fontId="248" fillId="54" borderId="70" xfId="24794" applyNumberFormat="1" applyFont="1" applyFill="1" applyBorder="1" applyAlignment="1">
      <alignment horizontal="right" vertical="center" wrapText="1"/>
    </xf>
    <xf numFmtId="168" fontId="318" fillId="55" borderId="108" xfId="0" applyNumberFormat="1" applyFont="1" applyFill="1" applyBorder="1" applyAlignment="1">
      <alignment horizontal="right" wrapText="1"/>
    </xf>
    <xf numFmtId="168" fontId="318" fillId="0" borderId="108" xfId="0" applyNumberFormat="1" applyFont="1" applyFill="1" applyBorder="1" applyAlignment="1">
      <alignment horizontal="right" wrapText="1"/>
    </xf>
    <xf numFmtId="168" fontId="318" fillId="0" borderId="105" xfId="0" applyNumberFormat="1" applyFont="1" applyFill="1" applyBorder="1" applyAlignment="1">
      <alignment horizontal="right" wrapText="1"/>
    </xf>
    <xf numFmtId="168" fontId="250" fillId="0" borderId="0" xfId="10718" applyNumberFormat="1" applyFont="1" applyFill="1" applyBorder="1" applyAlignment="1">
      <alignment vertical="center" wrapText="1"/>
    </xf>
    <xf numFmtId="325" fontId="319" fillId="55" borderId="70" xfId="0" applyNumberFormat="1" applyFont="1" applyFill="1" applyBorder="1" applyAlignment="1">
      <alignment horizontal="right" vertical="center" wrapText="1"/>
    </xf>
    <xf numFmtId="325" fontId="248" fillId="0" borderId="70" xfId="0" applyNumberFormat="1" applyFont="1" applyFill="1" applyBorder="1" applyAlignment="1">
      <alignment horizontal="right" vertical="center" wrapText="1"/>
    </xf>
    <xf numFmtId="325" fontId="319" fillId="54" borderId="70" xfId="0" applyNumberFormat="1" applyFont="1" applyFill="1" applyBorder="1" applyAlignment="1">
      <alignment horizontal="right" vertical="center" wrapText="1"/>
    </xf>
    <xf numFmtId="325" fontId="319" fillId="55" borderId="0" xfId="0" applyNumberFormat="1" applyFont="1" applyFill="1" applyBorder="1" applyAlignment="1">
      <alignment horizontal="right" vertical="center" wrapText="1"/>
    </xf>
    <xf numFmtId="325" fontId="319" fillId="54" borderId="0" xfId="0" applyNumberFormat="1" applyFont="1" applyFill="1" applyBorder="1" applyAlignment="1">
      <alignment horizontal="right" vertical="center" wrapText="1"/>
    </xf>
    <xf numFmtId="338" fontId="248" fillId="54" borderId="70" xfId="0" applyNumberFormat="1" applyFont="1" applyFill="1" applyBorder="1" applyAlignment="1">
      <alignment horizontal="right" vertical="center" wrapText="1"/>
    </xf>
    <xf numFmtId="334" fontId="248" fillId="54" borderId="70" xfId="0" applyNumberFormat="1" applyFont="1" applyFill="1" applyBorder="1" applyAlignment="1">
      <alignment horizontal="right" vertical="center" wrapText="1"/>
    </xf>
    <xf numFmtId="338" fontId="248" fillId="54" borderId="0" xfId="0" applyNumberFormat="1" applyFont="1" applyFill="1" applyBorder="1" applyAlignment="1">
      <alignment horizontal="right" vertical="center" wrapText="1"/>
    </xf>
    <xf numFmtId="334" fontId="248" fillId="54" borderId="0" xfId="0" applyNumberFormat="1" applyFont="1" applyFill="1" applyBorder="1" applyAlignment="1">
      <alignment horizontal="right" vertical="center" wrapText="1"/>
    </xf>
    <xf numFmtId="338" fontId="248" fillId="54" borderId="71" xfId="0" applyNumberFormat="1" applyFont="1" applyFill="1" applyBorder="1" applyAlignment="1">
      <alignment horizontal="right" vertical="center" wrapText="1"/>
    </xf>
    <xf numFmtId="334" fontId="248" fillId="54" borderId="71" xfId="0" applyNumberFormat="1" applyFont="1" applyFill="1" applyBorder="1" applyAlignment="1">
      <alignment horizontal="right" vertical="center" wrapText="1"/>
    </xf>
    <xf numFmtId="338" fontId="250" fillId="54" borderId="70" xfId="0" applyNumberFormat="1" applyFont="1" applyFill="1" applyBorder="1" applyAlignment="1">
      <alignment horizontal="right" vertical="center" wrapText="1"/>
    </xf>
    <xf numFmtId="334" fontId="250" fillId="54" borderId="70" xfId="0" applyNumberFormat="1" applyFont="1" applyFill="1" applyBorder="1" applyAlignment="1">
      <alignment horizontal="right" vertical="center" wrapText="1"/>
    </xf>
    <xf numFmtId="169" fontId="250" fillId="0" borderId="70" xfId="24776" applyNumberFormat="1" applyFont="1" applyFill="1" applyBorder="1" applyAlignment="1">
      <alignment horizontal="right" vertical="center" wrapText="1"/>
    </xf>
    <xf numFmtId="168" fontId="250" fillId="54" borderId="0" xfId="0" applyNumberFormat="1" applyFont="1" applyFill="1" applyBorder="1" applyAlignment="1">
      <alignment horizontal="right" vertical="center" wrapText="1"/>
    </xf>
    <xf numFmtId="325" fontId="324" fillId="0" borderId="0" xfId="2979" applyNumberFormat="1" applyFont="1" applyFill="1" applyBorder="1" applyAlignment="1">
      <alignment horizontal="left" vertical="center" wrapText="1"/>
    </xf>
    <xf numFmtId="346" fontId="367" fillId="54" borderId="70" xfId="3010" applyNumberFormat="1" applyFont="1" applyFill="1" applyBorder="1" applyAlignment="1">
      <alignment horizontal="right" vertical="center" wrapText="1"/>
    </xf>
    <xf numFmtId="349" fontId="248" fillId="0" borderId="70" xfId="3010" applyNumberFormat="1" applyFont="1" applyFill="1" applyBorder="1" applyAlignment="1">
      <alignment horizontal="right" vertical="center" wrapText="1"/>
    </xf>
    <xf numFmtId="0" fontId="324" fillId="61" borderId="0" xfId="34623" applyFont="1" applyFill="1" applyAlignment="1">
      <alignment vertical="center"/>
    </xf>
    <xf numFmtId="0" fontId="381" fillId="61" borderId="0" xfId="34623" applyFont="1" applyFill="1" applyAlignment="1">
      <alignment vertical="center"/>
    </xf>
    <xf numFmtId="0" fontId="381" fillId="0" borderId="0" xfId="34623" applyFont="1" applyAlignment="1">
      <alignment vertical="center"/>
    </xf>
    <xf numFmtId="0" fontId="323" fillId="0" borderId="0" xfId="34623"/>
    <xf numFmtId="0" fontId="318" fillId="61" borderId="0" xfId="34623" applyFont="1" applyFill="1" applyAlignment="1">
      <alignment horizontal="right" vertical="center" wrapText="1"/>
    </xf>
    <xf numFmtId="0" fontId="317" fillId="61" borderId="0" xfId="34623" applyFont="1" applyFill="1" applyAlignment="1">
      <alignment horizontal="right" vertical="center" wrapText="1"/>
    </xf>
    <xf numFmtId="0" fontId="317" fillId="61" borderId="116" xfId="34623" applyFont="1" applyFill="1" applyBorder="1" applyAlignment="1">
      <alignment horizontal="right" vertical="center" wrapText="1"/>
    </xf>
    <xf numFmtId="0" fontId="318" fillId="61" borderId="115" xfId="34623" applyFont="1" applyFill="1" applyBorder="1" applyAlignment="1">
      <alignment horizontal="right" vertical="center" wrapText="1"/>
    </xf>
    <xf numFmtId="0" fontId="319" fillId="0" borderId="0" xfId="34623" applyFont="1" applyAlignment="1">
      <alignment vertical="center"/>
    </xf>
    <xf numFmtId="3" fontId="319" fillId="54" borderId="0" xfId="34623" applyNumberFormat="1" applyFont="1" applyFill="1" applyAlignment="1">
      <alignment horizontal="right" vertical="center" wrapText="1"/>
    </xf>
    <xf numFmtId="2" fontId="319" fillId="54" borderId="0" xfId="34623" applyNumberFormat="1" applyFont="1" applyFill="1" applyAlignment="1">
      <alignment horizontal="right" vertical="center" wrapText="1"/>
    </xf>
    <xf numFmtId="3" fontId="319" fillId="61" borderId="0" xfId="34623" applyNumberFormat="1" applyFont="1" applyFill="1" applyAlignment="1">
      <alignment horizontal="right" vertical="center" wrapText="1"/>
    </xf>
    <xf numFmtId="0" fontId="319" fillId="61" borderId="0" xfId="34623" applyFont="1" applyFill="1" applyAlignment="1">
      <alignment horizontal="right" vertical="center" wrapText="1"/>
    </xf>
    <xf numFmtId="0" fontId="319" fillId="61" borderId="115" xfId="34623" applyFont="1" applyFill="1" applyBorder="1" applyAlignment="1">
      <alignment vertical="center" wrapText="1"/>
    </xf>
    <xf numFmtId="3" fontId="319" fillId="54" borderId="115" xfId="34623" applyNumberFormat="1" applyFont="1" applyFill="1" applyBorder="1" applyAlignment="1">
      <alignment horizontal="right" vertical="center" wrapText="1"/>
    </xf>
    <xf numFmtId="2" fontId="319" fillId="54" borderId="115" xfId="34623" applyNumberFormat="1" applyFont="1" applyFill="1" applyBorder="1" applyAlignment="1">
      <alignment horizontal="right" vertical="center" wrapText="1"/>
    </xf>
    <xf numFmtId="3" fontId="319" fillId="61" borderId="115" xfId="34623" applyNumberFormat="1" applyFont="1" applyFill="1" applyBorder="1" applyAlignment="1">
      <alignment horizontal="right" vertical="center" wrapText="1"/>
    </xf>
    <xf numFmtId="0" fontId="319" fillId="61" borderId="115" xfId="34623" applyFont="1" applyFill="1" applyBorder="1" applyAlignment="1">
      <alignment horizontal="right" vertical="center" wrapText="1"/>
    </xf>
    <xf numFmtId="0" fontId="320" fillId="0" borderId="0" xfId="34623" applyFont="1" applyAlignment="1">
      <alignment vertical="center" wrapText="1"/>
    </xf>
    <xf numFmtId="3" fontId="320" fillId="54" borderId="0" xfId="34623" applyNumberFormat="1" applyFont="1" applyFill="1" applyAlignment="1">
      <alignment horizontal="right" vertical="center" wrapText="1"/>
    </xf>
    <xf numFmtId="0" fontId="320" fillId="54" borderId="0" xfId="34623" applyFont="1" applyFill="1" applyAlignment="1">
      <alignment horizontal="right" vertical="center" wrapText="1"/>
    </xf>
    <xf numFmtId="3" fontId="320" fillId="61" borderId="0" xfId="34623" applyNumberFormat="1" applyFont="1" applyFill="1" applyAlignment="1">
      <alignment horizontal="right" vertical="center" wrapText="1"/>
    </xf>
    <xf numFmtId="0" fontId="320" fillId="61" borderId="0" xfId="34623" applyFont="1" applyFill="1" applyAlignment="1">
      <alignment horizontal="right" vertical="center" wrapText="1"/>
    </xf>
    <xf numFmtId="0" fontId="319" fillId="0" borderId="115" xfId="34623" applyFont="1" applyBorder="1" applyAlignment="1">
      <alignment vertical="center" wrapText="1"/>
    </xf>
    <xf numFmtId="168" fontId="319" fillId="54" borderId="115" xfId="34623" applyNumberFormat="1" applyFont="1" applyFill="1" applyBorder="1" applyAlignment="1">
      <alignment horizontal="right" vertical="center" wrapText="1"/>
    </xf>
    <xf numFmtId="168" fontId="319" fillId="61" borderId="115" xfId="34623" applyNumberFormat="1" applyFont="1" applyFill="1" applyBorder="1" applyAlignment="1">
      <alignment horizontal="right" vertical="center" wrapText="1"/>
    </xf>
    <xf numFmtId="0" fontId="320" fillId="61" borderId="0" xfId="34623" applyFont="1" applyFill="1" applyAlignment="1">
      <alignment vertical="center" wrapText="1"/>
    </xf>
    <xf numFmtId="0" fontId="319" fillId="54" borderId="0" xfId="34623" applyFont="1" applyFill="1" applyAlignment="1">
      <alignment horizontal="right" vertical="center" wrapText="1"/>
    </xf>
    <xf numFmtId="0" fontId="375" fillId="0" borderId="0" xfId="34623" applyFont="1" applyAlignment="1">
      <alignment vertical="center"/>
    </xf>
    <xf numFmtId="0" fontId="317" fillId="0" borderId="0" xfId="34623" applyFont="1" applyAlignment="1">
      <alignment horizontal="right" wrapText="1"/>
    </xf>
    <xf numFmtId="0" fontId="317" fillId="0" borderId="117" xfId="34623" applyFont="1" applyBorder="1" applyAlignment="1">
      <alignment vertical="center" wrapText="1"/>
    </xf>
    <xf numFmtId="0" fontId="318" fillId="0" borderId="117" xfId="34623" applyFont="1" applyBorder="1" applyAlignment="1">
      <alignment horizontal="right" vertical="center" wrapText="1"/>
    </xf>
    <xf numFmtId="3" fontId="319" fillId="0" borderId="0" xfId="34623" applyNumberFormat="1" applyFont="1" applyAlignment="1">
      <alignment horizontal="right" vertical="center" wrapText="1"/>
    </xf>
    <xf numFmtId="0" fontId="319" fillId="0" borderId="0" xfId="34623" applyFont="1" applyAlignment="1">
      <alignment horizontal="right" vertical="center" wrapText="1"/>
    </xf>
    <xf numFmtId="0" fontId="319" fillId="0" borderId="117" xfId="34623" applyFont="1" applyBorder="1" applyAlignment="1">
      <alignment vertical="center"/>
    </xf>
    <xf numFmtId="3" fontId="319" fillId="0" borderId="117" xfId="34623" applyNumberFormat="1" applyFont="1" applyBorder="1" applyAlignment="1">
      <alignment horizontal="right" vertical="center" wrapText="1"/>
    </xf>
    <xf numFmtId="0" fontId="319" fillId="0" borderId="117" xfId="34623" applyFont="1" applyBorder="1" applyAlignment="1">
      <alignment horizontal="right" vertical="center" wrapText="1"/>
    </xf>
    <xf numFmtId="0" fontId="320" fillId="0" borderId="0" xfId="34623" applyFont="1" applyAlignment="1">
      <alignment vertical="center"/>
    </xf>
    <xf numFmtId="3" fontId="320" fillId="0" borderId="0" xfId="34623" applyNumberFormat="1" applyFont="1" applyAlignment="1">
      <alignment horizontal="right" vertical="center" wrapText="1"/>
    </xf>
    <xf numFmtId="0" fontId="320" fillId="0" borderId="0" xfId="34623" applyFont="1" applyAlignment="1">
      <alignment horizontal="right" vertical="center" wrapText="1"/>
    </xf>
    <xf numFmtId="2" fontId="319" fillId="0" borderId="0" xfId="34623" applyNumberFormat="1" applyFont="1" applyAlignment="1">
      <alignment horizontal="right" vertical="center" wrapText="1"/>
    </xf>
    <xf numFmtId="2" fontId="319" fillId="0" borderId="117" xfId="34623" applyNumberFormat="1" applyFont="1" applyBorder="1" applyAlignment="1">
      <alignment horizontal="right" vertical="center" wrapText="1"/>
    </xf>
    <xf numFmtId="0" fontId="322" fillId="0" borderId="0" xfId="34623" applyFont="1" applyAlignment="1">
      <alignment vertical="center"/>
    </xf>
    <xf numFmtId="0" fontId="323" fillId="0" borderId="0" xfId="34623" applyBorder="1"/>
    <xf numFmtId="0" fontId="383" fillId="61" borderId="0" xfId="34623" applyFont="1" applyFill="1" applyBorder="1" applyAlignment="1">
      <alignment wrapText="1"/>
    </xf>
    <xf numFmtId="0" fontId="317" fillId="0" borderId="0" xfId="34623" applyFont="1" applyAlignment="1">
      <alignment vertical="center"/>
    </xf>
    <xf numFmtId="0" fontId="317" fillId="61" borderId="0" xfId="34623" applyFont="1" applyFill="1" applyAlignment="1">
      <alignment vertical="center" wrapText="1"/>
    </xf>
    <xf numFmtId="0" fontId="383" fillId="61" borderId="0" xfId="34623" applyFont="1" applyFill="1" applyAlignment="1">
      <alignment horizontal="right" vertical="center" wrapText="1"/>
    </xf>
    <xf numFmtId="0" fontId="383" fillId="61" borderId="116" xfId="34623" applyFont="1" applyFill="1" applyBorder="1" applyAlignment="1">
      <alignment horizontal="right" vertical="center" wrapText="1"/>
    </xf>
    <xf numFmtId="0" fontId="317" fillId="61" borderId="115" xfId="34623" applyFont="1" applyFill="1" applyBorder="1" applyAlignment="1">
      <alignment vertical="center" wrapText="1"/>
    </xf>
    <xf numFmtId="0" fontId="384" fillId="61" borderId="115" xfId="34623" applyFont="1" applyFill="1" applyBorder="1" applyAlignment="1">
      <alignment horizontal="right" vertical="center" wrapText="1"/>
    </xf>
    <xf numFmtId="0" fontId="319" fillId="61" borderId="0" xfId="34623" applyFont="1" applyFill="1" applyAlignment="1">
      <alignment vertical="center" wrapText="1"/>
    </xf>
    <xf numFmtId="3" fontId="319" fillId="0" borderId="115" xfId="34623" applyNumberFormat="1" applyFont="1" applyBorder="1" applyAlignment="1">
      <alignment horizontal="right" vertical="center" wrapText="1"/>
    </xf>
    <xf numFmtId="0" fontId="319" fillId="0" borderId="115" xfId="34623" applyFont="1" applyBorder="1" applyAlignment="1">
      <alignment horizontal="right" vertical="center" wrapText="1"/>
    </xf>
    <xf numFmtId="0" fontId="319" fillId="54" borderId="115" xfId="34623" applyFont="1" applyFill="1" applyBorder="1" applyAlignment="1">
      <alignment horizontal="right" vertical="center" wrapText="1"/>
    </xf>
    <xf numFmtId="0" fontId="320" fillId="61" borderId="115" xfId="34623" applyFont="1" applyFill="1" applyBorder="1" applyAlignment="1">
      <alignment vertical="center" wrapText="1"/>
    </xf>
    <xf numFmtId="3" fontId="320" fillId="0" borderId="115" xfId="34623" applyNumberFormat="1" applyFont="1" applyBorder="1" applyAlignment="1">
      <alignment horizontal="right" vertical="center" wrapText="1"/>
    </xf>
    <xf numFmtId="3" fontId="320" fillId="54" borderId="115" xfId="34623" applyNumberFormat="1" applyFont="1" applyFill="1" applyBorder="1" applyAlignment="1">
      <alignment horizontal="right" vertical="center" wrapText="1"/>
    </xf>
    <xf numFmtId="0" fontId="320" fillId="0" borderId="115" xfId="34623" applyFont="1" applyBorder="1" applyAlignment="1">
      <alignment horizontal="right" vertical="center" wrapText="1"/>
    </xf>
    <xf numFmtId="3" fontId="320" fillId="0" borderId="115" xfId="34623" applyNumberFormat="1" applyFont="1" applyBorder="1" applyAlignment="1">
      <alignment horizontal="right" vertical="center"/>
    </xf>
    <xf numFmtId="0" fontId="320" fillId="0" borderId="0" xfId="34623" applyFont="1" applyAlignment="1">
      <alignment horizontal="right" vertical="center"/>
    </xf>
    <xf numFmtId="0" fontId="320" fillId="0" borderId="115" xfId="34623" applyFont="1" applyBorder="1" applyAlignment="1">
      <alignment horizontal="right" vertical="center"/>
    </xf>
    <xf numFmtId="3" fontId="320" fillId="54" borderId="115" xfId="34623" applyNumberFormat="1" applyFont="1" applyFill="1" applyBorder="1" applyAlignment="1">
      <alignment horizontal="right" vertical="center"/>
    </xf>
    <xf numFmtId="0" fontId="383" fillId="0" borderId="0" xfId="34623" applyFont="1" applyAlignment="1">
      <alignment horizontal="center" vertical="center" wrapText="1"/>
    </xf>
    <xf numFmtId="0" fontId="383" fillId="61" borderId="0" xfId="34623" applyFont="1" applyFill="1" applyAlignment="1">
      <alignment horizontal="center" vertical="center" wrapText="1"/>
    </xf>
    <xf numFmtId="0" fontId="383" fillId="61" borderId="0" xfId="34623" applyFont="1" applyFill="1" applyAlignment="1">
      <alignment horizontal="right" wrapText="1"/>
    </xf>
    <xf numFmtId="0" fontId="383" fillId="61" borderId="116" xfId="34623" applyFont="1" applyFill="1" applyBorder="1" applyAlignment="1">
      <alignment horizontal="right" wrapText="1"/>
    </xf>
    <xf numFmtId="0" fontId="320" fillId="0" borderId="0" xfId="34623" applyFont="1" applyAlignment="1"/>
    <xf numFmtId="0" fontId="383" fillId="0" borderId="0" xfId="34623" applyFont="1" applyAlignment="1">
      <alignment horizontal="right" vertical="center" wrapText="1"/>
    </xf>
    <xf numFmtId="0" fontId="318" fillId="0" borderId="115" xfId="34623" applyFont="1" applyBorder="1" applyAlignment="1">
      <alignment horizontal="right" vertical="center" wrapText="1"/>
    </xf>
    <xf numFmtId="0" fontId="318" fillId="0" borderId="0" xfId="34623" applyFont="1" applyAlignment="1">
      <alignment horizontal="right" vertical="center" wrapText="1"/>
    </xf>
    <xf numFmtId="334" fontId="319" fillId="0" borderId="0" xfId="34623" applyNumberFormat="1" applyFont="1" applyAlignment="1">
      <alignment horizontal="right" vertical="center" wrapText="1"/>
    </xf>
    <xf numFmtId="334" fontId="319" fillId="54" borderId="0" xfId="34623" applyNumberFormat="1" applyFont="1" applyFill="1" applyAlignment="1">
      <alignment horizontal="right" vertical="center" wrapText="1"/>
    </xf>
    <xf numFmtId="0" fontId="319" fillId="54" borderId="0" xfId="34623" applyFont="1" applyFill="1" applyAlignment="1">
      <alignment vertical="center" wrapText="1"/>
    </xf>
    <xf numFmtId="0" fontId="319" fillId="54" borderId="116" xfId="34623" applyFont="1" applyFill="1" applyBorder="1" applyAlignment="1">
      <alignment horizontal="right" vertical="center" wrapText="1"/>
    </xf>
    <xf numFmtId="334" fontId="319" fillId="0" borderId="115" xfId="34623" applyNumberFormat="1" applyFont="1" applyBorder="1" applyAlignment="1">
      <alignment horizontal="right" vertical="center" wrapText="1"/>
    </xf>
    <xf numFmtId="334" fontId="319" fillId="54" borderId="115" xfId="34623" applyNumberFormat="1" applyFont="1" applyFill="1" applyBorder="1" applyAlignment="1">
      <alignment horizontal="right" vertical="center" wrapText="1"/>
    </xf>
    <xf numFmtId="0" fontId="319" fillId="54" borderId="115" xfId="34623" applyFont="1" applyFill="1" applyBorder="1" applyAlignment="1">
      <alignment vertical="center" wrapText="1"/>
    </xf>
    <xf numFmtId="334" fontId="320" fillId="0" borderId="115" xfId="34623" applyNumberFormat="1" applyFont="1" applyBorder="1" applyAlignment="1">
      <alignment horizontal="right" vertical="center" wrapText="1"/>
    </xf>
    <xf numFmtId="334" fontId="320" fillId="54" borderId="115" xfId="34623" applyNumberFormat="1" applyFont="1" applyFill="1" applyBorder="1" applyAlignment="1">
      <alignment horizontal="right" vertical="center" wrapText="1"/>
    </xf>
    <xf numFmtId="0" fontId="320" fillId="54" borderId="115" xfId="34623" applyFont="1" applyFill="1" applyBorder="1" applyAlignment="1">
      <alignment vertical="center" wrapText="1"/>
    </xf>
    <xf numFmtId="0" fontId="320" fillId="54" borderId="115" xfId="34623" applyFont="1" applyFill="1" applyBorder="1" applyAlignment="1">
      <alignment horizontal="right" vertical="center" wrapText="1"/>
    </xf>
    <xf numFmtId="334" fontId="319" fillId="0" borderId="0" xfId="34623" applyNumberFormat="1" applyFont="1" applyAlignment="1">
      <alignment horizontal="right" vertical="center"/>
    </xf>
    <xf numFmtId="334" fontId="319" fillId="54" borderId="0" xfId="34623" applyNumberFormat="1" applyFont="1" applyFill="1" applyAlignment="1">
      <alignment horizontal="right" vertical="center"/>
    </xf>
    <xf numFmtId="0" fontId="319" fillId="0" borderId="0" xfId="34623" applyFont="1" applyAlignment="1">
      <alignment horizontal="right" vertical="center"/>
    </xf>
    <xf numFmtId="334" fontId="320" fillId="0" borderId="0" xfId="34623" applyNumberFormat="1" applyFont="1" applyAlignment="1">
      <alignment horizontal="right" vertical="center" wrapText="1"/>
    </xf>
    <xf numFmtId="334" fontId="320" fillId="54" borderId="0" xfId="34623" applyNumberFormat="1" applyFont="1" applyFill="1" applyAlignment="1">
      <alignment horizontal="right" vertical="center" wrapText="1"/>
    </xf>
    <xf numFmtId="0" fontId="385" fillId="0" borderId="0" xfId="34623" applyFont="1" applyAlignment="1">
      <alignment vertical="center"/>
    </xf>
    <xf numFmtId="0" fontId="320" fillId="0" borderId="0" xfId="34623" applyFont="1" applyBorder="1" applyAlignment="1">
      <alignment vertical="center"/>
    </xf>
    <xf numFmtId="0" fontId="320" fillId="0" borderId="0" xfId="34623" applyFont="1" applyBorder="1" applyAlignment="1">
      <alignment horizontal="right" vertical="center" wrapText="1"/>
    </xf>
    <xf numFmtId="0" fontId="323" fillId="0" borderId="0" xfId="34623" applyFill="1" applyBorder="1"/>
    <xf numFmtId="0" fontId="386" fillId="0" borderId="0" xfId="34623" applyFont="1" applyAlignment="1">
      <alignment vertical="center"/>
    </xf>
    <xf numFmtId="0" fontId="319" fillId="0" borderId="115" xfId="34623" applyFont="1" applyBorder="1" applyAlignment="1">
      <alignment vertical="center"/>
    </xf>
    <xf numFmtId="168" fontId="319" fillId="54" borderId="0" xfId="34623" applyNumberFormat="1" applyFont="1" applyFill="1" applyAlignment="1">
      <alignment horizontal="right" vertical="center" wrapText="1"/>
    </xf>
    <xf numFmtId="168" fontId="319" fillId="54" borderId="116" xfId="34623" applyNumberFormat="1" applyFont="1" applyFill="1" applyBorder="1" applyAlignment="1">
      <alignment horizontal="right" vertical="center" wrapText="1"/>
    </xf>
    <xf numFmtId="168" fontId="320" fillId="54" borderId="115" xfId="34623" applyNumberFormat="1" applyFont="1" applyFill="1" applyBorder="1" applyAlignment="1">
      <alignment horizontal="right" vertical="center" wrapText="1"/>
    </xf>
    <xf numFmtId="168" fontId="319" fillId="0" borderId="0" xfId="34623" applyNumberFormat="1" applyFont="1" applyAlignment="1">
      <alignment vertical="center"/>
    </xf>
    <xf numFmtId="168" fontId="320" fillId="54" borderId="0" xfId="34623" applyNumberFormat="1" applyFont="1" applyFill="1" applyAlignment="1">
      <alignment horizontal="right" vertical="center" wrapText="1"/>
    </xf>
    <xf numFmtId="0" fontId="324" fillId="0" borderId="0" xfId="34623" applyFont="1" applyBorder="1" applyAlignment="1">
      <alignment vertical="center"/>
    </xf>
    <xf numFmtId="0" fontId="322" fillId="0" borderId="0" xfId="34623" applyFont="1" applyBorder="1" applyAlignment="1">
      <alignment vertical="center"/>
    </xf>
    <xf numFmtId="0" fontId="317" fillId="61" borderId="0" xfId="34623" applyFont="1" applyFill="1" applyBorder="1" applyAlignment="1">
      <alignment vertical="center"/>
    </xf>
    <xf numFmtId="0" fontId="317" fillId="61" borderId="0" xfId="34623" applyFont="1" applyFill="1" applyAlignment="1"/>
    <xf numFmtId="0" fontId="320" fillId="61" borderId="115" xfId="34623" applyFont="1" applyFill="1" applyBorder="1" applyAlignment="1">
      <alignment vertical="center"/>
    </xf>
    <xf numFmtId="0" fontId="319" fillId="61" borderId="0" xfId="34623" applyFont="1" applyFill="1" applyAlignment="1">
      <alignment vertical="center"/>
    </xf>
    <xf numFmtId="3" fontId="319" fillId="129" borderId="0" xfId="34623" applyNumberFormat="1" applyFont="1" applyFill="1" applyAlignment="1">
      <alignment horizontal="right" vertical="center" wrapText="1"/>
    </xf>
    <xf numFmtId="0" fontId="319" fillId="61" borderId="115" xfId="34623" applyFont="1" applyFill="1" applyBorder="1" applyAlignment="1">
      <alignment vertical="center"/>
    </xf>
    <xf numFmtId="3" fontId="319" fillId="129" borderId="119" xfId="34623" applyNumberFormat="1" applyFont="1" applyFill="1" applyBorder="1" applyAlignment="1">
      <alignment horizontal="right" vertical="center" wrapText="1"/>
    </xf>
    <xf numFmtId="0" fontId="320" fillId="61" borderId="0" xfId="34623" applyFont="1" applyFill="1" applyAlignment="1">
      <alignment vertical="center"/>
    </xf>
    <xf numFmtId="3" fontId="320" fillId="129" borderId="0" xfId="34623" applyNumberFormat="1" applyFont="1" applyFill="1" applyAlignment="1">
      <alignment horizontal="right" vertical="center" wrapText="1"/>
    </xf>
    <xf numFmtId="0" fontId="319" fillId="61" borderId="0" xfId="34623" applyFont="1" applyFill="1" applyAlignment="1">
      <alignment horizontal="right" vertical="center"/>
    </xf>
    <xf numFmtId="0" fontId="317" fillId="61" borderId="115" xfId="34623" applyFont="1" applyFill="1" applyBorder="1" applyAlignment="1">
      <alignment horizontal="right" vertical="center" wrapText="1"/>
    </xf>
    <xf numFmtId="0" fontId="319" fillId="129" borderId="0" xfId="34623" applyFont="1" applyFill="1" applyAlignment="1">
      <alignment horizontal="right" vertical="center" wrapText="1"/>
    </xf>
    <xf numFmtId="0" fontId="319" fillId="61" borderId="119" xfId="34623" applyFont="1" applyFill="1" applyBorder="1" applyAlignment="1">
      <alignment vertical="center"/>
    </xf>
    <xf numFmtId="3" fontId="319" fillId="61" borderId="119" xfId="34623" applyNumberFormat="1" applyFont="1" applyFill="1" applyBorder="1" applyAlignment="1">
      <alignment horizontal="right" vertical="center" wrapText="1"/>
    </xf>
    <xf numFmtId="0" fontId="319" fillId="61" borderId="119" xfId="34623" applyFont="1" applyFill="1" applyBorder="1" applyAlignment="1">
      <alignment horizontal="right" vertical="center" wrapText="1"/>
    </xf>
    <xf numFmtId="334" fontId="319" fillId="61" borderId="0" xfId="34623" applyNumberFormat="1" applyFont="1" applyFill="1" applyAlignment="1">
      <alignment horizontal="right" vertical="center" wrapText="1"/>
    </xf>
    <xf numFmtId="334" fontId="319" fillId="129" borderId="0" xfId="34623" applyNumberFormat="1" applyFont="1" applyFill="1" applyAlignment="1">
      <alignment horizontal="right" vertical="center" wrapText="1"/>
    </xf>
    <xf numFmtId="334" fontId="319" fillId="61" borderId="119" xfId="34623" applyNumberFormat="1" applyFont="1" applyFill="1" applyBorder="1" applyAlignment="1">
      <alignment horizontal="right" vertical="center" wrapText="1"/>
    </xf>
    <xf numFmtId="334" fontId="319" fillId="129" borderId="119" xfId="34623" applyNumberFormat="1" applyFont="1" applyFill="1" applyBorder="1" applyAlignment="1">
      <alignment horizontal="right" vertical="center" wrapText="1"/>
    </xf>
    <xf numFmtId="334" fontId="320" fillId="61" borderId="0" xfId="34623" applyNumberFormat="1" applyFont="1" applyFill="1" applyAlignment="1">
      <alignment horizontal="right" vertical="center" wrapText="1"/>
    </xf>
    <xf numFmtId="334" fontId="320" fillId="129" borderId="0" xfId="34623" applyNumberFormat="1" applyFont="1" applyFill="1" applyAlignment="1">
      <alignment horizontal="right" vertical="center" wrapText="1"/>
    </xf>
    <xf numFmtId="3" fontId="319" fillId="129" borderId="115" xfId="34623" applyNumberFormat="1" applyFont="1" applyFill="1" applyBorder="1" applyAlignment="1">
      <alignment horizontal="right" vertical="center" wrapText="1"/>
    </xf>
    <xf numFmtId="0" fontId="319" fillId="129" borderId="119" xfId="34623" applyFont="1" applyFill="1" applyBorder="1" applyAlignment="1">
      <alignment horizontal="right" vertical="center" wrapText="1"/>
    </xf>
    <xf numFmtId="334" fontId="319" fillId="61" borderId="115" xfId="34623" applyNumberFormat="1" applyFont="1" applyFill="1" applyBorder="1" applyAlignment="1">
      <alignment horizontal="right" vertical="center" wrapText="1"/>
    </xf>
    <xf numFmtId="334" fontId="319" fillId="129" borderId="115" xfId="34623" applyNumberFormat="1" applyFont="1" applyFill="1" applyBorder="1" applyAlignment="1">
      <alignment horizontal="right" vertical="center" wrapText="1"/>
    </xf>
    <xf numFmtId="0" fontId="320" fillId="61" borderId="118" xfId="34623" applyFont="1" applyFill="1" applyBorder="1" applyAlignment="1">
      <alignment vertical="center"/>
    </xf>
    <xf numFmtId="334" fontId="320" fillId="61" borderId="118" xfId="34623" applyNumberFormat="1" applyFont="1" applyFill="1" applyBorder="1" applyAlignment="1">
      <alignment horizontal="right" vertical="center" wrapText="1"/>
    </xf>
    <xf numFmtId="334" fontId="320" fillId="129" borderId="118" xfId="34623" applyNumberFormat="1" applyFont="1" applyFill="1" applyBorder="1" applyAlignment="1">
      <alignment horizontal="right" vertical="center" wrapText="1"/>
    </xf>
    <xf numFmtId="0" fontId="323" fillId="55" borderId="0" xfId="16678" applyFill="1"/>
    <xf numFmtId="0" fontId="317" fillId="61" borderId="0" xfId="2980" applyFont="1" applyFill="1" applyAlignment="1">
      <alignment vertical="center" wrapText="1"/>
    </xf>
    <xf numFmtId="0" fontId="317" fillId="61" borderId="0" xfId="2980" applyFont="1" applyFill="1" applyAlignment="1">
      <alignment horizontal="right" vertical="center" wrapText="1"/>
    </xf>
    <xf numFmtId="0" fontId="317" fillId="61" borderId="0" xfId="2980" applyFont="1" applyFill="1" applyAlignment="1">
      <alignment horizontal="right" wrapText="1"/>
    </xf>
    <xf numFmtId="0" fontId="317" fillId="61" borderId="117" xfId="2980" applyFont="1" applyFill="1" applyBorder="1" applyAlignment="1">
      <alignment vertical="center" wrapText="1"/>
    </xf>
    <xf numFmtId="0" fontId="317" fillId="61" borderId="117" xfId="2980" applyFont="1" applyFill="1" applyBorder="1" applyAlignment="1">
      <alignment horizontal="right" vertical="center" wrapText="1"/>
    </xf>
    <xf numFmtId="0" fontId="318" fillId="61" borderId="117" xfId="2980" applyFont="1" applyFill="1" applyBorder="1" applyAlignment="1">
      <alignment horizontal="right" vertical="center" wrapText="1"/>
    </xf>
    <xf numFmtId="0" fontId="319" fillId="61" borderId="0" xfId="2980" applyFont="1" applyFill="1" applyAlignment="1">
      <alignment vertical="center"/>
    </xf>
    <xf numFmtId="213" fontId="319" fillId="55" borderId="0" xfId="2980" applyNumberFormat="1" applyFont="1" applyFill="1" applyAlignment="1">
      <alignment horizontal="right" vertical="center" wrapText="1"/>
    </xf>
    <xf numFmtId="334" fontId="319" fillId="54" borderId="0" xfId="2980" applyNumberFormat="1" applyFont="1" applyFill="1" applyAlignment="1">
      <alignment horizontal="right" vertical="center" wrapText="1"/>
    </xf>
    <xf numFmtId="0" fontId="319" fillId="61" borderId="0" xfId="2980" applyFont="1" applyFill="1" applyAlignment="1">
      <alignment vertical="center" wrapText="1"/>
    </xf>
    <xf numFmtId="361" fontId="319" fillId="54" borderId="0" xfId="2980" applyNumberFormat="1" applyFont="1" applyFill="1" applyAlignment="1">
      <alignment horizontal="right" vertical="center" wrapText="1"/>
    </xf>
    <xf numFmtId="213" fontId="319" fillId="61" borderId="0" xfId="2980" applyNumberFormat="1" applyFont="1" applyFill="1" applyAlignment="1">
      <alignment horizontal="right" vertical="center" wrapText="1"/>
    </xf>
    <xf numFmtId="0" fontId="375" fillId="61" borderId="0" xfId="34623" applyFont="1" applyFill="1" applyAlignment="1">
      <alignment vertical="center"/>
    </xf>
    <xf numFmtId="334" fontId="318" fillId="61" borderId="115" xfId="34623" applyNumberFormat="1" applyFont="1" applyFill="1" applyBorder="1" applyAlignment="1">
      <alignment horizontal="right" vertical="center" wrapText="1"/>
    </xf>
    <xf numFmtId="0" fontId="371" fillId="55" borderId="0" xfId="16678" applyFont="1" applyFill="1" applyBorder="1" applyAlignment="1">
      <alignment vertical="center" wrapText="1"/>
    </xf>
    <xf numFmtId="168" fontId="370" fillId="55" borderId="0" xfId="16678" applyNumberFormat="1" applyFont="1" applyFill="1" applyBorder="1" applyAlignment="1">
      <alignment horizontal="right" vertical="center" wrapText="1"/>
    </xf>
    <xf numFmtId="0" fontId="370" fillId="55" borderId="0" xfId="16678" applyFont="1" applyFill="1" applyBorder="1" applyAlignment="1">
      <alignment vertical="center" wrapText="1"/>
    </xf>
    <xf numFmtId="0" fontId="323" fillId="55" borderId="0" xfId="16678" applyFill="1" applyBorder="1"/>
    <xf numFmtId="0" fontId="317" fillId="0" borderId="0" xfId="34623" applyFont="1" applyAlignment="1">
      <alignment horizontal="right" vertical="center"/>
    </xf>
    <xf numFmtId="0" fontId="324" fillId="0" borderId="0" xfId="34623" applyFont="1" applyAlignment="1">
      <alignment vertical="center"/>
    </xf>
    <xf numFmtId="0" fontId="317" fillId="0" borderId="115" xfId="34623" applyFont="1" applyBorder="1" applyAlignment="1">
      <alignment vertical="center"/>
    </xf>
    <xf numFmtId="0" fontId="318" fillId="0" borderId="115" xfId="34623" applyFont="1" applyBorder="1" applyAlignment="1">
      <alignment horizontal="right" vertical="center"/>
    </xf>
    <xf numFmtId="0" fontId="319" fillId="0" borderId="0" xfId="34623" applyFont="1" applyAlignment="1">
      <alignment vertical="center" wrapText="1"/>
    </xf>
    <xf numFmtId="168" fontId="319" fillId="54" borderId="0" xfId="34623" applyNumberFormat="1" applyFont="1" applyFill="1" applyAlignment="1">
      <alignment horizontal="right" vertical="center"/>
    </xf>
    <xf numFmtId="168" fontId="319" fillId="54" borderId="115" xfId="34623" applyNumberFormat="1" applyFont="1" applyFill="1" applyBorder="1" applyAlignment="1">
      <alignment horizontal="right" vertical="center"/>
    </xf>
    <xf numFmtId="168" fontId="320" fillId="54" borderId="0" xfId="34623" applyNumberFormat="1" applyFont="1" applyFill="1" applyAlignment="1">
      <alignment horizontal="right" vertical="center"/>
    </xf>
    <xf numFmtId="168" fontId="387" fillId="0" borderId="0" xfId="34623" applyNumberFormat="1" applyFont="1" applyAlignment="1">
      <alignment horizontal="right" vertical="center"/>
    </xf>
    <xf numFmtId="0" fontId="324" fillId="0" borderId="0" xfId="2980" applyFont="1" applyAlignment="1">
      <alignment vertical="center"/>
    </xf>
    <xf numFmtId="0" fontId="317" fillId="61" borderId="115" xfId="2980" applyFont="1" applyFill="1" applyBorder="1" applyAlignment="1">
      <alignment horizontal="right" vertical="center"/>
    </xf>
    <xf numFmtId="0" fontId="388" fillId="0" borderId="0" xfId="2980" applyFont="1" applyAlignment="1">
      <alignment vertical="center"/>
    </xf>
    <xf numFmtId="0" fontId="320" fillId="0" borderId="0" xfId="2980" applyFont="1" applyAlignment="1">
      <alignment vertical="center"/>
    </xf>
    <xf numFmtId="0" fontId="317" fillId="0" borderId="0" xfId="2980" applyFont="1" applyAlignment="1">
      <alignment horizontal="right" vertical="center" wrapText="1"/>
    </xf>
    <xf numFmtId="0" fontId="317" fillId="0" borderId="116" xfId="2980" applyFont="1" applyBorder="1" applyAlignment="1">
      <alignment horizontal="right" vertical="center" wrapText="1"/>
    </xf>
    <xf numFmtId="0" fontId="320" fillId="0" borderId="115" xfId="2980" applyFont="1" applyBorder="1" applyAlignment="1">
      <alignment vertical="center"/>
    </xf>
    <xf numFmtId="0" fontId="320" fillId="0" borderId="115" xfId="2980" applyFont="1" applyBorder="1" applyAlignment="1">
      <alignment vertical="center" wrapText="1"/>
    </xf>
    <xf numFmtId="0" fontId="318" fillId="61" borderId="115" xfId="2980" applyFont="1" applyFill="1" applyBorder="1" applyAlignment="1">
      <alignment horizontal="right" vertical="center"/>
    </xf>
    <xf numFmtId="0" fontId="320" fillId="0" borderId="0" xfId="2980" applyFont="1" applyAlignment="1">
      <alignment vertical="center" wrapText="1"/>
    </xf>
    <xf numFmtId="0" fontId="320" fillId="54" borderId="116" xfId="34623" applyFont="1" applyFill="1" applyBorder="1" applyAlignment="1">
      <alignment horizontal="right" vertical="center" wrapText="1"/>
    </xf>
    <xf numFmtId="0" fontId="320" fillId="0" borderId="116" xfId="34623" applyFont="1" applyBorder="1" applyAlignment="1">
      <alignment horizontal="right" vertical="center" wrapText="1"/>
    </xf>
    <xf numFmtId="0" fontId="319" fillId="0" borderId="0" xfId="2980" applyFont="1" applyAlignment="1">
      <alignment vertical="center"/>
    </xf>
    <xf numFmtId="0" fontId="319" fillId="0" borderId="0" xfId="2980" applyFont="1" applyAlignment="1">
      <alignment vertical="center" wrapText="1"/>
    </xf>
    <xf numFmtId="0" fontId="319" fillId="0" borderId="115" xfId="2980" applyFont="1" applyBorder="1" applyAlignment="1">
      <alignment vertical="center" wrapText="1"/>
    </xf>
    <xf numFmtId="0" fontId="320" fillId="61" borderId="0" xfId="2980" applyFont="1" applyFill="1" applyAlignment="1">
      <alignment vertical="center" wrapText="1"/>
    </xf>
    <xf numFmtId="0" fontId="320" fillId="0" borderId="116" xfId="2980" applyFont="1" applyBorder="1" applyAlignment="1">
      <alignment vertical="center" wrapText="1"/>
    </xf>
    <xf numFmtId="0" fontId="320" fillId="54" borderId="115" xfId="34623" applyFont="1" applyFill="1" applyBorder="1" applyAlignment="1">
      <alignment horizontal="right" vertical="center"/>
    </xf>
    <xf numFmtId="0" fontId="319" fillId="61" borderId="116" xfId="34623" applyFont="1" applyFill="1" applyBorder="1" applyAlignment="1">
      <alignment vertical="center" wrapText="1"/>
    </xf>
    <xf numFmtId="169" fontId="319" fillId="54" borderId="116" xfId="34623" applyNumberFormat="1" applyFont="1" applyFill="1" applyBorder="1" applyAlignment="1">
      <alignment horizontal="right" vertical="center" wrapText="1"/>
    </xf>
    <xf numFmtId="169" fontId="319" fillId="0" borderId="116" xfId="34623" applyNumberFormat="1" applyFont="1" applyBorder="1" applyAlignment="1">
      <alignment horizontal="right" vertical="center" wrapText="1"/>
    </xf>
    <xf numFmtId="169" fontId="319" fillId="54" borderId="0" xfId="34623" applyNumberFormat="1" applyFont="1" applyFill="1" applyAlignment="1">
      <alignment horizontal="right" vertical="center" wrapText="1"/>
    </xf>
    <xf numFmtId="169" fontId="319" fillId="0" borderId="0" xfId="34623" applyNumberFormat="1" applyFont="1" applyAlignment="1">
      <alignment horizontal="right" vertical="center" wrapText="1"/>
    </xf>
    <xf numFmtId="0" fontId="324" fillId="61" borderId="115" xfId="34623" applyFont="1" applyFill="1" applyBorder="1" applyAlignment="1">
      <alignment vertical="center" wrapText="1"/>
    </xf>
    <xf numFmtId="168" fontId="318" fillId="61" borderId="115" xfId="34623" applyNumberFormat="1" applyFont="1" applyFill="1" applyBorder="1" applyAlignment="1">
      <alignment horizontal="right" vertical="center" wrapText="1"/>
    </xf>
    <xf numFmtId="168" fontId="320" fillId="0" borderId="0" xfId="34623" applyNumberFormat="1" applyFont="1" applyAlignment="1">
      <alignment horizontal="right" vertical="center" wrapText="1"/>
    </xf>
    <xf numFmtId="168" fontId="319" fillId="0" borderId="0" xfId="34623" applyNumberFormat="1" applyFont="1" applyAlignment="1">
      <alignment horizontal="right" vertical="center" wrapText="1"/>
    </xf>
    <xf numFmtId="168" fontId="319" fillId="61" borderId="0" xfId="34623" applyNumberFormat="1" applyFont="1" applyFill="1" applyAlignment="1">
      <alignment horizontal="right" vertical="center" wrapText="1"/>
    </xf>
    <xf numFmtId="168" fontId="319" fillId="0" borderId="115" xfId="34623" applyNumberFormat="1" applyFont="1" applyBorder="1" applyAlignment="1">
      <alignment horizontal="right" vertical="center" wrapText="1"/>
    </xf>
    <xf numFmtId="168" fontId="319" fillId="0" borderId="115" xfId="34623" applyNumberFormat="1" applyFont="1" applyBorder="1" applyAlignment="1">
      <alignment vertical="center"/>
    </xf>
    <xf numFmtId="0" fontId="320" fillId="61" borderId="117" xfId="34623" applyFont="1" applyFill="1" applyBorder="1" applyAlignment="1">
      <alignment vertical="center" wrapText="1"/>
    </xf>
    <xf numFmtId="168" fontId="319" fillId="0" borderId="117" xfId="34623" applyNumberFormat="1" applyFont="1" applyBorder="1" applyAlignment="1">
      <alignment vertical="center"/>
    </xf>
    <xf numFmtId="168" fontId="319" fillId="61" borderId="117" xfId="34623" applyNumberFormat="1" applyFont="1" applyFill="1" applyBorder="1" applyAlignment="1">
      <alignment horizontal="right" vertical="center" wrapText="1"/>
    </xf>
    <xf numFmtId="0" fontId="320" fillId="61" borderId="116" xfId="34623" applyFont="1" applyFill="1" applyBorder="1" applyAlignment="1">
      <alignment vertical="center" wrapText="1"/>
    </xf>
    <xf numFmtId="168" fontId="320" fillId="54" borderId="116" xfId="34623" applyNumberFormat="1" applyFont="1" applyFill="1" applyBorder="1" applyAlignment="1">
      <alignment horizontal="right" vertical="center"/>
    </xf>
    <xf numFmtId="168" fontId="320" fillId="0" borderId="0" xfId="34623" applyNumberFormat="1" applyFont="1" applyAlignment="1">
      <alignment horizontal="right" vertical="center"/>
    </xf>
    <xf numFmtId="168" fontId="319" fillId="0" borderId="0" xfId="34623" applyNumberFormat="1" applyFont="1" applyAlignment="1">
      <alignment horizontal="right" vertical="center"/>
    </xf>
    <xf numFmtId="0" fontId="319" fillId="0" borderId="117" xfId="34623" applyFont="1" applyBorder="1" applyAlignment="1">
      <alignment vertical="center" wrapText="1"/>
    </xf>
    <xf numFmtId="168" fontId="319" fillId="0" borderId="115" xfId="34623" applyNumberFormat="1" applyFont="1" applyBorder="1" applyAlignment="1">
      <alignment horizontal="right" vertical="center"/>
    </xf>
    <xf numFmtId="0" fontId="317" fillId="61" borderId="0" xfId="34623" applyFont="1" applyFill="1" applyAlignment="1">
      <alignment horizontal="center" wrapText="1"/>
    </xf>
    <xf numFmtId="0" fontId="317" fillId="61" borderId="0" xfId="34623" applyFont="1" applyFill="1" applyAlignment="1">
      <alignment wrapText="1"/>
    </xf>
    <xf numFmtId="0" fontId="317" fillId="61" borderId="115" xfId="34623" applyFont="1" applyFill="1" applyBorder="1" applyAlignment="1">
      <alignment horizontal="right" wrapText="1"/>
    </xf>
    <xf numFmtId="0" fontId="317" fillId="61" borderId="0" xfId="34623" applyFont="1" applyFill="1" applyAlignment="1">
      <alignment horizontal="right" wrapText="1"/>
    </xf>
    <xf numFmtId="0" fontId="317" fillId="61" borderId="116" xfId="34623" applyFont="1" applyFill="1" applyBorder="1" applyAlignment="1">
      <alignment horizontal="right" wrapText="1"/>
    </xf>
    <xf numFmtId="0" fontId="381" fillId="0" borderId="0" xfId="34623" applyFont="1" applyAlignment="1"/>
    <xf numFmtId="0" fontId="317" fillId="61" borderId="115" xfId="34623" applyFont="1" applyFill="1" applyBorder="1" applyAlignment="1">
      <alignment vertical="center"/>
    </xf>
    <xf numFmtId="0" fontId="318" fillId="61" borderId="115" xfId="34623" applyFont="1" applyFill="1" applyBorder="1" applyAlignment="1">
      <alignment horizontal="right" wrapText="1"/>
    </xf>
    <xf numFmtId="0" fontId="318" fillId="61" borderId="0" xfId="34623" applyFont="1" applyFill="1" applyAlignment="1">
      <alignment horizontal="right" wrapText="1"/>
    </xf>
    <xf numFmtId="0" fontId="319" fillId="61" borderId="0" xfId="34623" applyFont="1" applyFill="1" applyAlignment="1">
      <alignment horizontal="left" vertical="center" indent="1"/>
    </xf>
    <xf numFmtId="0" fontId="319" fillId="61" borderId="115" xfId="34623" applyFont="1" applyFill="1" applyBorder="1" applyAlignment="1">
      <alignment horizontal="left" vertical="center" indent="1"/>
    </xf>
    <xf numFmtId="0" fontId="390" fillId="61" borderId="115" xfId="34623" applyFont="1" applyFill="1" applyBorder="1" applyAlignment="1">
      <alignment vertical="center" wrapText="1"/>
    </xf>
    <xf numFmtId="0" fontId="391" fillId="61" borderId="115" xfId="34623" applyFont="1" applyFill="1" applyBorder="1" applyAlignment="1">
      <alignment horizontal="right" vertical="center" wrapText="1"/>
    </xf>
    <xf numFmtId="3" fontId="320" fillId="61" borderId="115" xfId="34623" applyNumberFormat="1" applyFont="1" applyFill="1" applyBorder="1" applyAlignment="1">
      <alignment horizontal="right" vertical="center" wrapText="1"/>
    </xf>
    <xf numFmtId="0" fontId="320" fillId="61" borderId="115" xfId="34623" applyFont="1" applyFill="1" applyBorder="1" applyAlignment="1">
      <alignment horizontal="right" vertical="center" wrapText="1"/>
    </xf>
    <xf numFmtId="334" fontId="390" fillId="61" borderId="0" xfId="34623" applyNumberFormat="1" applyFont="1" applyFill="1" applyAlignment="1">
      <alignment vertical="center" wrapText="1"/>
    </xf>
    <xf numFmtId="334" fontId="391" fillId="61" borderId="0" xfId="34623" applyNumberFormat="1" applyFont="1" applyFill="1" applyAlignment="1">
      <alignment horizontal="right" vertical="center" wrapText="1"/>
    </xf>
    <xf numFmtId="334" fontId="319" fillId="0" borderId="0" xfId="34623" applyNumberFormat="1" applyFont="1" applyAlignment="1">
      <alignment vertical="center" wrapText="1"/>
    </xf>
    <xf numFmtId="334" fontId="319" fillId="61" borderId="0" xfId="34623" applyNumberFormat="1" applyFont="1" applyFill="1" applyAlignment="1">
      <alignment vertical="center" wrapText="1"/>
    </xf>
    <xf numFmtId="0" fontId="323" fillId="55" borderId="0" xfId="34623" applyFill="1"/>
    <xf numFmtId="168" fontId="320" fillId="61" borderId="116" xfId="34623" applyNumberFormat="1" applyFont="1" applyFill="1" applyBorder="1" applyAlignment="1">
      <alignment horizontal="right" vertical="center" wrapText="1"/>
    </xf>
    <xf numFmtId="168" fontId="319" fillId="61" borderId="0" xfId="34623" applyNumberFormat="1" applyFont="1" applyFill="1" applyAlignment="1">
      <alignment horizontal="right" vertical="center"/>
    </xf>
    <xf numFmtId="168" fontId="319" fillId="61" borderId="115" xfId="34623" applyNumberFormat="1" applyFont="1" applyFill="1" applyBorder="1" applyAlignment="1">
      <alignment horizontal="right" vertical="center"/>
    </xf>
    <xf numFmtId="0" fontId="392" fillId="0" borderId="0" xfId="34623" applyFont="1" applyAlignment="1">
      <alignment vertical="center"/>
    </xf>
    <xf numFmtId="0" fontId="317" fillId="0" borderId="0" xfId="34623" applyFont="1" applyAlignment="1">
      <alignment horizontal="right" vertical="center" wrapText="1"/>
    </xf>
    <xf numFmtId="0" fontId="320" fillId="0" borderId="116" xfId="34623" applyFont="1" applyBorder="1" applyAlignment="1">
      <alignment vertical="center" wrapText="1"/>
    </xf>
    <xf numFmtId="169" fontId="320" fillId="54" borderId="116" xfId="34623" applyNumberFormat="1" applyFont="1" applyFill="1" applyBorder="1" applyAlignment="1">
      <alignment horizontal="right" vertical="center" wrapText="1"/>
    </xf>
    <xf numFmtId="169" fontId="320" fillId="61" borderId="116" xfId="34623" applyNumberFormat="1" applyFont="1" applyFill="1" applyBorder="1" applyAlignment="1">
      <alignment horizontal="right" vertical="center" wrapText="1"/>
    </xf>
    <xf numFmtId="169" fontId="320" fillId="54" borderId="0" xfId="34623" applyNumberFormat="1" applyFont="1" applyFill="1" applyAlignment="1">
      <alignment horizontal="right" vertical="center" wrapText="1"/>
    </xf>
    <xf numFmtId="169" fontId="320" fillId="61" borderId="0" xfId="34623" applyNumberFormat="1" applyFont="1" applyFill="1" applyAlignment="1">
      <alignment horizontal="right" vertical="center" wrapText="1"/>
    </xf>
    <xf numFmtId="0" fontId="319" fillId="0" borderId="119" xfId="34623" applyFont="1" applyBorder="1" applyAlignment="1">
      <alignment vertical="center" wrapText="1"/>
    </xf>
    <xf numFmtId="168" fontId="320" fillId="61" borderId="0" xfId="34623" applyNumberFormat="1" applyFont="1" applyFill="1" applyAlignment="1">
      <alignment horizontal="right" vertical="center" wrapText="1"/>
    </xf>
    <xf numFmtId="0" fontId="324" fillId="0" borderId="119" xfId="34623" applyFont="1" applyBorder="1" applyAlignment="1">
      <alignment vertical="center"/>
    </xf>
    <xf numFmtId="168" fontId="324" fillId="0" borderId="119" xfId="34623" applyNumberFormat="1" applyFont="1" applyBorder="1" applyAlignment="1">
      <alignment vertical="center"/>
    </xf>
    <xf numFmtId="168" fontId="324" fillId="0" borderId="119" xfId="34623" applyNumberFormat="1" applyFont="1" applyBorder="1" applyAlignment="1">
      <alignment horizontal="right" vertical="center"/>
    </xf>
    <xf numFmtId="168" fontId="321" fillId="61" borderId="0" xfId="34623" applyNumberFormat="1" applyFont="1" applyFill="1" applyAlignment="1">
      <alignment vertical="center" wrapText="1"/>
    </xf>
    <xf numFmtId="168" fontId="321" fillId="61" borderId="0" xfId="34623" applyNumberFormat="1" applyFont="1" applyFill="1" applyAlignment="1">
      <alignment horizontal="right" vertical="center" wrapText="1"/>
    </xf>
    <xf numFmtId="168" fontId="319" fillId="54" borderId="119" xfId="34623" applyNumberFormat="1" applyFont="1" applyFill="1" applyBorder="1" applyAlignment="1">
      <alignment horizontal="right" vertical="center" wrapText="1"/>
    </xf>
    <xf numFmtId="168" fontId="319" fillId="61" borderId="119" xfId="34623" applyNumberFormat="1" applyFont="1" applyFill="1" applyBorder="1" applyAlignment="1">
      <alignment horizontal="right" vertical="center" wrapText="1"/>
    </xf>
    <xf numFmtId="0" fontId="320" fillId="0" borderId="115" xfId="34623" applyFont="1" applyBorder="1" applyAlignment="1">
      <alignment vertical="center" wrapText="1"/>
    </xf>
    <xf numFmtId="0" fontId="324" fillId="55" borderId="0" xfId="34761" applyFont="1" applyFill="1" applyAlignment="1">
      <alignment horizontal="left" wrapText="1"/>
    </xf>
    <xf numFmtId="0" fontId="248" fillId="55" borderId="0" xfId="34761" applyFont="1" applyFill="1"/>
    <xf numFmtId="169" fontId="319" fillId="61" borderId="116" xfId="34623" applyNumberFormat="1" applyFont="1" applyFill="1" applyBorder="1" applyAlignment="1">
      <alignment horizontal="right" vertical="center" wrapText="1"/>
    </xf>
    <xf numFmtId="169" fontId="319" fillId="61" borderId="0" xfId="34623" applyNumberFormat="1" applyFont="1" applyFill="1" applyAlignment="1">
      <alignment horizontal="right" vertical="center" wrapText="1"/>
    </xf>
    <xf numFmtId="169" fontId="319" fillId="54" borderId="115" xfId="34623" applyNumberFormat="1" applyFont="1" applyFill="1" applyBorder="1" applyAlignment="1">
      <alignment horizontal="right" vertical="center" wrapText="1"/>
    </xf>
    <xf numFmtId="169" fontId="319" fillId="61" borderId="115" xfId="34623" applyNumberFormat="1" applyFont="1" applyFill="1" applyBorder="1" applyAlignment="1">
      <alignment horizontal="right" vertical="center" wrapText="1"/>
    </xf>
    <xf numFmtId="0" fontId="318" fillId="0" borderId="0" xfId="34623" applyFont="1" applyAlignment="1">
      <alignment horizontal="center" vertical="center"/>
    </xf>
    <xf numFmtId="0" fontId="318" fillId="0" borderId="115" xfId="34623" applyFont="1" applyBorder="1" applyAlignment="1">
      <alignment horizontal="center" vertical="center" wrapText="1"/>
    </xf>
    <xf numFmtId="0" fontId="319" fillId="0" borderId="0" xfId="34623" applyFont="1" applyAlignment="1">
      <alignment horizontal="center" vertical="center" wrapText="1"/>
    </xf>
    <xf numFmtId="168" fontId="319" fillId="54" borderId="116" xfId="34623" applyNumberFormat="1" applyFont="1" applyFill="1" applyBorder="1" applyAlignment="1">
      <alignment horizontal="right" vertical="center"/>
    </xf>
    <xf numFmtId="168" fontId="319" fillId="0" borderId="116" xfId="34623" applyNumberFormat="1" applyFont="1" applyBorder="1" applyAlignment="1">
      <alignment horizontal="right" vertical="center"/>
    </xf>
    <xf numFmtId="0" fontId="319" fillId="0" borderId="115" xfId="34623" applyFont="1" applyBorder="1" applyAlignment="1">
      <alignment horizontal="center" vertical="center" wrapText="1"/>
    </xf>
    <xf numFmtId="0" fontId="320" fillId="0" borderId="0" xfId="34623" applyFont="1" applyAlignment="1">
      <alignment horizontal="center" vertical="center" wrapText="1"/>
    </xf>
    <xf numFmtId="0" fontId="319" fillId="0" borderId="115" xfId="34623" applyFont="1" applyBorder="1" applyAlignment="1">
      <alignment horizontal="center" vertical="center"/>
    </xf>
    <xf numFmtId="168" fontId="320" fillId="0" borderId="120" xfId="34623" applyNumberFormat="1" applyFont="1" applyBorder="1" applyAlignment="1">
      <alignment horizontal="right" vertical="center"/>
    </xf>
    <xf numFmtId="0" fontId="319" fillId="0" borderId="0" xfId="34623" applyFont="1" applyAlignment="1">
      <alignment horizontal="center" vertical="center"/>
    </xf>
    <xf numFmtId="0" fontId="320" fillId="0" borderId="115" xfId="34623" applyFont="1" applyBorder="1" applyAlignment="1">
      <alignment vertical="center"/>
    </xf>
    <xf numFmtId="0" fontId="388" fillId="0" borderId="115" xfId="34623" applyFont="1" applyBorder="1" applyAlignment="1">
      <alignment vertical="center"/>
    </xf>
    <xf numFmtId="168" fontId="318" fillId="0" borderId="120" xfId="34623" applyNumberFormat="1" applyFont="1" applyBorder="1" applyAlignment="1">
      <alignment horizontal="right" vertical="center"/>
    </xf>
    <xf numFmtId="334" fontId="319" fillId="61" borderId="0" xfId="34623" applyNumberFormat="1" applyFont="1" applyFill="1" applyAlignment="1">
      <alignment horizontal="right" vertical="center"/>
    </xf>
    <xf numFmtId="0" fontId="323" fillId="0" borderId="0" xfId="34623" applyFont="1"/>
    <xf numFmtId="0" fontId="321" fillId="61" borderId="0" xfId="34623" applyFont="1" applyFill="1" applyAlignment="1">
      <alignment vertical="center"/>
    </xf>
    <xf numFmtId="0" fontId="318" fillId="61" borderId="0" xfId="34623" applyFont="1" applyFill="1" applyAlignment="1">
      <alignment horizontal="center" vertical="center"/>
    </xf>
    <xf numFmtId="0" fontId="393" fillId="0" borderId="0" xfId="34623" applyFont="1" applyAlignment="1">
      <alignment vertical="center"/>
    </xf>
    <xf numFmtId="0" fontId="318" fillId="0" borderId="0" xfId="34623" applyFont="1" applyAlignment="1">
      <alignment vertical="center"/>
    </xf>
    <xf numFmtId="0" fontId="393" fillId="61" borderId="115" xfId="34623" applyFont="1" applyFill="1" applyBorder="1" applyAlignment="1">
      <alignment vertical="center" wrapText="1"/>
    </xf>
    <xf numFmtId="0" fontId="318" fillId="61" borderId="115" xfId="34623" applyFont="1" applyFill="1" applyBorder="1" applyAlignment="1">
      <alignment horizontal="center" vertical="center"/>
    </xf>
    <xf numFmtId="0" fontId="318" fillId="61" borderId="115" xfId="34623" applyFont="1" applyFill="1" applyBorder="1" applyAlignment="1">
      <alignment horizontal="right" vertical="center"/>
    </xf>
    <xf numFmtId="0" fontId="319" fillId="61" borderId="0" xfId="34623" applyFont="1" applyFill="1" applyAlignment="1">
      <alignment horizontal="center" vertical="center"/>
    </xf>
    <xf numFmtId="0" fontId="319" fillId="61" borderId="0" xfId="34623" applyFont="1" applyFill="1" applyAlignment="1">
      <alignment horizontal="center" vertical="center" wrapText="1"/>
    </xf>
    <xf numFmtId="0" fontId="319" fillId="61" borderId="115" xfId="34623" applyFont="1" applyFill="1" applyBorder="1" applyAlignment="1">
      <alignment horizontal="center" vertical="center"/>
    </xf>
    <xf numFmtId="0" fontId="320" fillId="61" borderId="0" xfId="34623" applyFont="1" applyFill="1" applyAlignment="1">
      <alignment horizontal="center" vertical="center"/>
    </xf>
    <xf numFmtId="168" fontId="320" fillId="61" borderId="115" xfId="34623" applyNumberFormat="1" applyFont="1" applyFill="1" applyBorder="1" applyAlignment="1">
      <alignment horizontal="right" vertical="center" wrapText="1"/>
    </xf>
    <xf numFmtId="168" fontId="320" fillId="0" borderId="115" xfId="34623" applyNumberFormat="1" applyFont="1" applyBorder="1" applyAlignment="1">
      <alignment horizontal="right" vertical="center" wrapText="1"/>
    </xf>
    <xf numFmtId="0" fontId="377" fillId="61" borderId="115" xfId="34623" applyFont="1" applyFill="1" applyBorder="1" applyAlignment="1">
      <alignment horizontal="center" vertical="center"/>
    </xf>
    <xf numFmtId="0" fontId="320" fillId="61" borderId="115" xfId="34623" applyFont="1" applyFill="1" applyBorder="1" applyAlignment="1">
      <alignment horizontal="center" vertical="center"/>
    </xf>
    <xf numFmtId="168" fontId="320" fillId="61" borderId="115" xfId="34623" applyNumberFormat="1" applyFont="1" applyFill="1" applyBorder="1" applyAlignment="1">
      <alignment horizontal="right" vertical="center"/>
    </xf>
    <xf numFmtId="168" fontId="323" fillId="0" borderId="0" xfId="34623" applyNumberFormat="1"/>
    <xf numFmtId="0" fontId="377" fillId="0" borderId="0" xfId="34623" applyFont="1" applyAlignment="1">
      <alignment vertical="center" wrapText="1"/>
    </xf>
    <xf numFmtId="168" fontId="320" fillId="61" borderId="0" xfId="34623" applyNumberFormat="1" applyFont="1" applyFill="1" applyAlignment="1">
      <alignment horizontal="right" vertical="center"/>
    </xf>
    <xf numFmtId="325" fontId="248" fillId="55" borderId="0" xfId="15472" applyNumberFormat="1" applyFont="1" applyFill="1" applyBorder="1" applyAlignment="1">
      <alignment horizontal="right" vertical="center"/>
    </xf>
    <xf numFmtId="0" fontId="315" fillId="59" borderId="0" xfId="3010" applyFont="1" applyFill="1" applyAlignment="1">
      <alignment horizontal="center" vertical="center" wrapText="1"/>
    </xf>
    <xf numFmtId="0" fontId="315" fillId="59" borderId="0" xfId="3010" applyFont="1" applyFill="1" applyBorder="1" applyAlignment="1">
      <alignment horizontal="center" vertical="center" wrapText="1"/>
    </xf>
    <xf numFmtId="0" fontId="315" fillId="124" borderId="0" xfId="3010" applyFont="1" applyFill="1" applyBorder="1" applyAlignment="1">
      <alignment horizontal="center" vertical="center"/>
    </xf>
    <xf numFmtId="0" fontId="315" fillId="124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horizontal="center" vertical="center" wrapText="1"/>
    </xf>
    <xf numFmtId="0" fontId="324" fillId="0" borderId="0" xfId="3010" applyFont="1" applyBorder="1" applyAlignment="1">
      <alignment vertical="top"/>
    </xf>
    <xf numFmtId="0" fontId="324" fillId="0" borderId="0" xfId="3010" applyFont="1" applyBorder="1" applyAlignment="1">
      <alignment vertical="center"/>
    </xf>
    <xf numFmtId="0" fontId="326" fillId="0" borderId="0" xfId="3010" applyFont="1" applyFill="1" applyBorder="1" applyAlignment="1">
      <alignment horizontal="left" vertical="center"/>
    </xf>
    <xf numFmtId="0" fontId="326" fillId="0" borderId="0" xfId="3010" applyFont="1" applyFill="1" applyBorder="1" applyAlignment="1">
      <alignment vertical="center"/>
    </xf>
    <xf numFmtId="0" fontId="317" fillId="61" borderId="115" xfId="34623" applyFont="1" applyFill="1" applyBorder="1" applyAlignment="1">
      <alignment horizontal="center" vertical="center" wrapText="1"/>
    </xf>
    <xf numFmtId="0" fontId="383" fillId="61" borderId="116" xfId="34623" applyFont="1" applyFill="1" applyBorder="1" applyAlignment="1">
      <alignment horizontal="right" wrapText="1"/>
    </xf>
    <xf numFmtId="0" fontId="384" fillId="61" borderId="115" xfId="34623" applyFont="1" applyFill="1" applyBorder="1" applyAlignment="1">
      <alignment horizontal="right" vertical="center" wrapText="1"/>
    </xf>
    <xf numFmtId="0" fontId="383" fillId="61" borderId="115" xfId="34623" applyFont="1" applyFill="1" applyBorder="1" applyAlignment="1">
      <alignment horizontal="center" vertical="center" wrapText="1"/>
    </xf>
    <xf numFmtId="0" fontId="383" fillId="61" borderId="0" xfId="34623" applyFont="1" applyFill="1" applyAlignment="1">
      <alignment horizontal="right" vertical="center" wrapText="1"/>
    </xf>
    <xf numFmtId="0" fontId="383" fillId="61" borderId="118" xfId="34623" applyFont="1" applyFill="1" applyBorder="1" applyAlignment="1">
      <alignment horizontal="center" vertical="center" wrapText="1"/>
    </xf>
    <xf numFmtId="0" fontId="317" fillId="61" borderId="118" xfId="34623" applyFont="1" applyFill="1" applyBorder="1" applyAlignment="1">
      <alignment horizontal="center" vertical="center" wrapText="1"/>
    </xf>
    <xf numFmtId="0" fontId="318" fillId="0" borderId="115" xfId="34623" applyFont="1" applyBorder="1" applyAlignment="1">
      <alignment horizontal="right" vertical="center" wrapText="1"/>
    </xf>
    <xf numFmtId="0" fontId="324" fillId="55" borderId="0" xfId="16678" applyFont="1" applyFill="1" applyAlignment="1"/>
    <xf numFmtId="0" fontId="324" fillId="0" borderId="0" xfId="34623" applyFont="1" applyAlignment="1"/>
    <xf numFmtId="0" fontId="382" fillId="0" borderId="0" xfId="34623" applyFont="1" applyAlignment="1"/>
    <xf numFmtId="0" fontId="375" fillId="61" borderId="0" xfId="2980" applyFont="1" applyFill="1" applyAlignment="1">
      <alignment vertical="center" wrapText="1"/>
    </xf>
    <xf numFmtId="0" fontId="324" fillId="0" borderId="0" xfId="2980" applyFont="1" applyAlignment="1">
      <alignment vertical="center"/>
    </xf>
    <xf numFmtId="0" fontId="317" fillId="61" borderId="115" xfId="2980" applyFont="1" applyFill="1" applyBorder="1" applyAlignment="1">
      <alignment horizontal="center" vertical="center" wrapText="1"/>
    </xf>
    <xf numFmtId="0" fontId="317" fillId="61" borderId="116" xfId="2980" applyFont="1" applyFill="1" applyBorder="1" applyAlignment="1">
      <alignment horizontal="right" vertical="center" wrapText="1"/>
    </xf>
    <xf numFmtId="0" fontId="317" fillId="61" borderId="0" xfId="2980" applyFont="1" applyFill="1" applyBorder="1" applyAlignment="1">
      <alignment horizontal="right" vertical="center" wrapText="1"/>
    </xf>
    <xf numFmtId="0" fontId="317" fillId="61" borderId="118" xfId="2980" applyFont="1" applyFill="1" applyBorder="1" applyAlignment="1">
      <alignment horizontal="center" vertical="center" wrapText="1"/>
    </xf>
    <xf numFmtId="0" fontId="317" fillId="61" borderId="0" xfId="2980" applyFont="1" applyFill="1" applyAlignment="1">
      <alignment horizontal="right" vertical="center" wrapText="1"/>
    </xf>
    <xf numFmtId="0" fontId="324" fillId="61" borderId="0" xfId="34623" applyFont="1" applyFill="1" applyAlignment="1">
      <alignment wrapText="1"/>
    </xf>
    <xf numFmtId="0" fontId="324" fillId="61" borderId="115" xfId="34623" applyFont="1" applyFill="1" applyBorder="1" applyAlignment="1">
      <alignment wrapText="1"/>
    </xf>
    <xf numFmtId="0" fontId="324" fillId="0" borderId="0" xfId="34623" applyFont="1" applyAlignment="1">
      <alignment vertical="center"/>
    </xf>
    <xf numFmtId="0" fontId="324" fillId="0" borderId="115" xfId="34623" applyFont="1" applyBorder="1" applyAlignment="1">
      <alignment vertical="center"/>
    </xf>
    <xf numFmtId="0" fontId="324" fillId="61" borderId="0" xfId="34623" applyFont="1" applyFill="1" applyAlignment="1">
      <alignment vertical="center" wrapText="1"/>
    </xf>
    <xf numFmtId="0" fontId="317" fillId="61" borderId="115" xfId="34623" applyFont="1" applyFill="1" applyBorder="1" applyAlignment="1">
      <alignment horizontal="center" wrapText="1"/>
    </xf>
    <xf numFmtId="0" fontId="324" fillId="0" borderId="0" xfId="34623" applyFont="1" applyAlignment="1">
      <alignment vertical="center" wrapText="1"/>
    </xf>
    <xf numFmtId="0" fontId="324" fillId="61" borderId="115" xfId="34623" applyFont="1" applyFill="1" applyBorder="1" applyAlignment="1">
      <alignment vertical="center" wrapText="1"/>
    </xf>
    <xf numFmtId="0" fontId="324" fillId="61" borderId="0" xfId="34623" applyFont="1" applyFill="1" applyAlignment="1">
      <alignment vertical="center"/>
    </xf>
    <xf numFmtId="325" fontId="324" fillId="0" borderId="0" xfId="2979" applyNumberFormat="1" applyFont="1" applyFill="1" applyBorder="1" applyAlignment="1">
      <alignment horizontal="left" vertical="center" wrapText="1"/>
    </xf>
    <xf numFmtId="0" fontId="317" fillId="0" borderId="71" xfId="15472" applyFont="1" applyBorder="1" applyAlignment="1">
      <alignment horizontal="center" vertical="center"/>
    </xf>
  </cellXfs>
  <cellStyles count="34762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 4" xfId="34726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 4" xfId="34736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88" xfId="34713"/>
    <cellStyle name="Comma 689" xfId="34721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690" xfId="34729"/>
    <cellStyle name="Comma 691" xfId="34715"/>
    <cellStyle name="Comma 692" xfId="34716"/>
    <cellStyle name="Comma 693" xfId="34730"/>
    <cellStyle name="Comma 694" xfId="34737"/>
    <cellStyle name="Comma 695" xfId="34720"/>
    <cellStyle name="Comma 696" xfId="34735"/>
    <cellStyle name="Comma 697" xfId="34744"/>
    <cellStyle name="Comma 698" xfId="34746"/>
    <cellStyle name="Comma 699" xfId="34748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00" xfId="34750"/>
    <cellStyle name="Comma 701" xfId="34752"/>
    <cellStyle name="Comma 702" xfId="34754"/>
    <cellStyle name="Comma 703" xfId="34756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3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68" xfId="34711"/>
    <cellStyle name="Normal 769" xfId="34724"/>
    <cellStyle name="Normal 77" xfId="8928"/>
    <cellStyle name="Normal 770" xfId="34714"/>
    <cellStyle name="Normal 771" xfId="34727"/>
    <cellStyle name="Normal 772" xfId="34725"/>
    <cellStyle name="Normal 773" xfId="34717"/>
    <cellStyle name="Normal 774" xfId="34745"/>
    <cellStyle name="Normal 775" xfId="34747"/>
    <cellStyle name="Normal 776" xfId="34749"/>
    <cellStyle name="Normal 777" xfId="34751"/>
    <cellStyle name="Normal 778" xfId="34753"/>
    <cellStyle name="Normal 779" xfId="34755"/>
    <cellStyle name="Normal 78" xfId="8929"/>
    <cellStyle name="Normal 780" xfId="34757"/>
    <cellStyle name="Normal 781" xfId="34758"/>
    <cellStyle name="Normal 782" xfId="34759"/>
    <cellStyle name="Normal 783" xfId="34760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Barclays International Qrtly" xfId="24764"/>
    <cellStyle name="Normal_FY10 RA BPM" xfId="3010"/>
    <cellStyle name="Normal_FY10 RA Risk" xfId="3476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01" xfId="34712"/>
    <cellStyle name="Percent 602" xfId="34733"/>
    <cellStyle name="Percent 603" xfId="34723"/>
    <cellStyle name="Percent 604" xfId="34719"/>
    <cellStyle name="Percent 605" xfId="34732"/>
    <cellStyle name="Percent 606" xfId="34722"/>
    <cellStyle name="Percent 607" xfId="34742"/>
    <cellStyle name="Percent 608" xfId="34731"/>
    <cellStyle name="Percent 609" xfId="34728"/>
    <cellStyle name="Percent 61" xfId="9179"/>
    <cellStyle name="Percent 610" xfId="34739"/>
    <cellStyle name="Percent 611" xfId="34740"/>
    <cellStyle name="Percent 612" xfId="34741"/>
    <cellStyle name="Percent 613" xfId="34738"/>
    <cellStyle name="Percent 614" xfId="34718"/>
    <cellStyle name="Percent 615" xfId="34743"/>
    <cellStyle name="Percent 616" xfId="34734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1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EAEAEA"/>
      <color rgb="FF66CCFF"/>
      <color rgb="FF969696"/>
      <color rgb="FFCCFF99"/>
      <color rgb="FFDDDDDD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18\Regulatory%20Reporting\FY%202018\Check%20Files\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-0.499984740745262"/>
  </sheetPr>
  <dimension ref="B1:AH82"/>
  <sheetViews>
    <sheetView workbookViewId="0">
      <selection activeCell="W34" sqref="W34"/>
    </sheetView>
  </sheetViews>
  <sheetFormatPr defaultColWidth="9" defaultRowHeight="13.2" outlineLevelCol="1"/>
  <cols>
    <col min="1" max="1" width="9" style="233"/>
    <col min="2" max="2" width="56.77734375" style="233" bestFit="1" customWidth="1"/>
    <col min="3" max="4" width="10" style="233" customWidth="1" outlineLevel="1"/>
    <col min="5" max="6" width="2" style="233" customWidth="1" outlineLevel="1"/>
    <col min="7" max="8" width="8.77734375" style="233" customWidth="1" outlineLevel="1"/>
    <col min="9" max="9" width="1.77734375" style="30" customWidth="1" outlineLevel="1"/>
    <col min="10" max="11" width="8.77734375" style="30" customWidth="1"/>
    <col min="12" max="12" width="5.77734375" style="30" customWidth="1"/>
    <col min="13" max="14" width="8.6640625" style="30" customWidth="1"/>
    <col min="15" max="15" width="5.77734375" style="30" customWidth="1"/>
    <col min="16" max="16" width="8.77734375" style="30" customWidth="1"/>
    <col min="17" max="17" width="8.77734375" style="233" customWidth="1"/>
    <col min="18" max="18" width="2.6640625" style="30" customWidth="1"/>
    <col min="19" max="19" width="8.77734375" style="30" customWidth="1"/>
    <col min="20" max="20" width="8.77734375" style="233" customWidth="1"/>
    <col min="21" max="21" width="4.77734375" style="233" customWidth="1"/>
    <col min="22" max="22" width="2.21875" style="233" customWidth="1"/>
    <col min="23" max="23" width="15" style="233" customWidth="1"/>
    <col min="24" max="24" width="4.77734375" style="30" customWidth="1"/>
    <col min="25" max="25" width="15" style="233" customWidth="1"/>
    <col min="26" max="26" width="15.6640625" style="233" hidden="1" customWidth="1"/>
    <col min="27" max="27" width="2.21875" style="233" customWidth="1"/>
    <col min="28" max="28" width="9" style="233"/>
    <col min="29" max="29" width="15" style="695" customWidth="1"/>
    <col min="30" max="30" width="4.77734375" style="30" customWidth="1"/>
    <col min="31" max="31" width="15" style="695" customWidth="1"/>
    <col min="32" max="32" width="15.6640625" style="695" hidden="1" customWidth="1"/>
    <col min="33" max="33" width="2.21875" style="695" customWidth="1"/>
    <col min="34" max="16384" width="9" style="233"/>
  </cols>
  <sheetData>
    <row r="1" spans="2:34">
      <c r="B1" s="249" t="e">
        <f>CQtr&amp;" YTD"</f>
        <v>#REF!</v>
      </c>
      <c r="C1" s="1617" t="s">
        <v>18</v>
      </c>
      <c r="D1" s="1617"/>
      <c r="E1" s="39"/>
      <c r="F1" s="39"/>
      <c r="G1" s="1617" t="s">
        <v>140</v>
      </c>
      <c r="H1" s="1617"/>
      <c r="I1" s="238"/>
      <c r="J1" s="1617" t="s">
        <v>68</v>
      </c>
      <c r="K1" s="1617"/>
      <c r="L1" s="238"/>
      <c r="M1" s="1617" t="s">
        <v>69</v>
      </c>
      <c r="N1" s="1617"/>
      <c r="O1" s="238"/>
      <c r="P1" s="1618" t="s">
        <v>30</v>
      </c>
      <c r="Q1" s="1618"/>
      <c r="R1" s="239"/>
      <c r="S1" s="1619" t="s">
        <v>19</v>
      </c>
      <c r="T1" s="1619"/>
      <c r="V1" s="46"/>
      <c r="W1" s="1616" t="s">
        <v>20</v>
      </c>
      <c r="X1" s="1616"/>
      <c r="Y1" s="1616"/>
      <c r="Z1" s="47" t="s">
        <v>21</v>
      </c>
      <c r="AA1" s="46"/>
      <c r="AC1" s="1616" t="s">
        <v>58</v>
      </c>
      <c r="AD1" s="1616"/>
      <c r="AE1" s="1616"/>
      <c r="AF1" s="47" t="s">
        <v>21</v>
      </c>
      <c r="AG1" s="46"/>
    </row>
    <row r="2" spans="2:34">
      <c r="B2" s="41"/>
      <c r="C2" s="239" t="e">
        <f>CQtr&amp;" YTD"</f>
        <v>#REF!</v>
      </c>
      <c r="D2" s="239" t="e">
        <f>PPPPQtr&amp;" YTD"</f>
        <v>#REF!</v>
      </c>
      <c r="E2" s="39"/>
      <c r="F2" s="39"/>
      <c r="G2" s="239" t="e">
        <f>CQtr&amp;" YTD"</f>
        <v>#REF!</v>
      </c>
      <c r="H2" s="239" t="e">
        <f>PPPPQtr&amp;" YTD"</f>
        <v>#REF!</v>
      </c>
      <c r="I2" s="39"/>
      <c r="J2" s="239" t="e">
        <f>CQtr&amp;" YTD"</f>
        <v>#REF!</v>
      </c>
      <c r="K2" s="239" t="e">
        <f>PPPPQtr&amp;" YTD"</f>
        <v>#REF!</v>
      </c>
      <c r="L2" s="39"/>
      <c r="M2" s="239" t="e">
        <f>CQtr&amp;" YTD"</f>
        <v>#REF!</v>
      </c>
      <c r="N2" s="239" t="e">
        <f>PPPPQtr&amp;" YTD"</f>
        <v>#REF!</v>
      </c>
      <c r="O2" s="39"/>
      <c r="P2" s="239" t="e">
        <f>CQtr&amp;" YTD"</f>
        <v>#REF!</v>
      </c>
      <c r="Q2" s="239" t="e">
        <f>PPPPQtr&amp;" YTD"</f>
        <v>#REF!</v>
      </c>
      <c r="R2" s="39"/>
      <c r="S2" s="239" t="e">
        <f>CQtr&amp;" YTD"</f>
        <v>#REF!</v>
      </c>
      <c r="T2" s="239" t="e">
        <f>PPPPQtr&amp;" YTD"</f>
        <v>#REF!</v>
      </c>
      <c r="V2" s="46"/>
      <c r="W2" s="247" t="e">
        <f>CQtr&amp;" YTD"</f>
        <v>#REF!</v>
      </c>
      <c r="X2" s="46"/>
      <c r="Y2" s="247" t="e">
        <f>PPPPQtr&amp;" YTD"</f>
        <v>#REF!</v>
      </c>
      <c r="Z2" s="47"/>
      <c r="AA2" s="46"/>
      <c r="AC2" s="247" t="e">
        <f>CQtr&amp;" YTD"</f>
        <v>#REF!</v>
      </c>
      <c r="AD2" s="46"/>
      <c r="AE2" s="247" t="e">
        <f>PPPPQtr&amp;" YTD"</f>
        <v>#REF!</v>
      </c>
      <c r="AF2" s="47"/>
      <c r="AG2" s="46"/>
    </row>
    <row r="3" spans="2:34">
      <c r="B3" s="237" t="s">
        <v>89</v>
      </c>
      <c r="C3" s="240">
        <f>'Group PH'!C4</f>
        <v>6283</v>
      </c>
      <c r="D3" s="240">
        <f>'Group PH'!D4</f>
        <v>5252</v>
      </c>
      <c r="E3" s="40"/>
      <c r="F3" s="40"/>
      <c r="G3" s="240">
        <f>'Barclays UK YTD'!C7</f>
        <v>7352.9999999999982</v>
      </c>
      <c r="H3" s="240">
        <f>'Barclays UK YTD'!D7</f>
        <v>7383</v>
      </c>
      <c r="I3" s="65"/>
      <c r="J3" s="65">
        <f>'Barclays International YTD'!C62</f>
        <v>10230.999999999996</v>
      </c>
      <c r="K3" s="65">
        <f>'Barclays International YTD'!D62</f>
        <v>9765</v>
      </c>
      <c r="L3" s="65"/>
      <c r="M3" s="65">
        <f>'Barclays International YTD'!C102</f>
        <v>4443.9999999999991</v>
      </c>
      <c r="N3" s="65">
        <f>'Barclays International YTD'!D102</f>
        <v>4261</v>
      </c>
      <c r="O3" s="65"/>
      <c r="P3" s="240">
        <f>'Barclays International YTD'!C8</f>
        <v>14674.999999999987</v>
      </c>
      <c r="Q3" s="240">
        <f>'Barclays International YTD'!D8</f>
        <v>14026</v>
      </c>
      <c r="R3" s="65"/>
      <c r="S3" s="65">
        <f>'Head Office YTD'!C7</f>
        <v>-396.00000000000801</v>
      </c>
      <c r="T3" s="65">
        <f>'Head Office YTD'!D7</f>
        <v>-273</v>
      </c>
      <c r="V3" s="46"/>
      <c r="W3" s="32">
        <f>ROUND(G3,0)+ROUND(S3,0)+ROUND(P3,0)-ROUND(C3,0)</f>
        <v>15349</v>
      </c>
      <c r="X3" s="38"/>
      <c r="Y3" s="32">
        <f t="shared" ref="Y3:Y14" si="0">ROUND(H3,0)+ROUND(T3,0)+ROUND(Q3,0)-ROUND(D3,0)</f>
        <v>15884</v>
      </c>
      <c r="Z3" s="32" t="e">
        <f>ROUND(H3,0)+ROUND(T3,0)+ROUND(Q3,0)-ROUND(#REF!,0)</f>
        <v>#REF!</v>
      </c>
      <c r="AA3" s="46"/>
      <c r="AC3" s="32">
        <f>P3-J3-M3</f>
        <v>-8.1854523159563541E-12</v>
      </c>
      <c r="AD3" s="38"/>
      <c r="AE3" s="32">
        <f>Q3-K3-N3</f>
        <v>0</v>
      </c>
      <c r="AF3" s="32" t="e">
        <f>ROUND(N3,0)+ROUND(Z3,0)+ROUND(W3,0)-ROUND(#REF!,0)</f>
        <v>#REF!</v>
      </c>
      <c r="AG3" s="46"/>
    </row>
    <row r="4" spans="2:34">
      <c r="B4" s="237" t="s">
        <v>16</v>
      </c>
      <c r="C4" s="240">
        <f>'Group PH'!C5</f>
        <v>-2114.9999999999995</v>
      </c>
      <c r="D4" s="240">
        <f>'Group PH'!D5</f>
        <v>-448</v>
      </c>
      <c r="E4" s="40"/>
      <c r="F4" s="40"/>
      <c r="G4" s="240">
        <f>'Barclays UK YTD'!C8</f>
        <v>-712</v>
      </c>
      <c r="H4" s="240">
        <f>'Barclays UK YTD'!D8</f>
        <v>-826</v>
      </c>
      <c r="I4" s="65"/>
      <c r="J4" s="65">
        <f>'Barclays International YTD'!C63</f>
        <v>-157.00000000000009</v>
      </c>
      <c r="K4" s="65">
        <f>'Barclays International YTD'!D63</f>
        <v>150</v>
      </c>
      <c r="L4" s="65"/>
      <c r="M4" s="65">
        <f>'Barclays International YTD'!C103</f>
        <v>-1016</v>
      </c>
      <c r="N4" s="65">
        <f>'Barclays International YTD'!D103</f>
        <v>-808</v>
      </c>
      <c r="O4" s="65"/>
      <c r="P4" s="240">
        <f>'Barclays International YTD'!C9</f>
        <v>-1173</v>
      </c>
      <c r="Q4" s="240">
        <f>'Barclays International YTD'!D9</f>
        <v>-658</v>
      </c>
      <c r="R4" s="65"/>
      <c r="S4" s="65">
        <f>'Head Office YTD'!C8</f>
        <v>-26.999999999999829</v>
      </c>
      <c r="T4" s="65">
        <f>'Head Office YTD'!D8</f>
        <v>16</v>
      </c>
      <c r="V4" s="46"/>
      <c r="W4" s="32">
        <f t="shared" ref="W4:W14" si="1">ROUND(G4,0)+ROUND(S4,0)+ROUND(P4,0)-ROUND(C4,0)</f>
        <v>203</v>
      </c>
      <c r="X4" s="38"/>
      <c r="Y4" s="32">
        <f t="shared" si="0"/>
        <v>-1020</v>
      </c>
      <c r="Z4" s="32" t="e">
        <f>ROUND(H4,0)+ROUND(T4,0)+ROUND(Q4,0)-ROUND(#REF!,0)</f>
        <v>#REF!</v>
      </c>
      <c r="AA4" s="46"/>
      <c r="AC4" s="32">
        <f t="shared" ref="AC4:AC14" si="2">P4-J4-M4</f>
        <v>0</v>
      </c>
      <c r="AD4" s="38"/>
      <c r="AE4" s="32">
        <f t="shared" ref="AE4:AE12" si="3">Q4-K4-N4</f>
        <v>0</v>
      </c>
      <c r="AF4" s="32" t="e">
        <f>ROUND(N4,0)+ROUND(Z4,0)+ROUND(W4,0)-ROUND(#REF!,0)</f>
        <v>#REF!</v>
      </c>
      <c r="AG4" s="46"/>
    </row>
    <row r="5" spans="2:34">
      <c r="B5" s="237" t="s">
        <v>17</v>
      </c>
      <c r="C5" s="240">
        <f>'Group PH'!C6</f>
        <v>4168</v>
      </c>
      <c r="D5" s="240">
        <f>'Group PH'!D6</f>
        <v>4804</v>
      </c>
      <c r="E5" s="40"/>
      <c r="F5" s="40"/>
      <c r="G5" s="240">
        <f>'Barclays UK YTD'!C9</f>
        <v>6640.9999999999991</v>
      </c>
      <c r="H5" s="240">
        <f>'Barclays UK YTD'!D9</f>
        <v>6557</v>
      </c>
      <c r="I5" s="65"/>
      <c r="J5" s="65">
        <f>'Barclays International YTD'!C64</f>
        <v>10073.999999999993</v>
      </c>
      <c r="K5" s="65">
        <f>'Barclays International YTD'!D64</f>
        <v>9915</v>
      </c>
      <c r="L5" s="65"/>
      <c r="M5" s="65">
        <f>'Barclays International YTD'!C104</f>
        <v>3427.9999999999995</v>
      </c>
      <c r="N5" s="65">
        <f>'Barclays International YTD'!D104</f>
        <v>3453</v>
      </c>
      <c r="O5" s="65"/>
      <c r="P5" s="240">
        <f>'Barclays International YTD'!C10</f>
        <v>13501.999999999995</v>
      </c>
      <c r="Q5" s="240">
        <f>'Barclays International YTD'!D10</f>
        <v>13368</v>
      </c>
      <c r="R5" s="65"/>
      <c r="S5" s="65">
        <f>'Head Office YTD'!C9</f>
        <v>-423.00000000000779</v>
      </c>
      <c r="T5" s="65">
        <f>'Head Office YTD'!D9</f>
        <v>-257</v>
      </c>
      <c r="V5" s="46"/>
      <c r="W5" s="32">
        <f t="shared" si="1"/>
        <v>15552</v>
      </c>
      <c r="X5" s="38"/>
      <c r="Y5" s="32">
        <f t="shared" si="0"/>
        <v>14864</v>
      </c>
      <c r="Z5" s="32" t="e">
        <f>ROUND(H5,0)+ROUND(T5,0)+ROUND(Q5,0)-ROUND(#REF!,0)</f>
        <v>#REF!</v>
      </c>
      <c r="AA5" s="46"/>
      <c r="AC5" s="32">
        <f t="shared" si="2"/>
        <v>0</v>
      </c>
      <c r="AD5" s="38"/>
      <c r="AE5" s="32">
        <f t="shared" si="3"/>
        <v>0</v>
      </c>
      <c r="AF5" s="32" t="e">
        <f>ROUND(N5,0)+ROUND(Z5,0)+ROUND(W5,0)-ROUND(#REF!,0)</f>
        <v>#REF!</v>
      </c>
      <c r="AG5" s="46"/>
    </row>
    <row r="6" spans="2:34">
      <c r="B6" s="185" t="s">
        <v>0</v>
      </c>
      <c r="C6" s="240">
        <f>'Group PH'!C7</f>
        <v>-3253</v>
      </c>
      <c r="D6" s="240">
        <f>'Group PH'!D7</f>
        <v>-3257</v>
      </c>
      <c r="E6" s="40"/>
      <c r="F6" s="40"/>
      <c r="G6" s="240">
        <f>'Barclays UK YTD'!C10</f>
        <v>-3995.6944750200009</v>
      </c>
      <c r="H6" s="240">
        <f>'Barclays UK YTD'!D10</f>
        <v>-4075</v>
      </c>
      <c r="I6" s="65"/>
      <c r="J6" s="65">
        <f>'Barclays International YTD'!C65</f>
        <v>-6882</v>
      </c>
      <c r="K6" s="65">
        <f>'Barclays International YTD'!D65</f>
        <v>-7093</v>
      </c>
      <c r="L6" s="65"/>
      <c r="M6" s="65">
        <f>'Barclays International YTD'!C105</f>
        <v>-2281</v>
      </c>
      <c r="N6" s="65">
        <f>'Barclays International YTD'!D105</f>
        <v>-2231</v>
      </c>
      <c r="O6" s="65"/>
      <c r="P6" s="240">
        <f>'Barclays International YTD'!C11</f>
        <v>-9162.8284489116377</v>
      </c>
      <c r="Q6" s="240">
        <f>'Barclays International YTD'!D11</f>
        <v>-9324</v>
      </c>
      <c r="R6" s="65"/>
      <c r="S6" s="65">
        <f>'Head Office YTD'!C10</f>
        <v>-200</v>
      </c>
      <c r="T6" s="65">
        <f>'Head Office YTD'!D10</f>
        <v>-228</v>
      </c>
      <c r="V6" s="46"/>
      <c r="W6" s="32">
        <f t="shared" si="1"/>
        <v>-10106</v>
      </c>
      <c r="X6" s="38"/>
      <c r="Y6" s="32">
        <f t="shared" si="0"/>
        <v>-10370</v>
      </c>
      <c r="Z6" s="32" t="e">
        <f>ROUND(H6,0)+ROUND(T6,0)+ROUND(Q6,0)-ROUND(#REF!,0)</f>
        <v>#REF!</v>
      </c>
      <c r="AA6" s="46"/>
      <c r="AC6" s="32">
        <f t="shared" si="2"/>
        <v>0.17155108836232102</v>
      </c>
      <c r="AD6" s="38"/>
      <c r="AE6" s="32">
        <f t="shared" si="3"/>
        <v>0</v>
      </c>
      <c r="AF6" s="32" t="e">
        <f>ROUND(N6,0)+ROUND(Z6,0)+ROUND(W6,0)-ROUND(#REF!,0)</f>
        <v>#REF!</v>
      </c>
      <c r="AG6" s="46"/>
      <c r="AH6" s="233" t="s">
        <v>168</v>
      </c>
    </row>
    <row r="7" spans="2:34" s="695" customFormat="1">
      <c r="B7" s="732" t="s">
        <v>166</v>
      </c>
      <c r="C7" s="240" t="e">
        <f>'Group PH'!#REF!</f>
        <v>#REF!</v>
      </c>
      <c r="D7" s="240" t="e">
        <f>'Group PH'!#REF!</f>
        <v>#REF!</v>
      </c>
      <c r="E7" s="40"/>
      <c r="F7" s="40"/>
      <c r="G7" s="240">
        <f>'Barclays UK YTD'!C11</f>
        <v>-41</v>
      </c>
      <c r="H7" s="240">
        <f>'Barclays UK YTD'!D11</f>
        <v>-46</v>
      </c>
      <c r="I7" s="65"/>
      <c r="J7" s="65">
        <f>'Barclays International YTD'!C66</f>
        <v>-156</v>
      </c>
      <c r="K7" s="65">
        <f>'Barclays International YTD'!D66</f>
        <v>-188</v>
      </c>
      <c r="L7" s="65"/>
      <c r="M7" s="65">
        <f>'Barclays International YTD'!C106</f>
        <v>-18.399999999999981</v>
      </c>
      <c r="N7" s="65">
        <f>'Barclays International YTD'!D106</f>
        <v>-22</v>
      </c>
      <c r="O7" s="65"/>
      <c r="P7" s="240">
        <f>'Barclays International YTD'!C12</f>
        <v>-174.39999999999995</v>
      </c>
      <c r="Q7" s="240">
        <f>'Barclays International YTD'!D12</f>
        <v>-210</v>
      </c>
      <c r="R7" s="65"/>
      <c r="S7" s="65">
        <f>'Head Office YTD'!C11</f>
        <v>-11</v>
      </c>
      <c r="T7" s="65">
        <f>'Head Office YTD'!D11</f>
        <v>-13</v>
      </c>
      <c r="V7" s="46"/>
      <c r="W7" s="32" t="e">
        <f>ROUND(G7,0)+ROUND(S7,0)+ROUND(P7,0)-ROUND(C7,0)</f>
        <v>#REF!</v>
      </c>
      <c r="X7" s="38"/>
      <c r="Y7" s="32" t="e">
        <f t="shared" si="0"/>
        <v>#REF!</v>
      </c>
      <c r="Z7" s="32"/>
      <c r="AA7" s="46"/>
      <c r="AC7" s="32">
        <f t="shared" si="2"/>
        <v>3.1974423109204508E-14</v>
      </c>
      <c r="AD7" s="38"/>
      <c r="AE7" s="32">
        <f t="shared" si="3"/>
        <v>0</v>
      </c>
      <c r="AF7" s="32"/>
      <c r="AG7" s="46"/>
    </row>
    <row r="8" spans="2:34">
      <c r="B8" s="237" t="s">
        <v>4</v>
      </c>
      <c r="C8" s="240">
        <f>'Group PH'!C8</f>
        <v>-10.340853690000001</v>
      </c>
      <c r="D8" s="240">
        <f>'Group PH'!D8</f>
        <v>-61</v>
      </c>
      <c r="E8" s="40"/>
      <c r="F8" s="40"/>
      <c r="G8" s="240">
        <f>'Barclays UK YTD'!C13</f>
        <v>-1582.30552498</v>
      </c>
      <c r="H8" s="240">
        <f>'Barclays UK YTD'!D13</f>
        <v>-483</v>
      </c>
      <c r="I8" s="65"/>
      <c r="J8" s="65">
        <f>'Barclays International YTD'!C68</f>
        <v>-109.36276639836269</v>
      </c>
      <c r="K8" s="65">
        <f>'Barclays International YTD'!D68</f>
        <v>-68</v>
      </c>
      <c r="L8" s="65"/>
      <c r="M8" s="65">
        <f>'Barclays International YTD'!C108</f>
        <v>-7.4087846900000001</v>
      </c>
      <c r="N8" s="65">
        <f>'Barclays International YTD'!D108</f>
        <v>-59</v>
      </c>
      <c r="O8" s="65"/>
      <c r="P8" s="240">
        <f>'Barclays International YTD'!C14</f>
        <v>-115.77155108836268</v>
      </c>
      <c r="Q8" s="240">
        <f>'Barclays International YTD'!D14</f>
        <v>-127</v>
      </c>
      <c r="R8" s="65"/>
      <c r="S8" s="65">
        <f>'Head Office YTD'!C14</f>
        <v>-151.3943382021906</v>
      </c>
      <c r="T8" s="65">
        <f>'Head Office YTD'!D14</f>
        <v>-1597</v>
      </c>
      <c r="V8" s="46"/>
      <c r="W8" s="32">
        <f t="shared" si="1"/>
        <v>-1839</v>
      </c>
      <c r="X8" s="38"/>
      <c r="Y8" s="32">
        <f t="shared" si="0"/>
        <v>-2146</v>
      </c>
      <c r="Z8" s="32" t="e">
        <f>ROUND(H8,0)+ROUND(T8,0)+ROUND(Q8,0)-ROUND(#REF!,0)</f>
        <v>#REF!</v>
      </c>
      <c r="AA8" s="46"/>
      <c r="AC8" s="32">
        <f>ROUND(P8,0)-ROUND(J8,0)-ROUND(M8,0)</f>
        <v>0</v>
      </c>
      <c r="AD8" s="38"/>
      <c r="AE8" s="32">
        <f t="shared" si="3"/>
        <v>0</v>
      </c>
      <c r="AF8" s="32" t="e">
        <f>ROUND(N8,0)+ROUND(Z8,0)+ROUND(W8,0)-ROUND(#REF!,0)</f>
        <v>#REF!</v>
      </c>
      <c r="AG8" s="46"/>
    </row>
    <row r="9" spans="2:34">
      <c r="B9" s="237" t="s">
        <v>5</v>
      </c>
      <c r="C9" s="240">
        <f>'Group PH'!C9</f>
        <v>-3262.9999999999991</v>
      </c>
      <c r="D9" s="240">
        <f>'Group PH'!D9</f>
        <v>-3318</v>
      </c>
      <c r="E9" s="40"/>
      <c r="F9" s="40"/>
      <c r="G9" s="240">
        <f>'Barclays UK YTD'!C14</f>
        <v>-5619.0000000000009</v>
      </c>
      <c r="H9" s="240">
        <f>'Barclays UK YTD'!D14</f>
        <v>-4604</v>
      </c>
      <c r="I9" s="65"/>
      <c r="J9" s="65">
        <f>'Barclays International YTD'!C69</f>
        <v>-7147.0000000000009</v>
      </c>
      <c r="K9" s="65">
        <f>'Barclays International YTD'!D69</f>
        <v>-7349</v>
      </c>
      <c r="L9" s="65"/>
      <c r="M9" s="65">
        <f>'Barclays International YTD'!C109</f>
        <v>-2306</v>
      </c>
      <c r="N9" s="65">
        <f>'Barclays International YTD'!D109</f>
        <v>-2312</v>
      </c>
      <c r="O9" s="65"/>
      <c r="P9" s="240">
        <f>'Barclays International YTD'!C15</f>
        <v>-9453</v>
      </c>
      <c r="Q9" s="240">
        <f>'Barclays International YTD'!D15</f>
        <v>-9661</v>
      </c>
      <c r="R9" s="65"/>
      <c r="S9" s="65">
        <f>'Head Office YTD'!C15</f>
        <v>-361.99999999999989</v>
      </c>
      <c r="T9" s="65">
        <f>'Head Office YTD'!D15</f>
        <v>-1978</v>
      </c>
      <c r="V9" s="46"/>
      <c r="W9" s="32">
        <f t="shared" si="1"/>
        <v>-12171</v>
      </c>
      <c r="X9" s="38"/>
      <c r="Y9" s="32">
        <f t="shared" si="0"/>
        <v>-12925</v>
      </c>
      <c r="Z9" s="32" t="e">
        <f>ROUND(H9,0)+ROUND(T9,0)+ROUND(Q9,0)-ROUND(#REF!,0)</f>
        <v>#REF!</v>
      </c>
      <c r="AA9" s="46"/>
      <c r="AC9" s="32">
        <f t="shared" si="2"/>
        <v>0</v>
      </c>
      <c r="AD9" s="38"/>
      <c r="AE9" s="32">
        <f t="shared" si="3"/>
        <v>0</v>
      </c>
      <c r="AF9" s="32" t="e">
        <f>ROUND(N9,0)+ROUND(Z9,0)+ROUND(W9,0)-ROUND(#REF!,0)</f>
        <v>#REF!</v>
      </c>
      <c r="AG9" s="46"/>
    </row>
    <row r="10" spans="2:34">
      <c r="B10" s="237" t="s">
        <v>94</v>
      </c>
      <c r="C10" s="240">
        <f>'Group PH'!C10</f>
        <v>7.9999999999993685</v>
      </c>
      <c r="D10" s="240">
        <f>'Group PH'!D10</f>
        <v>-3</v>
      </c>
      <c r="E10" s="40"/>
      <c r="F10" s="40"/>
      <c r="G10" s="240" t="str">
        <f>'Barclays UK YTD'!C15</f>
        <v>-</v>
      </c>
      <c r="H10" s="240">
        <f>'Barclays UK YTD'!D15</f>
        <v>3</v>
      </c>
      <c r="I10" s="65"/>
      <c r="J10" s="65">
        <f>'Barclays International YTD'!C70</f>
        <v>27.99999999999709</v>
      </c>
      <c r="K10" s="65">
        <f>'Barclays International YTD'!D70</f>
        <v>27</v>
      </c>
      <c r="L10" s="65"/>
      <c r="M10" s="65">
        <f>'Barclays International YTD'!C110</f>
        <v>41.000000000000327</v>
      </c>
      <c r="N10" s="65">
        <f>'Barclays International YTD'!D110</f>
        <v>41</v>
      </c>
      <c r="O10" s="65"/>
      <c r="P10" s="240">
        <f>'Barclays International YTD'!C16</f>
        <v>68.999999999997414</v>
      </c>
      <c r="Q10" s="240">
        <f>'Barclays International YTD'!D16</f>
        <v>68</v>
      </c>
      <c r="R10" s="65"/>
      <c r="S10" s="65">
        <f>'Head Office YTD'!C16</f>
        <v>2.0000000000056803</v>
      </c>
      <c r="T10" s="65">
        <f>'Head Office YTD'!D16</f>
        <v>-2</v>
      </c>
      <c r="V10" s="46"/>
      <c r="W10" s="32" t="e">
        <f>ROUND(G10,0)+ROUND(S10,0)+ROUND(P10,0)-ROUND(C10,0)</f>
        <v>#VALUE!</v>
      </c>
      <c r="X10" s="38"/>
      <c r="Y10" s="32">
        <f t="shared" si="0"/>
        <v>72</v>
      </c>
      <c r="Z10" s="32" t="e">
        <f>ROUND(H10,0)+ROUND(T10,0)+ROUND(Q10,0)-ROUND(#REF!,0)</f>
        <v>#REF!</v>
      </c>
      <c r="AA10" s="46"/>
      <c r="AC10" s="32">
        <f t="shared" si="2"/>
        <v>0</v>
      </c>
      <c r="AD10" s="38"/>
      <c r="AE10" s="32">
        <f t="shared" si="3"/>
        <v>0</v>
      </c>
      <c r="AF10" s="32" t="e">
        <f>ROUND(N10,0)+ROUND(Z10,0)+ROUND(W10,0)-ROUND(#REF!,0)</f>
        <v>#REF!</v>
      </c>
      <c r="AG10" s="46"/>
    </row>
    <row r="11" spans="2:34">
      <c r="B11" s="237" t="s">
        <v>8</v>
      </c>
      <c r="C11" s="240">
        <f>'Group PH'!C11</f>
        <v>913.00000000000091</v>
      </c>
      <c r="D11" s="240">
        <f>'Group PH'!D11</f>
        <v>1483</v>
      </c>
      <c r="E11" s="40"/>
      <c r="F11" s="40"/>
      <c r="G11" s="240">
        <f>'Barclays UK YTD'!C16</f>
        <v>1021.9999999999984</v>
      </c>
      <c r="H11" s="240">
        <f>'Barclays UK YTD'!D16</f>
        <v>1956</v>
      </c>
      <c r="I11" s="65"/>
      <c r="J11" s="65">
        <f>'Barclays International YTD'!C71</f>
        <v>2954.9999999999918</v>
      </c>
      <c r="K11" s="65">
        <f>'Barclays International YTD'!D71</f>
        <v>2593</v>
      </c>
      <c r="L11" s="65"/>
      <c r="M11" s="65">
        <f>'Barclays International YTD'!C111</f>
        <v>1163.0000000000002</v>
      </c>
      <c r="N11" s="65">
        <f>'Barclays International YTD'!D111</f>
        <v>1182</v>
      </c>
      <c r="O11" s="65"/>
      <c r="P11" s="240">
        <f>'Barclays International YTD'!C17</f>
        <v>4117.9999999999909</v>
      </c>
      <c r="Q11" s="240">
        <f>'Barclays International YTD'!D17</f>
        <v>3775</v>
      </c>
      <c r="R11" s="65"/>
      <c r="S11" s="65">
        <f>'Head Office YTD'!C17</f>
        <v>-783.00000000000227</v>
      </c>
      <c r="T11" s="65">
        <f>'Head Office YTD'!D17</f>
        <v>-2237</v>
      </c>
      <c r="V11" s="46"/>
      <c r="W11" s="32">
        <f t="shared" si="1"/>
        <v>3444</v>
      </c>
      <c r="X11" s="38"/>
      <c r="Y11" s="32">
        <f t="shared" si="0"/>
        <v>2011</v>
      </c>
      <c r="Z11" s="32" t="e">
        <f>ROUND(H11,0)+ROUND(T11,0)+ROUND(Q11,0)-ROUND(#REF!,0)</f>
        <v>#REF!</v>
      </c>
      <c r="AA11" s="46"/>
      <c r="AC11" s="32">
        <f t="shared" si="2"/>
        <v>0</v>
      </c>
      <c r="AD11" s="38"/>
      <c r="AE11" s="32">
        <f t="shared" si="3"/>
        <v>0</v>
      </c>
      <c r="AF11" s="32" t="e">
        <f>ROUND(N11,0)+ROUND(Z11,0)+ROUND(W11,0)-ROUND(#REF!,0)</f>
        <v>#REF!</v>
      </c>
      <c r="AG11" s="46"/>
    </row>
    <row r="12" spans="2:34">
      <c r="B12" s="237" t="s">
        <v>88</v>
      </c>
      <c r="C12" s="240">
        <f>'Group PH'!C16</f>
        <v>605.00000000000045</v>
      </c>
      <c r="D12" s="240">
        <f>'Group PH'!D16</f>
        <v>1038</v>
      </c>
      <c r="E12" s="40"/>
      <c r="F12" s="40"/>
      <c r="G12" s="240">
        <f>'Barclays UK YTD'!C17</f>
        <v>280.99999999999829</v>
      </c>
      <c r="H12" s="240">
        <f>'Barclays UK YTD'!D17</f>
        <v>1198</v>
      </c>
      <c r="I12" s="65"/>
      <c r="J12" s="65">
        <f>'Barclays International YTD'!C72</f>
        <v>1979.9999999999882</v>
      </c>
      <c r="K12" s="65">
        <f>'Barclays International YTD'!D72</f>
        <v>1781</v>
      </c>
      <c r="L12" s="65"/>
      <c r="M12" s="65">
        <f>'Barclays International YTD'!C112</f>
        <v>836.00000000000034</v>
      </c>
      <c r="N12" s="65">
        <f>'Barclays International YTD'!D112</f>
        <v>818</v>
      </c>
      <c r="O12" s="65"/>
      <c r="P12" s="240">
        <f>'Barclays International YTD'!C18</f>
        <v>2815.9999999999895</v>
      </c>
      <c r="Q12" s="240">
        <f>'Barclays International YTD'!D18</f>
        <v>2599</v>
      </c>
      <c r="R12" s="65"/>
      <c r="S12" s="65">
        <f>'Head Office YTD'!C18</f>
        <v>-635.99999999999977</v>
      </c>
      <c r="T12" s="65">
        <f>'Head Office YTD'!D18</f>
        <v>-2200</v>
      </c>
      <c r="V12" s="46"/>
      <c r="W12" s="32">
        <f t="shared" si="1"/>
        <v>1856</v>
      </c>
      <c r="X12" s="38"/>
      <c r="Y12" s="32">
        <f t="shared" si="0"/>
        <v>559</v>
      </c>
      <c r="Z12" s="32" t="e">
        <f>ROUND(H12,0)+ROUND(T12,0)+ROUND(Q12,0)-ROUND(#REF!,0)</f>
        <v>#REF!</v>
      </c>
      <c r="AA12" s="46"/>
      <c r="AC12" s="32">
        <f t="shared" si="2"/>
        <v>1.0231815394945443E-12</v>
      </c>
      <c r="AD12" s="38"/>
      <c r="AE12" s="32">
        <f t="shared" si="3"/>
        <v>0</v>
      </c>
      <c r="AF12" s="32" t="e">
        <f>ROUND(N12,0)+ROUND(Z12,0)+ROUND(W12,0)-ROUND(#REF!,0)</f>
        <v>#REF!</v>
      </c>
      <c r="AG12" s="46"/>
    </row>
    <row r="13" spans="2:34">
      <c r="B13" s="237"/>
      <c r="C13" s="240"/>
      <c r="D13" s="240"/>
      <c r="E13" s="40"/>
      <c r="G13" s="244"/>
      <c r="H13" s="245"/>
      <c r="I13" s="236"/>
      <c r="J13" s="486"/>
      <c r="K13" s="486"/>
      <c r="L13" s="486"/>
      <c r="M13" s="486"/>
      <c r="N13" s="486"/>
      <c r="O13" s="486"/>
      <c r="P13" s="244"/>
      <c r="Q13" s="244"/>
      <c r="R13" s="236"/>
      <c r="S13" s="236"/>
      <c r="T13" s="236"/>
      <c r="V13" s="46"/>
      <c r="W13" s="46"/>
      <c r="X13" s="46"/>
      <c r="Y13" s="46"/>
      <c r="Z13" s="46"/>
      <c r="AA13" s="46"/>
      <c r="AC13" s="46"/>
      <c r="AD13" s="46"/>
      <c r="AE13" s="46"/>
      <c r="AF13" s="46"/>
      <c r="AG13" s="46"/>
    </row>
    <row r="14" spans="2:34">
      <c r="B14" s="237" t="s">
        <v>6</v>
      </c>
      <c r="C14" s="241">
        <f>'Group PH'!C20</f>
        <v>46994.626145163187</v>
      </c>
      <c r="D14" s="241">
        <f>'Group PH'!D20</f>
        <v>45200</v>
      </c>
      <c r="E14" s="29"/>
      <c r="F14" s="29"/>
      <c r="G14" s="241">
        <f>'Barclays UK YTD'!C36</f>
        <v>10333.197564800115</v>
      </c>
      <c r="H14" s="241">
        <f>'Barclays UK YTD'!D36</f>
        <v>10000</v>
      </c>
      <c r="I14" s="31"/>
      <c r="J14" s="31">
        <f>'Barclays International YTD'!C88</f>
        <v>25886.815093654146</v>
      </c>
      <c r="K14" s="31">
        <f>'Barclays International YTD'!D88</f>
        <v>26000</v>
      </c>
      <c r="L14" s="31"/>
      <c r="M14" s="31">
        <f>'Barclays International YTD'!C130</f>
        <v>5281.7143333222311</v>
      </c>
      <c r="N14" s="31">
        <f>'Barclays International YTD'!D130</f>
        <v>5000</v>
      </c>
      <c r="O14" s="31"/>
      <c r="P14" s="241">
        <f>'Barclays International YTD'!C36</f>
        <v>31168.529426976376</v>
      </c>
      <c r="Q14" s="241">
        <f>'Barclays International YTD'!D36</f>
        <v>31000</v>
      </c>
      <c r="R14" s="31"/>
      <c r="S14" s="31">
        <f>'Head Office YTD'!C26</f>
        <v>5056.3351808721118</v>
      </c>
      <c r="T14" s="31">
        <f>'Head Office YTD'!D26</f>
        <v>3100</v>
      </c>
      <c r="V14" s="46"/>
      <c r="W14" s="32">
        <f t="shared" si="1"/>
        <v>-437</v>
      </c>
      <c r="X14" s="46"/>
      <c r="Y14" s="32">
        <f t="shared" si="0"/>
        <v>-1100</v>
      </c>
      <c r="Z14" s="32" t="e">
        <f>ROUND(H14,-2)+ROUND(T14,-2)+ROUND(Q14,-2)-ROUND(#REF!,-2)</f>
        <v>#REF!</v>
      </c>
      <c r="AA14" s="46"/>
      <c r="AB14" s="30"/>
      <c r="AC14" s="32">
        <f t="shared" si="2"/>
        <v>0</v>
      </c>
      <c r="AD14" s="46"/>
      <c r="AE14" s="32">
        <f>Q14-K14-N14</f>
        <v>0</v>
      </c>
      <c r="AF14" s="32" t="e">
        <f>ROUND(N14,-2)+ROUND(Z14,-2)+ROUND(W14,-2)-ROUND(#REF!,-2)</f>
        <v>#REF!</v>
      </c>
      <c r="AG14" s="46"/>
    </row>
    <row r="15" spans="2:34">
      <c r="B15" s="237" t="s">
        <v>11</v>
      </c>
      <c r="C15" s="242">
        <f>'Group PH'!C23</f>
        <v>3.5015356684643533</v>
      </c>
      <c r="D15" s="242">
        <f>'Group PH'!D23</f>
        <v>6.1</v>
      </c>
      <c r="E15" s="234"/>
      <c r="F15" s="234"/>
      <c r="G15" s="242"/>
      <c r="H15" s="242"/>
      <c r="I15" s="235"/>
      <c r="J15" s="286"/>
      <c r="K15" s="286"/>
      <c r="L15" s="287"/>
      <c r="M15" s="286"/>
      <c r="N15" s="286"/>
      <c r="O15" s="287"/>
      <c r="P15" s="242"/>
      <c r="Q15" s="242"/>
      <c r="R15" s="235"/>
      <c r="S15" s="235"/>
      <c r="T15" s="234"/>
      <c r="V15" s="46"/>
      <c r="W15" s="46"/>
      <c r="X15" s="46"/>
      <c r="Y15" s="46"/>
      <c r="Z15" s="46"/>
      <c r="AA15" s="46"/>
      <c r="AC15" s="46"/>
      <c r="AD15" s="46"/>
      <c r="AE15" s="46"/>
      <c r="AF15" s="46"/>
      <c r="AG15" s="46"/>
    </row>
    <row r="16" spans="2:34">
      <c r="B16" s="237"/>
      <c r="C16" s="240"/>
      <c r="D16" s="240"/>
      <c r="E16" s="40"/>
      <c r="G16" s="244"/>
      <c r="H16" s="245"/>
      <c r="I16" s="236"/>
      <c r="J16" s="486"/>
      <c r="K16" s="486"/>
      <c r="L16" s="486"/>
      <c r="M16" s="486"/>
      <c r="N16" s="486"/>
      <c r="O16" s="486"/>
      <c r="P16" s="244"/>
      <c r="Q16" s="245"/>
      <c r="R16" s="236"/>
      <c r="S16" s="236"/>
      <c r="T16" s="236"/>
      <c r="V16" s="46"/>
      <c r="W16" s="46"/>
      <c r="X16" s="46"/>
      <c r="Y16" s="46"/>
      <c r="Z16" s="46"/>
      <c r="AA16" s="46"/>
      <c r="AC16" s="46"/>
      <c r="AD16" s="46"/>
      <c r="AE16" s="46"/>
      <c r="AF16" s="46"/>
      <c r="AG16" s="46"/>
    </row>
    <row r="17" spans="2:33">
      <c r="B17" s="237" t="s">
        <v>45</v>
      </c>
      <c r="C17" s="240">
        <f>'Group PH'!C26</f>
        <v>923.34085369000093</v>
      </c>
      <c r="D17" s="240">
        <f>'Group PH'!D26</f>
        <v>1544</v>
      </c>
      <c r="E17" s="40"/>
      <c r="F17" s="40"/>
      <c r="G17" s="240">
        <f>'Barclays UK YTD'!C42</f>
        <v>2604.30552498</v>
      </c>
      <c r="H17" s="240">
        <f>'Barclays UK YTD'!D42</f>
        <v>2439</v>
      </c>
      <c r="I17" s="65"/>
      <c r="J17" s="65">
        <f>'Barclays International YTD'!C92</f>
        <v>3064.3627663983543</v>
      </c>
      <c r="K17" s="65">
        <f>'Barclays International YTD'!D92</f>
        <v>2661</v>
      </c>
      <c r="L17" s="65"/>
      <c r="M17" s="65">
        <f>'Barclays International YTD'!C135</f>
        <v>1170.4087846900002</v>
      </c>
      <c r="N17" s="65">
        <f>'Barclays International YTD'!D135</f>
        <v>1241</v>
      </c>
      <c r="O17" s="65"/>
      <c r="P17" s="240">
        <f>'Barclays International YTD'!C42</f>
        <v>4233.7715510883536</v>
      </c>
      <c r="Q17" s="240">
        <f>'Barclays International YTD'!D42</f>
        <v>3902</v>
      </c>
      <c r="R17" s="65"/>
      <c r="S17" s="65">
        <f>'Head Office YTD'!C29</f>
        <v>-631.60566179781165</v>
      </c>
      <c r="T17" s="65">
        <f>'Head Office YTD'!D29</f>
        <v>-640</v>
      </c>
      <c r="V17" s="46"/>
      <c r="W17" s="32">
        <f>ROUND(G17,0)+ROUND(S17,0)+ROUND(P17,0)-ROUND(C17,0)</f>
        <v>5283</v>
      </c>
      <c r="X17" s="38"/>
      <c r="Y17" s="32">
        <f>ROUND(H17,0)+ROUND(T17,0)+ROUND(Q17,0)-ROUND(D17,0)</f>
        <v>4157</v>
      </c>
      <c r="Z17" s="46"/>
      <c r="AA17" s="46"/>
      <c r="AC17" s="32">
        <f>ROUND(P17,0)-ROUND(J17,0)-ROUND(M17,0)</f>
        <v>0</v>
      </c>
      <c r="AD17" s="38"/>
      <c r="AE17" s="32">
        <f t="shared" ref="AE17:AE19" si="4">Q17-K17-N17</f>
        <v>0</v>
      </c>
      <c r="AF17" s="46"/>
      <c r="AG17" s="46"/>
    </row>
    <row r="18" spans="2:33">
      <c r="B18" s="237" t="s">
        <v>39</v>
      </c>
      <c r="C18" s="240">
        <f>'Group PH'!C27</f>
        <v>604.40093683284044</v>
      </c>
      <c r="D18" s="240">
        <f>'Group PH'!D27</f>
        <v>1084</v>
      </c>
      <c r="E18" s="40"/>
      <c r="F18" s="40"/>
      <c r="G18" s="240">
        <f>'Barclays UK YTD'!C43</f>
        <v>1813.0760263612553</v>
      </c>
      <c r="H18" s="240">
        <f>'Barclays UK YTD'!D43</f>
        <v>1670</v>
      </c>
      <c r="I18" s="65"/>
      <c r="J18" s="65">
        <f>'Barclays International YTD'!C93</f>
        <v>2063.5162600801118</v>
      </c>
      <c r="K18" s="65">
        <f>'Barclays International YTD'!D93</f>
        <v>1843</v>
      </c>
      <c r="L18" s="65"/>
      <c r="M18" s="65">
        <f>'Barclays International YTD'!C136</f>
        <v>841.52103235490029</v>
      </c>
      <c r="N18" s="65">
        <f>'Barclays International YTD'!D136</f>
        <v>862</v>
      </c>
      <c r="O18" s="65"/>
      <c r="P18" s="240">
        <f>'Barclays International YTD'!C43</f>
        <v>2906.0372924350127</v>
      </c>
      <c r="Q18" s="240">
        <f>'Barclays International YTD'!D43</f>
        <v>2705</v>
      </c>
      <c r="R18" s="65"/>
      <c r="S18" s="65">
        <f>'Head Office YTD'!C30</f>
        <v>-524.84074720870899</v>
      </c>
      <c r="T18" s="65">
        <f>'Head Office YTD'!D30</f>
        <v>-642</v>
      </c>
      <c r="V18" s="46"/>
      <c r="W18" s="49">
        <f>ROUND(G18,0)+ROUND(S18,0)+ROUND(P18,0)-ROUND(C18,0)</f>
        <v>3590</v>
      </c>
      <c r="X18" s="38"/>
      <c r="Y18" s="32">
        <f>ROUND(H18,0)+ROUND(T18,0)+ROUND(Q18,0)-ROUND(D18,0)</f>
        <v>2649</v>
      </c>
      <c r="Z18" s="46"/>
      <c r="AA18" s="46"/>
      <c r="AC18" s="32">
        <f>ROUND(P18,0)-ROUND(J18,0)-ROUND(M18,0)</f>
        <v>0</v>
      </c>
      <c r="AD18" s="38"/>
      <c r="AE18" s="32">
        <f t="shared" si="4"/>
        <v>0</v>
      </c>
      <c r="AF18" s="46"/>
      <c r="AG18" s="46"/>
    </row>
    <row r="19" spans="2:33">
      <c r="B19" s="237" t="s">
        <v>40</v>
      </c>
      <c r="C19" s="243">
        <f>'CYYTD performance measures excl'!G21</f>
        <v>1733</v>
      </c>
      <c r="D19" s="243">
        <f>'PYYTD performance measures'!G21</f>
        <v>2136</v>
      </c>
      <c r="E19" s="29"/>
      <c r="F19" s="29"/>
      <c r="G19" s="243">
        <f>'CYYTD performance measures excl'!B21</f>
        <v>1532</v>
      </c>
      <c r="H19" s="245">
        <f>'PYYTD performance measures'!B21</f>
        <v>472</v>
      </c>
      <c r="I19" s="236"/>
      <c r="J19" s="486">
        <f>'CYYTD performance measures excl'!C21</f>
        <v>84</v>
      </c>
      <c r="K19" s="486">
        <f>'PYYTD performance measures'!C21</f>
        <v>62</v>
      </c>
      <c r="L19" s="486"/>
      <c r="M19" s="486">
        <f>'CYYTD performance measures excl'!D21</f>
        <v>6</v>
      </c>
      <c r="N19" s="486">
        <f>'PYYTD performance measures'!D21</f>
        <v>44</v>
      </c>
      <c r="O19" s="486"/>
      <c r="P19" s="243">
        <f>'CYYTD performance measures excl'!E21</f>
        <v>90</v>
      </c>
      <c r="Q19" s="245">
        <f>'PYYTD performance measures'!E21</f>
        <v>106</v>
      </c>
      <c r="R19" s="236"/>
      <c r="S19" s="236">
        <f>'CYYTD performance measures excl'!F21</f>
        <v>111</v>
      </c>
      <c r="T19" s="236">
        <f>'PYYTD performance measures'!F21</f>
        <v>1558</v>
      </c>
      <c r="V19" s="46"/>
      <c r="W19" s="49">
        <f>ROUND(G19,0)+ROUND(S19,0)+ROUND(P19,0)-ROUND(C19,0)</f>
        <v>0</v>
      </c>
      <c r="X19" s="38"/>
      <c r="Y19" s="32">
        <f>ROUND(H19,0)+ROUND(T19,0)+ROUND(Q19,0)-ROUND(D19,0)</f>
        <v>0</v>
      </c>
      <c r="Z19" s="46"/>
      <c r="AA19" s="46"/>
      <c r="AC19" s="32">
        <f t="shared" ref="AC19" si="5">P19-J19-M19</f>
        <v>0</v>
      </c>
      <c r="AD19" s="38"/>
      <c r="AE19" s="32">
        <f t="shared" si="4"/>
        <v>0</v>
      </c>
      <c r="AF19" s="46"/>
      <c r="AG19" s="46"/>
    </row>
    <row r="20" spans="2:33">
      <c r="B20" s="237"/>
      <c r="C20" s="240"/>
      <c r="D20" s="240"/>
      <c r="E20" s="40"/>
      <c r="G20" s="244"/>
      <c r="H20" s="245"/>
      <c r="I20" s="236"/>
      <c r="J20" s="486"/>
      <c r="K20" s="486"/>
      <c r="L20" s="486"/>
      <c r="M20" s="486"/>
      <c r="N20" s="486"/>
      <c r="O20" s="486"/>
      <c r="P20" s="244"/>
      <c r="Q20" s="245"/>
      <c r="R20" s="236"/>
      <c r="S20" s="236"/>
      <c r="T20" s="236"/>
      <c r="V20" s="46"/>
      <c r="W20" s="46"/>
      <c r="X20" s="46"/>
      <c r="Y20" s="46"/>
      <c r="Z20" s="46"/>
      <c r="AA20" s="46"/>
      <c r="AC20" s="46"/>
      <c r="AD20" s="46"/>
      <c r="AE20" s="46"/>
      <c r="AF20" s="46"/>
      <c r="AG20" s="46"/>
    </row>
    <row r="21" spans="2:33">
      <c r="B21" s="237" t="s">
        <v>10</v>
      </c>
      <c r="C21" s="241">
        <f>'Group Qrtly'!C38</f>
        <v>1444297</v>
      </c>
      <c r="D21" s="241">
        <f>'Group Qrtly'!H38</f>
        <v>1193542.9999999998</v>
      </c>
      <c r="E21" s="29"/>
      <c r="F21" s="29"/>
      <c r="G21" s="241">
        <f>'Barclays UK YTD'!C21</f>
        <v>257775.99999999988</v>
      </c>
      <c r="H21" s="241">
        <f>'Barclays UK YTD'!D21</f>
        <v>249700</v>
      </c>
      <c r="I21" s="31"/>
      <c r="J21" s="31">
        <f>'Barclays International YTD'!C81</f>
        <v>795600</v>
      </c>
      <c r="K21" s="31">
        <f>'Barclays International YTD'!D81</f>
        <v>790500</v>
      </c>
      <c r="L21" s="31"/>
      <c r="M21" s="31">
        <f>'Barclays International YTD'!C116</f>
        <v>65800</v>
      </c>
      <c r="N21" s="31">
        <f>'Barclays International YTD'!D116</f>
        <v>71600</v>
      </c>
      <c r="O21" s="31"/>
      <c r="P21" s="241">
        <f>'Barclays International YTD'!C27</f>
        <v>861400</v>
      </c>
      <c r="Q21" s="241">
        <f>'Barclays International YTD'!D27</f>
        <v>862100</v>
      </c>
      <c r="R21" s="31"/>
      <c r="S21" s="31">
        <f>'Head Office YTD'!C21</f>
        <v>21039.999999999898</v>
      </c>
      <c r="T21" s="31">
        <f>'Head Office YTD'!D21</f>
        <v>21500</v>
      </c>
      <c r="V21" s="46"/>
      <c r="W21" s="152">
        <f>ROUND(G21,-2)+ROUND(S21,-2)+ROUND(P21,-2)-ROUND(C21,-2)</f>
        <v>-304100</v>
      </c>
      <c r="X21" s="155"/>
      <c r="Y21" s="152">
        <f>ROUND(H21,-2)+ROUND(T21,-2)+ROUND(Q21,-2)-ROUND(D21,-2)</f>
        <v>-60200</v>
      </c>
      <c r="Z21" s="32" t="e">
        <f>ROUND(H21,-3)+ROUND(T21,-3)+ROUND(Q21,-3)-ROUND(#REF!,-3)</f>
        <v>#REF!</v>
      </c>
      <c r="AA21" s="46"/>
      <c r="AC21" s="32">
        <f t="shared" ref="AC21:AC22" si="6">P21-J21-M21</f>
        <v>0</v>
      </c>
      <c r="AD21" s="155"/>
      <c r="AE21" s="32">
        <f t="shared" ref="AE21:AE22" si="7">Q21-K21-N21</f>
        <v>0</v>
      </c>
      <c r="AF21" s="32" t="e">
        <f>ROUND(N21,-3)+ROUND(Z21,-3)+ROUND(W21,-3)-ROUND(#REF!,-3)</f>
        <v>#REF!</v>
      </c>
      <c r="AG21" s="46"/>
    </row>
    <row r="22" spans="2:33">
      <c r="B22" s="237" t="s">
        <v>12</v>
      </c>
      <c r="C22" s="241">
        <f>'Group PH'!C37</f>
        <v>325631</v>
      </c>
      <c r="D22" s="241">
        <f>'Group PH'!D37</f>
        <v>295131.09335281386</v>
      </c>
      <c r="E22" s="29"/>
      <c r="F22" s="29"/>
      <c r="G22" s="241">
        <f>'Barclays UK YTD'!C24</f>
        <v>74900.809200652569</v>
      </c>
      <c r="H22" s="241">
        <f>'Barclays UK YTD'!D24</f>
        <v>75200</v>
      </c>
      <c r="I22" s="31"/>
      <c r="J22" s="31">
        <f>'Barclays International YTD'!C84</f>
        <v>171452.98988368199</v>
      </c>
      <c r="K22" s="31">
        <f>'Barclays International YTD'!D84</f>
        <v>170900</v>
      </c>
      <c r="L22" s="31"/>
      <c r="M22" s="31">
        <f>'Barclays International YTD'!C118</f>
        <v>37690.309913056321</v>
      </c>
      <c r="N22" s="31">
        <f>'Barclays International YTD'!D118</f>
        <v>39800</v>
      </c>
      <c r="O22" s="31"/>
      <c r="P22" s="241">
        <f>'Barclays International YTD'!C31</f>
        <v>209243.29979673817</v>
      </c>
      <c r="Q22" s="241">
        <f>'Barclays International YTD'!D31</f>
        <v>210741.00000000006</v>
      </c>
      <c r="R22" s="31"/>
      <c r="S22" s="31">
        <f>'Head Office YTD'!C22</f>
        <v>10986.984355423112</v>
      </c>
      <c r="T22" s="31">
        <f>'Head Office YTD'!D22</f>
        <v>26000</v>
      </c>
      <c r="V22" s="46"/>
      <c r="W22" s="152">
        <f>ROUND(G22,-2)+ROUND(S22,-2)+ROUND(P22,-2)-ROUND(C22,-2)</f>
        <v>-30500</v>
      </c>
      <c r="X22" s="155"/>
      <c r="Y22" s="152">
        <f>ROUND(H22,-2)+ROUND(T22,-2)+ROUND(Q22,-2)-ROUND(D22,-2)</f>
        <v>16800</v>
      </c>
      <c r="Z22" s="32"/>
      <c r="AA22" s="46"/>
      <c r="AC22" s="32">
        <f t="shared" si="6"/>
        <v>99.999999999854481</v>
      </c>
      <c r="AD22" s="155"/>
      <c r="AE22" s="197">
        <f t="shared" si="7"/>
        <v>41.000000000058208</v>
      </c>
      <c r="AF22" s="32"/>
      <c r="AG22" s="46"/>
    </row>
    <row r="23" spans="2:33">
      <c r="B23" s="237" t="s">
        <v>95</v>
      </c>
      <c r="C23" s="241" t="e">
        <f>'Group PH'!#REF!</f>
        <v>#REF!</v>
      </c>
      <c r="D23" s="241" t="e">
        <f>'Group PH'!#REF!</f>
        <v>#REF!</v>
      </c>
      <c r="E23" s="29"/>
      <c r="F23" s="29"/>
      <c r="G23" s="241"/>
      <c r="H23" s="246"/>
      <c r="I23" s="31"/>
      <c r="J23" s="31"/>
      <c r="K23" s="31"/>
      <c r="L23" s="31"/>
      <c r="M23" s="31"/>
      <c r="N23" s="31"/>
      <c r="O23" s="31"/>
      <c r="P23" s="241"/>
      <c r="Q23" s="246"/>
      <c r="R23" s="31"/>
      <c r="S23" s="31"/>
      <c r="T23" s="31"/>
      <c r="V23" s="46"/>
      <c r="W23" s="46"/>
      <c r="X23" s="46"/>
      <c r="Y23" s="46"/>
      <c r="Z23" s="32" t="e">
        <f>ROUND(H23,-3)+ROUND(T23,-3)+ROUND(Q23,-3)-ROUND(#REF!,-3)</f>
        <v>#REF!</v>
      </c>
      <c r="AA23" s="46"/>
      <c r="AC23" s="46"/>
      <c r="AD23" s="46"/>
      <c r="AE23" s="46"/>
      <c r="AF23" s="32" t="e">
        <f>ROUND(N23,-3)+ROUND(Z23,-3)+ROUND(W23,-3)-ROUND(#REF!,-3)</f>
        <v>#REF!</v>
      </c>
      <c r="AG23" s="46"/>
    </row>
    <row r="24" spans="2:33">
      <c r="B24" s="237"/>
      <c r="C24" s="40"/>
      <c r="D24" s="40"/>
      <c r="E24" s="40"/>
      <c r="G24" s="244"/>
      <c r="H24" s="245"/>
      <c r="I24" s="236"/>
      <c r="J24" s="486"/>
      <c r="K24" s="486"/>
      <c r="L24" s="486"/>
      <c r="M24" s="486"/>
      <c r="N24" s="486"/>
      <c r="O24" s="486"/>
      <c r="P24" s="236"/>
      <c r="Q24" s="236"/>
      <c r="R24" s="236"/>
      <c r="S24" s="236"/>
      <c r="T24" s="236"/>
      <c r="V24" s="46"/>
      <c r="W24" s="46"/>
      <c r="X24" s="46"/>
      <c r="Y24" s="46"/>
      <c r="Z24" s="46"/>
      <c r="AA24" s="46"/>
      <c r="AC24" s="46"/>
      <c r="AD24" s="46"/>
      <c r="AE24" s="46"/>
      <c r="AF24" s="46"/>
      <c r="AG24" s="46"/>
    </row>
    <row r="25" spans="2:33">
      <c r="B25" s="237"/>
      <c r="C25" s="29"/>
      <c r="D25" s="29"/>
      <c r="E25" s="29"/>
      <c r="F25" s="29"/>
      <c r="G25" s="29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V25" s="46"/>
      <c r="W25" s="46"/>
      <c r="X25" s="46"/>
      <c r="Y25" s="46"/>
      <c r="Z25" s="46"/>
      <c r="AA25" s="46"/>
      <c r="AC25" s="46"/>
      <c r="AD25" s="46"/>
      <c r="AE25" s="46"/>
      <c r="AF25" s="46"/>
      <c r="AG25" s="46"/>
    </row>
    <row r="29" spans="2:33">
      <c r="B29" s="248" t="s">
        <v>93</v>
      </c>
    </row>
    <row r="31" spans="2:33">
      <c r="B31" s="41" t="e">
        <f>CQtr&amp;" YTD"</f>
        <v>#REF!</v>
      </c>
      <c r="C31" s="1617" t="s">
        <v>18</v>
      </c>
      <c r="D31" s="1617"/>
      <c r="E31" s="39"/>
      <c r="F31" s="39"/>
      <c r="G31" s="1617" t="s">
        <v>140</v>
      </c>
      <c r="H31" s="1617"/>
      <c r="I31" s="238"/>
      <c r="J31" s="1617" t="s">
        <v>68</v>
      </c>
      <c r="K31" s="1617"/>
      <c r="L31" s="238"/>
      <c r="M31" s="1617" t="s">
        <v>69</v>
      </c>
      <c r="N31" s="1617"/>
      <c r="O31" s="238"/>
      <c r="P31" s="1618" t="s">
        <v>30</v>
      </c>
      <c r="Q31" s="1618"/>
      <c r="R31" s="239"/>
      <c r="S31" s="1619" t="s">
        <v>19</v>
      </c>
      <c r="T31" s="1619"/>
      <c r="V31" s="46"/>
      <c r="W31" s="1616" t="s">
        <v>20</v>
      </c>
      <c r="X31" s="1616"/>
      <c r="Y31" s="1616"/>
      <c r="Z31" s="47" t="s">
        <v>21</v>
      </c>
      <c r="AA31" s="46"/>
      <c r="AC31" s="1616" t="s">
        <v>58</v>
      </c>
      <c r="AD31" s="1616"/>
      <c r="AE31" s="1616"/>
      <c r="AF31" s="47" t="s">
        <v>21</v>
      </c>
      <c r="AG31" s="46"/>
    </row>
    <row r="32" spans="2:33">
      <c r="B32" s="41"/>
      <c r="C32" s="239" t="e">
        <f>CQtr&amp;" YTD"</f>
        <v>#REF!</v>
      </c>
      <c r="D32" s="239" t="e">
        <f>PPPPQtr&amp;" YTD"</f>
        <v>#REF!</v>
      </c>
      <c r="E32" s="39"/>
      <c r="F32" s="39"/>
      <c r="G32" s="239" t="e">
        <f>CQtr&amp;" YTD"</f>
        <v>#REF!</v>
      </c>
      <c r="H32" s="239" t="e">
        <f>PPPPQtr&amp;" YTD"</f>
        <v>#REF!</v>
      </c>
      <c r="I32" s="39"/>
      <c r="J32" s="239" t="e">
        <f>CQtr&amp;" YTD"</f>
        <v>#REF!</v>
      </c>
      <c r="K32" s="239" t="e">
        <f>PPPPQtr&amp;" YTD"</f>
        <v>#REF!</v>
      </c>
      <c r="L32" s="39"/>
      <c r="M32" s="239" t="e">
        <f>CQtr&amp;" YTD"</f>
        <v>#REF!</v>
      </c>
      <c r="N32" s="239" t="e">
        <f>PPPPQtr&amp;" YTD"</f>
        <v>#REF!</v>
      </c>
      <c r="O32" s="39"/>
      <c r="P32" s="239" t="e">
        <f>CQtr&amp;" YTD"</f>
        <v>#REF!</v>
      </c>
      <c r="Q32" s="239" t="e">
        <f>PPPPQtr&amp;" YTD"</f>
        <v>#REF!</v>
      </c>
      <c r="R32" s="39"/>
      <c r="S32" s="239" t="e">
        <f>CQtr&amp;" YTD"</f>
        <v>#REF!</v>
      </c>
      <c r="T32" s="239" t="e">
        <f>PPPPQtr&amp;" YTD"</f>
        <v>#REF!</v>
      </c>
      <c r="V32" s="46"/>
      <c r="W32" s="247" t="e">
        <f>CQtr&amp;" YTD"</f>
        <v>#REF!</v>
      </c>
      <c r="X32" s="46"/>
      <c r="Y32" s="247" t="e">
        <f>PPPPQtr&amp;" YTD"</f>
        <v>#REF!</v>
      </c>
      <c r="Z32" s="47"/>
      <c r="AA32" s="46"/>
      <c r="AC32" s="247"/>
      <c r="AD32" s="46"/>
      <c r="AE32" s="247"/>
      <c r="AF32" s="47"/>
      <c r="AG32" s="46"/>
    </row>
    <row r="33" spans="2:33">
      <c r="B33" s="237" t="s">
        <v>89</v>
      </c>
      <c r="C33" s="240">
        <f>ROUND('Group Qrtly'!C6,0)+ROUND('Group Qrtly'!E6,0)+ROUND('Group Qrtly'!F6,0)+ROUND('Group Qrtly'!G6,0)</f>
        <v>22663</v>
      </c>
      <c r="D33" s="240">
        <f>ROUND('Group Qrtly'!H6,0)+ROUND('Group Qrtly'!J6,0)+ROUND('Group Qrtly'!K6,0)+ROUND('Group Qrtly'!L6,0)</f>
        <v>21030</v>
      </c>
      <c r="E33" s="40"/>
      <c r="F33" s="40"/>
      <c r="G33" s="240">
        <f>ROUND('Barclays UK Qrtly'!C7,0)+ROUND('Barclays UK Qrtly'!E7,0)+ROUND('Barclays UK Qrtly'!F7,0)+ROUND('Barclays UK Qrtly'!G7,0)</f>
        <v>7280</v>
      </c>
      <c r="H33" s="240">
        <f>ROUND('Barclays UK Qrtly'!H7,0)+ROUND('Barclays UK Qrtly'!J7,0)+ROUND('Barclays UK Qrtly'!K7,0)+ROUND('Barclays UK Qrtly'!L7,0)</f>
        <v>7372</v>
      </c>
      <c r="I33" s="65"/>
      <c r="J33" s="65">
        <f>ROUND('Barclays International Qrtly'!C64,0)+ROUND('Barclays International Qrtly'!E64,0)+ROUND('Barclays International Qrtly'!F64,0)+ROUND('Barclays International Qrtly'!G64,0)</f>
        <v>11343</v>
      </c>
      <c r="K33" s="65">
        <f>ROUND('Barclays International Qrtly'!H64,0)+ROUND('Barclays International Qrtly'!J64,0)+ROUND('Barclays International Qrtly'!K64,0)+ROUND('Barclays International Qrtly'!L64,0)</f>
        <v>9471</v>
      </c>
      <c r="L33" s="65"/>
      <c r="M33" s="65">
        <f>ROUND('Barclays International Qrtly'!C105,0)+ROUND('Barclays International Qrtly'!E105,0)+ROUND('Barclays International Qrtly'!F105,0)+ROUND('Barclays International Qrtly'!G105,0)</f>
        <v>4406</v>
      </c>
      <c r="N33" s="65">
        <f>ROUND('Barclays International Qrtly'!H105,0)+ROUND('Barclays International Qrtly'!J105,0)+ROUND('Barclays International Qrtly'!K105,0)+ROUND('Barclays International Qrtly'!L105,0)</f>
        <v>4317</v>
      </c>
      <c r="O33" s="65"/>
      <c r="P33" s="240">
        <f>ROUND('Barclays International Qrtly'!C8,0)+ROUND('Barclays International Qrtly'!E8,0)+ROUND('Barclays International Qrtly'!F8,0)+ROUND('Barclays International Qrtly'!G8,0)</f>
        <v>15749</v>
      </c>
      <c r="Q33" s="240">
        <f>ROUND('Barclays International Qrtly'!H8,0)+ROUND('Barclays International Qrtly'!J8,0)+ROUND('Barclays International Qrtly'!K8,0)+ROUND('Barclays International Qrtly'!L8,0)</f>
        <v>13788</v>
      </c>
      <c r="R33" s="65"/>
      <c r="S33" s="65">
        <f>ROUND('Head Office Qrtly'!C7,0)+ROUND('Head Office Qrtly'!E7,0)+ROUND('Head Office Qrtly'!F7,0)+ROUND('Head Office Qrtly'!G7,0)</f>
        <v>-366</v>
      </c>
      <c r="T33" s="65">
        <f>ROUND('Head Office Qrtly'!H7,0)+ROUND('Head Office Qrtly'!J7,0)+ROUND('Head Office Qrtly'!K7,0)+ROUND('Head Office Qrtly'!L7,0)</f>
        <v>-130</v>
      </c>
      <c r="V33" s="46"/>
      <c r="W33" s="32">
        <f>ROUND(G33,0)+ROUND(S33,0)+ROUND(P33,0)-ROUND(C33,0)</f>
        <v>0</v>
      </c>
      <c r="X33" s="38"/>
      <c r="Y33" s="32">
        <f t="shared" ref="Y33:Y39" si="8">ROUND(H33,0)+ROUND(T33,0)+ROUND(Q33,0)-ROUND(D33,0)</f>
        <v>0</v>
      </c>
      <c r="Z33" s="32" t="e">
        <f>ROUND(H33,0)+ROUND(T33,0)+ROUND(Q33,0)-ROUND(#REF!,0)</f>
        <v>#REF!</v>
      </c>
      <c r="AA33" s="46"/>
      <c r="AC33" s="32">
        <f t="shared" ref="AC33:AC42" si="9">P33-J33-M33</f>
        <v>0</v>
      </c>
      <c r="AD33" s="38"/>
      <c r="AE33" s="32">
        <f t="shared" ref="AE33:AE42" si="10">Q33-K33-N33</f>
        <v>0</v>
      </c>
      <c r="AF33" s="32" t="e">
        <f>ROUND(N33,0)+ROUND(Z33,0)+ROUND(W33,0)-ROUND(#REF!,0)</f>
        <v>#REF!</v>
      </c>
      <c r="AG33" s="46"/>
    </row>
    <row r="34" spans="2:33">
      <c r="B34" s="237" t="s">
        <v>16</v>
      </c>
      <c r="C34" s="240">
        <f>ROUND('Group Qrtly'!C7,0)+ROUND('Group Qrtly'!E7,0)+ROUND('Group Qrtly'!F7,0)+ROUND('Group Qrtly'!G7,0)</f>
        <v>-3579</v>
      </c>
      <c r="D34" s="240">
        <f>ROUND('Group Qrtly'!H7,0)+ROUND('Group Qrtly'!J7,0)+ROUND('Group Qrtly'!K7,0)+ROUND('Group Qrtly'!L7,0)</f>
        <v>-1628</v>
      </c>
      <c r="E34" s="40"/>
      <c r="F34" s="40"/>
      <c r="G34" s="240">
        <f>ROUND('Barclays UK Qrtly'!C8,0)+ROUND('Barclays UK Qrtly'!E8,0)+ROUND('Barclays UK Qrtly'!F8,0)+ROUND('Barclays UK Qrtly'!G8,0)</f>
        <v>-1002</v>
      </c>
      <c r="H34" s="240">
        <f>ROUND('Barclays UK Qrtly'!H8,0)+ROUND('Barclays UK Qrtly'!J8,0)+ROUND('Barclays UK Qrtly'!K8,0)+ROUND('Barclays UK Qrtly'!L8,0)</f>
        <v>-816</v>
      </c>
      <c r="I34" s="65"/>
      <c r="J34" s="65">
        <f>ROUND('Barclays International Qrtly'!C65,0)+ROUND('Barclays International Qrtly'!E65,0)+ROUND('Barclays International Qrtly'!F65,0)+ROUND('Barclays International Qrtly'!G65,0)</f>
        <v>-829</v>
      </c>
      <c r="K34" s="65">
        <f>ROUND('Barclays International Qrtly'!H65,0)+ROUND('Barclays International Qrtly'!J65,0)+ROUND('Barclays International Qrtly'!K65,0)+ROUND('Barclays International Qrtly'!L65,0)</f>
        <v>-61</v>
      </c>
      <c r="L34" s="65"/>
      <c r="M34" s="65">
        <f>ROUND('Barclays International Qrtly'!C106,0)+ROUND('Barclays International Qrtly'!E106,0)+ROUND('Barclays International Qrtly'!F106,0)+ROUND('Barclays International Qrtly'!G106,0)</f>
        <v>-1708</v>
      </c>
      <c r="N34" s="65">
        <f>ROUND('Barclays International Qrtly'!H106,0)+ROUND('Barclays International Qrtly'!J106,0)+ROUND('Barclays International Qrtly'!K106,0)+ROUND('Barclays International Qrtly'!L106,0)</f>
        <v>-749</v>
      </c>
      <c r="O34" s="65"/>
      <c r="P34" s="240">
        <f>ROUND('Barclays International Qrtly'!C9,0)+ROUND('Barclays International Qrtly'!E9,0)+ROUND('Barclays International Qrtly'!F9,0)+ROUND('Barclays International Qrtly'!G9,0)</f>
        <v>-2537</v>
      </c>
      <c r="Q34" s="240">
        <f>ROUND('Barclays International Qrtly'!H9,0)+ROUND('Barclays International Qrtly'!J9,0)+ROUND('Barclays International Qrtly'!K9,0)+ROUND('Barclays International Qrtly'!L9,0)</f>
        <v>-810</v>
      </c>
      <c r="R34" s="65"/>
      <c r="S34" s="65">
        <f>ROUND('Head Office Qrtly'!C8,0)+ROUND('Head Office Qrtly'!E8,0)+ROUND('Head Office Qrtly'!F8,0)+ROUND('Head Office Qrtly'!G8,0)</f>
        <v>-40</v>
      </c>
      <c r="T34" s="65">
        <f>ROUND('Head Office Qrtly'!H8,0)+ROUND('Head Office Qrtly'!J8,0)+ROUND('Head Office Qrtly'!K8,0)+ROUND('Head Office Qrtly'!L8,0)</f>
        <v>-2</v>
      </c>
      <c r="V34" s="46"/>
      <c r="W34" s="32">
        <f t="shared" ref="W34:W39" si="11">ROUND(G34,0)+ROUND(S34,0)+ROUND(P34,0)-ROUND(C34,0)</f>
        <v>0</v>
      </c>
      <c r="X34" s="38"/>
      <c r="Y34" s="32">
        <f t="shared" si="8"/>
        <v>0</v>
      </c>
      <c r="Z34" s="32" t="e">
        <f>ROUND(H34,0)+ROUND(T34,0)+ROUND(Q34,0)-ROUND(#REF!,0)</f>
        <v>#REF!</v>
      </c>
      <c r="AA34" s="46"/>
      <c r="AC34" s="32">
        <f t="shared" si="9"/>
        <v>0</v>
      </c>
      <c r="AD34" s="38"/>
      <c r="AE34" s="32">
        <f t="shared" si="10"/>
        <v>0</v>
      </c>
      <c r="AF34" s="32" t="e">
        <f>ROUND(N34,0)+ROUND(Z34,0)+ROUND(W34,0)-ROUND(#REF!,0)</f>
        <v>#REF!</v>
      </c>
      <c r="AG34" s="46"/>
    </row>
    <row r="35" spans="2:33">
      <c r="B35" s="237" t="s">
        <v>17</v>
      </c>
      <c r="C35" s="240">
        <f>ROUND('Group Qrtly'!C8,0)+ROUND('Group Qrtly'!E8,0)+ROUND('Group Qrtly'!F8,0)+ROUND('Group Qrtly'!G8,0)</f>
        <v>19084</v>
      </c>
      <c r="D35" s="240">
        <f>ROUND('Group Qrtly'!H8,0)+ROUND('Group Qrtly'!J8,0)+ROUND('Group Qrtly'!K8,0)+ROUND('Group Qrtly'!L8,0)</f>
        <v>19402</v>
      </c>
      <c r="E35" s="40"/>
      <c r="F35" s="40"/>
      <c r="G35" s="240">
        <f>ROUND('Barclays UK Qrtly'!C9,0)+ROUND('Barclays UK Qrtly'!E9,0)+ROUND('Barclays UK Qrtly'!F9,0)+ROUND('Barclays UK Qrtly'!G9,0)</f>
        <v>6278</v>
      </c>
      <c r="H35" s="240">
        <f>ROUND('Barclays UK Qrtly'!H9,0)+ROUND('Barclays UK Qrtly'!J9,0)+ROUND('Barclays UK Qrtly'!K9,0)+ROUND('Barclays UK Qrtly'!L9,0)</f>
        <v>6556</v>
      </c>
      <c r="I35" s="65"/>
      <c r="J35" s="65">
        <f>ROUND('Barclays International Qrtly'!C66,0)+ROUND('Barclays International Qrtly'!E66,0)+ROUND('Barclays International Qrtly'!F66,0)+ROUND('Barclays International Qrtly'!G66,0)</f>
        <v>10514</v>
      </c>
      <c r="K35" s="65">
        <f>ROUND('Barclays International Qrtly'!H66,0)+ROUND('Barclays International Qrtly'!J66,0)+ROUND('Barclays International Qrtly'!K66,0)+ROUND('Barclays International Qrtly'!L66,0)</f>
        <v>9410</v>
      </c>
      <c r="L35" s="65"/>
      <c r="M35" s="65">
        <f>ROUND('Barclays International Qrtly'!C107,0)+ROUND('Barclays International Qrtly'!E107,0)+ROUND('Barclays International Qrtly'!F107,0)+ROUND('Barclays International Qrtly'!G107,0)</f>
        <v>2698</v>
      </c>
      <c r="N35" s="65">
        <f>ROUND('Barclays International Qrtly'!H107,0)+ROUND('Barclays International Qrtly'!J107,0)+ROUND('Barclays International Qrtly'!K107,0)+ROUND('Barclays International Qrtly'!L107,0)</f>
        <v>3568</v>
      </c>
      <c r="O35" s="65"/>
      <c r="P35" s="240">
        <f>ROUND('Barclays International Qrtly'!C10,0)+ROUND('Barclays International Qrtly'!E10,0)+ROUND('Barclays International Qrtly'!F10,0)+ROUND('Barclays International Qrtly'!G10,0)</f>
        <v>13212</v>
      </c>
      <c r="Q35" s="240">
        <f>ROUND('Barclays International Qrtly'!H10,0)+ROUND('Barclays International Qrtly'!J10,0)+ROUND('Barclays International Qrtly'!K10,0)+ROUND('Barclays International Qrtly'!L10,0)</f>
        <v>12978</v>
      </c>
      <c r="R35" s="65"/>
      <c r="S35" s="65">
        <f>ROUND('Head Office Qrtly'!C9,0)+ROUND('Head Office Qrtly'!E9,0)+ROUND('Head Office Qrtly'!F9,0)+ROUND('Head Office Qrtly'!G9,0)</f>
        <v>-406</v>
      </c>
      <c r="T35" s="65">
        <f>ROUND('Head Office Qrtly'!H9,0)+ROUND('Head Office Qrtly'!J9,0)+ROUND('Head Office Qrtly'!K9,0)+ROUND('Head Office Qrtly'!L9,0)</f>
        <v>-132</v>
      </c>
      <c r="V35" s="46"/>
      <c r="W35" s="32">
        <f t="shared" si="11"/>
        <v>0</v>
      </c>
      <c r="X35" s="38"/>
      <c r="Y35" s="32">
        <f t="shared" si="8"/>
        <v>0</v>
      </c>
      <c r="Z35" s="32" t="e">
        <f>ROUND(H35,0)+ROUND(T35,0)+ROUND(Q35,0)-ROUND(#REF!,0)</f>
        <v>#REF!</v>
      </c>
      <c r="AA35" s="46"/>
      <c r="AC35" s="32">
        <f t="shared" si="9"/>
        <v>0</v>
      </c>
      <c r="AD35" s="38"/>
      <c r="AE35" s="32">
        <f t="shared" si="10"/>
        <v>0</v>
      </c>
      <c r="AF35" s="32" t="e">
        <f>ROUND(N35,0)+ROUND(Z35,0)+ROUND(W35,0)-ROUND(#REF!,0)</f>
        <v>#REF!</v>
      </c>
      <c r="AG35" s="46"/>
    </row>
    <row r="36" spans="2:33">
      <c r="B36" s="185" t="s">
        <v>96</v>
      </c>
      <c r="C36" s="240">
        <f>ROUND('Group Qrtly'!C9,0)+ROUND('Group Qrtly'!E9,0)+ROUND('Group Qrtly'!F9,0)+ROUND('Group Qrtly'!G9,0)</f>
        <v>-13355</v>
      </c>
      <c r="D36" s="240">
        <f>ROUND('Group Qrtly'!H9,0)+ROUND('Group Qrtly'!J9,0)+ROUND('Group Qrtly'!K9,0)+ROUND('Group Qrtly'!L9,0)</f>
        <v>-13520</v>
      </c>
      <c r="E36" s="40"/>
      <c r="F36" s="40"/>
      <c r="G36" s="240">
        <f>ROUND('Barclays UK Qrtly'!C10,0)+ROUND('Barclays UK Qrtly'!E10,0)+ROUND('Barclays UK Qrtly'!F10,0)+ROUND('Barclays UK Qrtly'!G10,0)</f>
        <v>-4020</v>
      </c>
      <c r="H36" s="240">
        <f>ROUND('Barclays UK Qrtly'!H10,0)+ROUND('Barclays UK Qrtly'!J10,0)+ROUND('Barclays UK Qrtly'!K10,0)+ROUND('Barclays UK Qrtly'!L10,0)</f>
        <v>-4069</v>
      </c>
      <c r="I36" s="65"/>
      <c r="J36" s="65">
        <f>ROUND('Barclays International Qrtly'!C67,0)+ROUND('Barclays International Qrtly'!E67,0)+ROUND('Barclays International Qrtly'!F67,0)+ROUND('Barclays International Qrtly'!G67,0)</f>
        <v>-6953</v>
      </c>
      <c r="K36" s="65">
        <f>ROUND('Barclays International Qrtly'!H67,0)+ROUND('Barclays International Qrtly'!J67,0)+ROUND('Barclays International Qrtly'!K67,0)+ROUND('Barclays International Qrtly'!L67,0)</f>
        <v>-6939</v>
      </c>
      <c r="L36" s="65"/>
      <c r="M36" s="65">
        <f>ROUND('Barclays International Qrtly'!C108,0)+ROUND('Barclays International Qrtly'!E108,0)+ROUND('Barclays International Qrtly'!F108,0)+ROUND('Barclays International Qrtly'!G108,0)</f>
        <v>-2223</v>
      </c>
      <c r="N36" s="65">
        <f>ROUND('Barclays International Qrtly'!H108,0)+ROUND('Barclays International Qrtly'!J108,0)+ROUND('Barclays International Qrtly'!K108,0)+ROUND('Barclays International Qrtly'!L108,0)</f>
        <v>-2291</v>
      </c>
      <c r="O36" s="65"/>
      <c r="P36" s="240">
        <f>ROUND('Barclays International Qrtly'!C11,0)+ROUND('Barclays International Qrtly'!E11,0)+ROUND('Barclays International Qrtly'!F11,0)+ROUND('Barclays International Qrtly'!G11,0)</f>
        <v>-9176</v>
      </c>
      <c r="Q36" s="240">
        <f>ROUND('Barclays International Qrtly'!H11,0)+ROUND('Barclays International Qrtly'!J11,0)+ROUND('Barclays International Qrtly'!K11,0)+ROUND('Barclays International Qrtly'!L11,0)</f>
        <v>-9230</v>
      </c>
      <c r="R36" s="65"/>
      <c r="S36" s="65">
        <f>ROUND('Head Office Qrtly'!C10,0)+ROUND('Head Office Qrtly'!E10,0)+ROUND('Head Office Qrtly'!F10,0)+ROUND('Head Office Qrtly'!G10,0)</f>
        <v>-159</v>
      </c>
      <c r="T36" s="65">
        <f>ROUND('Head Office Qrtly'!H10,0)+ROUND('Head Office Qrtly'!J10,0)+ROUND('Head Office Qrtly'!K10,0)+ROUND('Head Office Qrtly'!L10,0)</f>
        <v>-221</v>
      </c>
      <c r="V36" s="46"/>
      <c r="W36" s="32">
        <f>ROUND(G36,0)+ROUND(S36,0)+ROUND(P36,0)-ROUND(C36,0)</f>
        <v>0</v>
      </c>
      <c r="X36" s="38"/>
      <c r="Y36" s="32">
        <f t="shared" si="8"/>
        <v>0</v>
      </c>
      <c r="Z36" s="32" t="e">
        <f>ROUND(H36,0)+ROUND(T36,0)+ROUND(Q36,0)-ROUND(#REF!,0)</f>
        <v>#REF!</v>
      </c>
      <c r="AA36" s="46"/>
      <c r="AC36" s="32">
        <f t="shared" si="9"/>
        <v>0</v>
      </c>
      <c r="AD36" s="38"/>
      <c r="AE36" s="32">
        <f t="shared" si="10"/>
        <v>0</v>
      </c>
      <c r="AF36" s="32" t="e">
        <f>ROUND(N36,0)+ROUND(Z36,0)+ROUND(W36,0)-ROUND(#REF!,0)</f>
        <v>#REF!</v>
      </c>
      <c r="AG36" s="46"/>
    </row>
    <row r="37" spans="2:33" s="695" customFormat="1">
      <c r="B37" s="732" t="s">
        <v>166</v>
      </c>
      <c r="C37" s="240">
        <f>ROUND('Group Qrtly'!C10,0)+ROUND('Group Qrtly'!E10,0)+ROUND('Group Qrtly'!F10,0)+ROUND('Group Qrtly'!G10,0)</f>
        <v>-226</v>
      </c>
      <c r="D37" s="240">
        <f>ROUND('Group Qrtly'!H10,0)+ROUND('Group Qrtly'!J10,0)+ROUND('Group Qrtly'!K10,0)+ROUND('Group Qrtly'!L10,0)</f>
        <v>-269</v>
      </c>
      <c r="E37" s="40"/>
      <c r="F37" s="40"/>
      <c r="G37" s="240">
        <f>ROUND('Barclays UK Qrtly'!C11,0)+ROUND('Barclays UK Qrtly'!E11,0)+ROUND('Barclays UK Qrtly'!F11,0)+ROUND('Barclays UK Qrtly'!G11,0)</f>
        <v>-41</v>
      </c>
      <c r="H37" s="240">
        <f>ROUND('Barclays UK Qrtly'!H11,0)+ROUND('Barclays UK Qrtly'!J11,0)+ROUND('Barclays UK Qrtly'!K11,0)+ROUND('Barclays UK Qrtly'!L11,0)</f>
        <v>-46</v>
      </c>
      <c r="I37" s="65"/>
      <c r="J37" s="65">
        <f>ROUND('Barclays International Qrtly'!C68,0)+ROUND('Barclays International Qrtly'!E68,0)+ROUND('Barclays International Qrtly'!F68,0)+ROUND('Barclays International Qrtly'!G68,0)</f>
        <v>-156</v>
      </c>
      <c r="K37" s="65">
        <f>ROUND('Barclays International Qrtly'!H68,0)+ROUND('Barclays International Qrtly'!J68,0)+ROUND('Barclays International Qrtly'!K68,0)+ROUND('Barclays International Qrtly'!L68,0)</f>
        <v>-188</v>
      </c>
      <c r="L37" s="65"/>
      <c r="M37" s="65">
        <f>ROUND('Barclays International Qrtly'!C109,0)+ROUND('Barclays International Qrtly'!E109,0)+ROUND('Barclays International Qrtly'!F109,0)+ROUND('Barclays International Qrtly'!G109,0)</f>
        <v>-18</v>
      </c>
      <c r="N37" s="65">
        <f>ROUND('Barclays International Qrtly'!H109,0)+ROUND('Barclays International Qrtly'!J109,0)+ROUND('Barclays International Qrtly'!K109,0)+ROUND('Barclays International Qrtly'!L109,0)</f>
        <v>-22</v>
      </c>
      <c r="O37" s="65"/>
      <c r="P37" s="240">
        <f>ROUND('Barclays International Qrtly'!C12,0)+ROUND('Barclays International Qrtly'!E12,0)+ROUND('Barclays International Qrtly'!F12,0)+ROUND('Barclays International Qrtly'!G12,0)</f>
        <v>-174</v>
      </c>
      <c r="Q37" s="240">
        <f>ROUND('Barclays International Qrtly'!H12,0)+ROUND('Barclays International Qrtly'!J12,0)+ROUND('Barclays International Qrtly'!K12,0)+ROUND('Barclays International Qrtly'!L12,0)</f>
        <v>-210</v>
      </c>
      <c r="R37" s="65"/>
      <c r="S37" s="65">
        <f>ROUND('Head Office Qrtly'!C11,0)+ROUND('Head Office Qrtly'!E11,0)+ROUND('Head Office Qrtly'!F11,0)+ROUND('Head Office Qrtly'!G11,0)</f>
        <v>-11</v>
      </c>
      <c r="T37" s="65">
        <f>ROUND('Head Office Qrtly'!H11,0)+ROUND('Head Office Qrtly'!J11,0)+ROUND('Head Office Qrtly'!K11,0)+ROUND('Head Office Qrtly'!L11,0)</f>
        <v>-13</v>
      </c>
      <c r="V37" s="46"/>
      <c r="W37" s="32">
        <f>ROUND(G37,0)+ROUND(S37,0)+ROUND(P37,0)-ROUND(C37,0)</f>
        <v>0</v>
      </c>
      <c r="X37" s="38"/>
      <c r="Y37" s="32"/>
      <c r="Z37" s="32"/>
      <c r="AA37" s="46"/>
      <c r="AC37" s="32">
        <f t="shared" si="9"/>
        <v>0</v>
      </c>
      <c r="AD37" s="38"/>
      <c r="AE37" s="32">
        <f t="shared" si="10"/>
        <v>0</v>
      </c>
      <c r="AF37" s="32"/>
      <c r="AG37" s="46"/>
    </row>
    <row r="38" spans="2:33">
      <c r="B38" s="237" t="s">
        <v>4</v>
      </c>
      <c r="C38" s="240">
        <f>ROUND('Group Qrtly'!C13,0)+ROUND('Group Qrtly'!E13,0)+ROUND('Group Qrtly'!F13,0)+ROUND('Group Qrtly'!G13,0)</f>
        <v>-1798</v>
      </c>
      <c r="D38" s="240">
        <f>ROUND('Group Qrtly'!H13,0)+ROUND('Group Qrtly'!J13,0)+ROUND('Group Qrtly'!K13,0)+ROUND('Group Qrtly'!L13,0)</f>
        <v>-307</v>
      </c>
      <c r="E38" s="40"/>
      <c r="F38" s="40"/>
      <c r="G38" s="240">
        <f>ROUND('Barclays UK Qrtly'!C13,0)+ROUND('Barclays UK Qrtly'!E13,0)+ROUND('Barclays UK Qrtly'!F13,0)+ROUND('Barclays UK Qrtly'!G13,0)</f>
        <v>-1584</v>
      </c>
      <c r="H38" s="240">
        <f>ROUND('Barclays UK Qrtly'!H13,0)+ROUND('Barclays UK Qrtly'!J13,0)+ROUND('Barclays UK Qrtly'!K13,0)+ROUND('Barclays UK Qrtly'!L13,0)</f>
        <v>-75</v>
      </c>
      <c r="I38" s="65"/>
      <c r="J38" s="65">
        <f>ROUND('Barclays International Qrtly'!C70,0)+ROUND('Barclays International Qrtly'!E70,0)+ROUND('Barclays International Qrtly'!F70,0)+ROUND('Barclays International Qrtly'!G70,0)</f>
        <v>-90</v>
      </c>
      <c r="K38" s="65" t="e">
        <f>ROUND('Barclays International Qrtly'!H70,0)+ROUND('Barclays International Qrtly'!J70,0)+ROUND('Barclays International Qrtly'!K70,0)+ROUND('Barclays International Qrtly'!L70,0)</f>
        <v>#VALUE!</v>
      </c>
      <c r="L38" s="65"/>
      <c r="M38" s="65">
        <f>ROUND('Barclays International Qrtly'!C111,0)+ROUND('Barclays International Qrtly'!E111,0)+ROUND('Barclays International Qrtly'!F111,0)+ROUND('Barclays International Qrtly'!G111,0)</f>
        <v>-7</v>
      </c>
      <c r="N38" s="65">
        <f>ROUND('Barclays International Qrtly'!H111,0)+ROUND('Barclays International Qrtly'!J111,0)+ROUND('Barclays International Qrtly'!K111,0)+ROUND('Barclays International Qrtly'!L111,0)</f>
        <v>-57</v>
      </c>
      <c r="O38" s="65"/>
      <c r="P38" s="240">
        <f>ROUND('Barclays International Qrtly'!C14,0)+ROUND('Barclays International Qrtly'!E14,0)+ROUND('Barclays International Qrtly'!F14,0)+ROUND('Barclays International Qrtly'!G14,0)</f>
        <v>-97</v>
      </c>
      <c r="Q38" s="240">
        <f>ROUND('Barclays International Qrtly'!H14,0)+ROUND('Barclays International Qrtly'!J14,0)+ROUND('Barclays International Qrtly'!K14,0)+ROUND('Barclays International Qrtly'!L14,0)</f>
        <v>-131</v>
      </c>
      <c r="R38" s="65"/>
      <c r="S38" s="65">
        <f>ROUND('Head Office Qrtly'!C14,0)+ROUND('Head Office Qrtly'!E14,0)+ROUND('Head Office Qrtly'!F14,0)+ROUND('Head Office Qrtly'!G14,0)</f>
        <v>-117</v>
      </c>
      <c r="T38" s="65">
        <f>ROUND('Head Office Qrtly'!H14,0)+ROUND('Head Office Qrtly'!J14,0)+ROUND('Head Office Qrtly'!K14,0)+ROUND('Head Office Qrtly'!L14,0)</f>
        <v>-101</v>
      </c>
      <c r="V38" s="46"/>
      <c r="W38" s="32">
        <f>ROUND(G38,0)+ROUND(S38,0)+ROUND(P38,0)-ROUND(C38,0)</f>
        <v>0</v>
      </c>
      <c r="X38" s="38"/>
      <c r="Y38" s="32">
        <f t="shared" si="8"/>
        <v>0</v>
      </c>
      <c r="Z38" s="32" t="e">
        <f>ROUND(H38,0)+ROUND(T38,0)+ROUND(Q38,0)-ROUND(#REF!,0)</f>
        <v>#REF!</v>
      </c>
      <c r="AA38" s="46"/>
      <c r="AC38" s="32">
        <f t="shared" si="9"/>
        <v>0</v>
      </c>
      <c r="AD38" s="38"/>
      <c r="AE38" s="32" t="e">
        <f t="shared" si="10"/>
        <v>#VALUE!</v>
      </c>
      <c r="AF38" s="32" t="e">
        <f>ROUND(N38,0)+ROUND(Z38,0)+ROUND(W38,0)-ROUND(#REF!,0)</f>
        <v>#REF!</v>
      </c>
      <c r="AG38" s="46"/>
    </row>
    <row r="39" spans="2:33">
      <c r="B39" s="237" t="s">
        <v>5</v>
      </c>
      <c r="C39" s="240">
        <f>ROUND('Group Qrtly'!C14,0)+ROUND('Group Qrtly'!E14,0)+ROUND('Group Qrtly'!F14,0)+ROUND('Group Qrtly'!G14,0)</f>
        <v>-15379</v>
      </c>
      <c r="D39" s="240">
        <f>ROUND('Group Qrtly'!H14,0)+ROUND('Group Qrtly'!J14,0)+ROUND('Group Qrtly'!K14,0)+ROUND('Group Qrtly'!L14,0)</f>
        <v>-14236</v>
      </c>
      <c r="E39" s="40"/>
      <c r="F39" s="40"/>
      <c r="G39" s="240">
        <f>ROUND('Barclays UK Qrtly'!C14,0)+ROUND('Barclays UK Qrtly'!E14,0)+ROUND('Barclays UK Qrtly'!F14,0)+ROUND('Barclays UK Qrtly'!G14,0)</f>
        <v>-5645</v>
      </c>
      <c r="H39" s="240">
        <f>ROUND('Barclays UK Qrtly'!H14,0)+ROUND('Barclays UK Qrtly'!J14,0)+ROUND('Barclays UK Qrtly'!K14,0)+ROUND('Barclays UK Qrtly'!L14,0)</f>
        <v>-4190</v>
      </c>
      <c r="I39" s="65"/>
      <c r="J39" s="65">
        <f>ROUND('Barclays International Qrtly'!C71,0)+ROUND('Barclays International Qrtly'!E71,0)+ROUND('Barclays International Qrtly'!F71,0)+ROUND('Barclays International Qrtly'!G71,0)</f>
        <v>-7199</v>
      </c>
      <c r="K39" s="65">
        <f>ROUND('Barclays International Qrtly'!H71,0)+ROUND('Barclays International Qrtly'!J71,0)+ROUND('Barclays International Qrtly'!K71,0)+ROUND('Barclays International Qrtly'!L71,0)</f>
        <v>-7201</v>
      </c>
      <c r="L39" s="65"/>
      <c r="M39" s="65">
        <f>ROUND('Barclays International Qrtly'!C112,0)+ROUND('Barclays International Qrtly'!E112,0)+ROUND('Barclays International Qrtly'!F112,0)+ROUND('Barclays International Qrtly'!G112,0)</f>
        <v>-2248</v>
      </c>
      <c r="N39" s="65">
        <f>ROUND('Barclays International Qrtly'!H112,0)+ROUND('Barclays International Qrtly'!J112,0)+ROUND('Barclays International Qrtly'!K112,0)+ROUND('Barclays International Qrtly'!L112,0)</f>
        <v>-2370</v>
      </c>
      <c r="O39" s="65"/>
      <c r="P39" s="240">
        <f>ROUND('Barclays International Qrtly'!C15,0)+ROUND('Barclays International Qrtly'!E15,0)+ROUND('Barclays International Qrtly'!F15,0)+ROUND('Barclays International Qrtly'!G15,0)</f>
        <v>-9447</v>
      </c>
      <c r="Q39" s="240">
        <f>ROUND('Barclays International Qrtly'!H15,0)+ROUND('Barclays International Qrtly'!J15,0)+ROUND('Barclays International Qrtly'!K15,0)+ROUND('Barclays International Qrtly'!L15,0)</f>
        <v>-9571</v>
      </c>
      <c r="R39" s="65"/>
      <c r="S39" s="65">
        <f>ROUND('Head Office Qrtly'!C15,0)+ROUND('Head Office Qrtly'!E15,0)+ROUND('Head Office Qrtly'!F15,0)+ROUND('Head Office Qrtly'!G15,0)</f>
        <v>-287</v>
      </c>
      <c r="T39" s="65">
        <f>ROUND('Head Office Qrtly'!H15,0)+ROUND('Head Office Qrtly'!J15,0)+ROUND('Head Office Qrtly'!K15,0)+ROUND('Head Office Qrtly'!L15,0)</f>
        <v>-475</v>
      </c>
      <c r="V39" s="46"/>
      <c r="W39" s="32">
        <f t="shared" si="11"/>
        <v>0</v>
      </c>
      <c r="X39" s="38"/>
      <c r="Y39" s="32">
        <f t="shared" si="8"/>
        <v>0</v>
      </c>
      <c r="Z39" s="32" t="e">
        <f>ROUND(H39,0)+ROUND(T39,0)+ROUND(Q39,0)-ROUND(#REF!,0)</f>
        <v>#REF!</v>
      </c>
      <c r="AA39" s="46"/>
      <c r="AC39" s="32">
        <f t="shared" si="9"/>
        <v>0</v>
      </c>
      <c r="AD39" s="38"/>
      <c r="AE39" s="32">
        <f t="shared" si="10"/>
        <v>0</v>
      </c>
      <c r="AF39" s="32" t="e">
        <f>ROUND(N39,0)+ROUND(Z39,0)+ROUND(W39,0)-ROUND(#REF!,0)</f>
        <v>#REF!</v>
      </c>
      <c r="AG39" s="46"/>
    </row>
    <row r="40" spans="2:33">
      <c r="B40" s="237" t="s">
        <v>94</v>
      </c>
      <c r="C40" s="240">
        <f>ROUND('Group Qrtly'!C15,0)+ROUND('Group Qrtly'!E15,0)+ROUND('Group Qrtly'!F15,0)+ROUND('Group Qrtly'!G15,0)</f>
        <v>82</v>
      </c>
      <c r="D40" s="240">
        <f>ROUND('Group Qrtly'!H15,0)+ROUND('Group Qrtly'!J15,0)+ROUND('Group Qrtly'!K15,0)+ROUND('Group Qrtly'!L15,0)</f>
        <v>47</v>
      </c>
      <c r="E40" s="40"/>
      <c r="F40" s="40"/>
      <c r="G40" s="240" t="e">
        <f>ROUND('Barclays UK Qrtly'!C15,0)+ROUND('Barclays UK Qrtly'!E15,0)+ROUND('Barclays UK Qrtly'!F15,0)+ROUND('Barclays UK Qrtly'!G15,0)</f>
        <v>#VALUE!</v>
      </c>
      <c r="H40" s="240">
        <f>ROUND('Barclays UK Qrtly'!H15,0)+ROUND('Barclays UK Qrtly'!J15,0)+ROUND('Barclays UK Qrtly'!K15,0)+ROUND('Barclays UK Qrtly'!L15,0)</f>
        <v>5</v>
      </c>
      <c r="I40" s="65"/>
      <c r="J40" s="65">
        <f>ROUND('Barclays International Qrtly'!C72,0)+ROUND('Barclays International Qrtly'!E72,0)+ROUND('Barclays International Qrtly'!F72,0)+ROUND('Barclays International Qrtly'!G72,0)</f>
        <v>16</v>
      </c>
      <c r="K40" s="65">
        <f>ROUND('Barclays International Qrtly'!H72,0)+ROUND('Barclays International Qrtly'!J72,0)+ROUND('Barclays International Qrtly'!K72,0)+ROUND('Barclays International Qrtly'!L72,0)</f>
        <v>36</v>
      </c>
      <c r="L40" s="65"/>
      <c r="M40" s="65">
        <f>ROUND('Barclays International Qrtly'!C113,0)+ROUND('Barclays International Qrtly'!E113,0)+ROUND('Barclays International Qrtly'!F113,0)+ROUND('Barclays International Qrtly'!G113,0)</f>
        <v>41</v>
      </c>
      <c r="N40" s="65">
        <f>ROUND('Barclays International Qrtly'!H113,0)+ROUND('Barclays International Qrtly'!J113,0)+ROUND('Barclays International Qrtly'!K113,0)+ROUND('Barclays International Qrtly'!L113,0)</f>
        <v>37</v>
      </c>
      <c r="O40" s="65"/>
      <c r="P40" s="240">
        <f>ROUND('Barclays International Qrtly'!C16,0)+ROUND('Barclays International Qrtly'!E16,0)+ROUND('Barclays International Qrtly'!F16,0)+ROUND('Barclays International Qrtly'!G16,0)</f>
        <v>57</v>
      </c>
      <c r="Q40" s="240">
        <f>ROUND('Barclays International Qrtly'!H16,0)+ROUND('Barclays International Qrtly'!J16,0)+ROUND('Barclays International Qrtly'!K16,0)+ROUND('Barclays International Qrtly'!L16,0)</f>
        <v>73</v>
      </c>
      <c r="R40" s="65"/>
      <c r="S40" s="65">
        <f>ROUND('Head Office Qrtly'!C16,0)+ROUND('Head Office Qrtly'!E16,0)+ROUND('Head Office Qrtly'!F16,0)+ROUND('Head Office Qrtly'!G16,0)</f>
        <v>26</v>
      </c>
      <c r="T40" s="65">
        <f>ROUND('Head Office Qrtly'!H16,0)+ROUND('Head Office Qrtly'!J16,0)+ROUND('Head Office Qrtly'!K16,0)+ROUND('Head Office Qrtly'!L16,0)</f>
        <v>-31</v>
      </c>
      <c r="V40" s="46"/>
      <c r="W40" s="32" t="e">
        <f>ROUND(G40,0)+ROUND(S40,0)+ROUND(P40,0)-ROUND(C40,0)</f>
        <v>#VALUE!</v>
      </c>
      <c r="X40" s="46"/>
      <c r="Y40" s="32">
        <f t="shared" ref="Y40:Y42" si="12">ROUND(H40,0)+ROUND(T40,0)+ROUND(Q40,0)-ROUND(D40,0)</f>
        <v>0</v>
      </c>
      <c r="Z40" s="46"/>
      <c r="AA40" s="46"/>
      <c r="AC40" s="32">
        <f t="shared" si="9"/>
        <v>0</v>
      </c>
      <c r="AD40" s="46"/>
      <c r="AE40" s="32">
        <f t="shared" si="10"/>
        <v>0</v>
      </c>
      <c r="AF40" s="46"/>
      <c r="AG40" s="46"/>
    </row>
    <row r="41" spans="2:33">
      <c r="B41" s="237" t="s">
        <v>8</v>
      </c>
      <c r="C41" s="240">
        <f>ROUND('Group Qrtly'!C16,0)+ROUND('Group Qrtly'!E16,0)+ROUND('Group Qrtly'!F16,0)+ROUND('Group Qrtly'!G16,0)</f>
        <v>3787</v>
      </c>
      <c r="D41" s="240">
        <f>ROUND('Group Qrtly'!H16,0)+ROUND('Group Qrtly'!J16,0)+ROUND('Group Qrtly'!K16,0)+ROUND('Group Qrtly'!L16,0)</f>
        <v>5213</v>
      </c>
      <c r="E41" s="40"/>
      <c r="G41" s="240">
        <f>ROUND('Barclays UK Qrtly'!C16,0)+ROUND('Barclays UK Qrtly'!E16,0)+ROUND('Barclays UK Qrtly'!F16,0)+ROUND('Barclays UK Qrtly'!G16,0)</f>
        <v>632</v>
      </c>
      <c r="H41" s="240">
        <f>ROUND('Barclays UK Qrtly'!H16,0)+ROUND('Barclays UK Qrtly'!J16,0)+ROUND('Barclays UK Qrtly'!K16,0)+ROUND('Barclays UK Qrtly'!L16,0)</f>
        <v>2371</v>
      </c>
      <c r="I41" s="236"/>
      <c r="J41" s="65">
        <f>ROUND('Barclays International Qrtly'!C73,0)+ROUND('Barclays International Qrtly'!E73,0)+ROUND('Barclays International Qrtly'!F73,0)+ROUND('Barclays International Qrtly'!G73,0)</f>
        <v>3331</v>
      </c>
      <c r="K41" s="65">
        <f>ROUND('Barclays International Qrtly'!H73,0)+ROUND('Barclays International Qrtly'!J73,0)+ROUND('Barclays International Qrtly'!K73,0)+ROUND('Barclays International Qrtly'!L73,0)</f>
        <v>2245</v>
      </c>
      <c r="L41" s="486"/>
      <c r="M41" s="65">
        <f>ROUND('Barclays International Qrtly'!C114,0)+ROUND('Barclays International Qrtly'!E114,0)+ROUND('Barclays International Qrtly'!F114,0)+ROUND('Barclays International Qrtly'!G114,0)</f>
        <v>491</v>
      </c>
      <c r="N41" s="65">
        <f>ROUND('Barclays International Qrtly'!H114,0)+ROUND('Barclays International Qrtly'!J114,0)+ROUND('Barclays International Qrtly'!K114,0)+ROUND('Barclays International Qrtly'!L114,0)</f>
        <v>1235</v>
      </c>
      <c r="O41" s="486"/>
      <c r="P41" s="240">
        <f>ROUND('Barclays International Qrtly'!C17,0)+ROUND('Barclays International Qrtly'!E17,0)+ROUND('Barclays International Qrtly'!F17,0)+ROUND('Barclays International Qrtly'!G17,0)</f>
        <v>3822</v>
      </c>
      <c r="Q41" s="240">
        <f>ROUND('Barclays International Qrtly'!H17,0)+ROUND('Barclays International Qrtly'!J17,0)+ROUND('Barclays International Qrtly'!K17,0)+ROUND('Barclays International Qrtly'!L17,0)</f>
        <v>3480</v>
      </c>
      <c r="R41" s="236"/>
      <c r="S41" s="65">
        <f>ROUND('Head Office Qrtly'!C17,0)+ROUND('Head Office Qrtly'!E17,0)+ROUND('Head Office Qrtly'!F17,0)+ROUND('Head Office Qrtly'!G17,0)</f>
        <v>-667</v>
      </c>
      <c r="T41" s="65">
        <f>ROUND('Head Office Qrtly'!H17,0)+ROUND('Head Office Qrtly'!J17,0)+ROUND('Head Office Qrtly'!K17,0)+ROUND('Head Office Qrtly'!L17,0)</f>
        <v>-638</v>
      </c>
      <c r="V41" s="46"/>
      <c r="W41" s="32">
        <f t="shared" ref="W41:W42" si="13">ROUND(G41,0)+ROUND(S41,0)+ROUND(P41,0)-ROUND(C41,0)</f>
        <v>0</v>
      </c>
      <c r="X41" s="46"/>
      <c r="Y41" s="32">
        <f t="shared" si="12"/>
        <v>0</v>
      </c>
      <c r="Z41" s="32" t="e">
        <f>ROUND(H41,-2)+ROUND(T41,-2)+ROUND(Q41,-2)-ROUND(#REF!,-2)</f>
        <v>#REF!</v>
      </c>
      <c r="AA41" s="46"/>
      <c r="AC41" s="32">
        <f t="shared" si="9"/>
        <v>0</v>
      </c>
      <c r="AD41" s="46"/>
      <c r="AE41" s="32">
        <f t="shared" si="10"/>
        <v>0</v>
      </c>
      <c r="AF41" s="32" t="e">
        <f>ROUND(N41,-2)+ROUND(Z41,-2)+ROUND(W41,-2)-ROUND(#REF!,-2)</f>
        <v>#REF!</v>
      </c>
      <c r="AG41" s="46"/>
    </row>
    <row r="42" spans="2:33">
      <c r="B42" s="237" t="s">
        <v>88</v>
      </c>
      <c r="C42" s="240">
        <f>ROUND('Group Qrtly'!C21,0)+ROUND('Group Qrtly'!E21,0)+ROUND('Group Qrtly'!F21,0)+ROUND('Group Qrtly'!G21,0)</f>
        <v>2028</v>
      </c>
      <c r="D42" s="240">
        <f>ROUND('Group Qrtly'!H21,0)+ROUND('Group Qrtly'!J21,0)+ROUND('Group Qrtly'!K21,0)+ROUND('Group Qrtly'!L21,0)</f>
        <v>3353</v>
      </c>
      <c r="E42" s="40"/>
      <c r="G42" s="240">
        <f>ROUND('Barclays UK Qrtly'!C17,0)+ROUND('Barclays UK Qrtly'!E17,0)+ROUND('Barclays UK Qrtly'!F17,0)+ROUND('Barclays UK Qrtly'!G17,0)</f>
        <v>34</v>
      </c>
      <c r="H42" s="240">
        <f>ROUND('Barclays UK Qrtly'!H17,0)+ROUND('Barclays UK Qrtly'!J17,0)+ROUND('Barclays UK Qrtly'!K17,0)+ROUND('Barclays UK Qrtly'!L17,0)</f>
        <v>1646</v>
      </c>
      <c r="I42" s="236"/>
      <c r="J42" s="65">
        <f>ROUND('Barclays International Qrtly'!C74,0)+ROUND('Barclays International Qrtly'!E74,0)+ROUND('Barclays International Qrtly'!F74,0)+ROUND('Barclays International Qrtly'!G74,0)</f>
        <v>2218</v>
      </c>
      <c r="K42" s="65">
        <f>ROUND('Barclays International Qrtly'!H74,0)+ROUND('Barclays International Qrtly'!J74,0)+ROUND('Barclays International Qrtly'!K74,0)+ROUND('Barclays International Qrtly'!L74,0)</f>
        <v>1529</v>
      </c>
      <c r="L42" s="486"/>
      <c r="M42" s="65">
        <f>ROUND('Barclays International Qrtly'!C115,0)+ROUND('Barclays International Qrtly'!E115,0)+ROUND('Barclays International Qrtly'!F115,0)+ROUND('Barclays International Qrtly'!G115,0)</f>
        <v>339</v>
      </c>
      <c r="N42" s="65">
        <f>ROUND('Barclays International Qrtly'!H115,0)+ROUND('Barclays International Qrtly'!J115,0)+ROUND('Barclays International Qrtly'!K115,0)+ROUND('Barclays International Qrtly'!L115,0)</f>
        <v>851</v>
      </c>
      <c r="O42" s="486"/>
      <c r="P42" s="240">
        <f>ROUND('Barclays International Qrtly'!C18,0)+ROUND('Barclays International Qrtly'!E18,0)+ROUND('Barclays International Qrtly'!F18,0)+ROUND('Barclays International Qrtly'!G18,0)</f>
        <v>2557</v>
      </c>
      <c r="Q42" s="240">
        <f>ROUND('Barclays International Qrtly'!H18,0)+ROUND('Barclays International Qrtly'!J18,0)+ROUND('Barclays International Qrtly'!K18,0)+ROUND('Barclays International Qrtly'!L18,0)</f>
        <v>2380</v>
      </c>
      <c r="R42" s="236"/>
      <c r="S42" s="65">
        <f>ROUND('Head Office Qrtly'!C18,0)+ROUND('Head Office Qrtly'!E18,0)+ROUND('Head Office Qrtly'!F18,0)+ROUND('Head Office Qrtly'!G18,0)</f>
        <v>-563</v>
      </c>
      <c r="T42" s="65">
        <f>ROUND('Head Office Qrtly'!H18,0)+ROUND('Head Office Qrtly'!J18,0)+ROUND('Head Office Qrtly'!K18,0)+ROUND('Head Office Qrtly'!L18,0)</f>
        <v>-673</v>
      </c>
      <c r="V42" s="46"/>
      <c r="W42" s="32">
        <f t="shared" si="13"/>
        <v>0</v>
      </c>
      <c r="X42" s="46"/>
      <c r="Y42" s="32">
        <f t="shared" si="12"/>
        <v>0</v>
      </c>
      <c r="Z42" s="46"/>
      <c r="AA42" s="46"/>
      <c r="AC42" s="32">
        <f t="shared" si="9"/>
        <v>0</v>
      </c>
      <c r="AD42" s="46"/>
      <c r="AE42" s="32">
        <f t="shared" si="10"/>
        <v>0</v>
      </c>
      <c r="AF42" s="46"/>
      <c r="AG42" s="46"/>
    </row>
    <row r="43" spans="2:33">
      <c r="B43" s="237"/>
      <c r="C43" s="240"/>
      <c r="D43" s="240"/>
      <c r="E43" s="40"/>
      <c r="G43" s="245"/>
      <c r="H43" s="245"/>
      <c r="I43" s="236"/>
      <c r="J43" s="486"/>
      <c r="K43" s="486"/>
      <c r="L43" s="486"/>
      <c r="M43" s="486"/>
      <c r="N43" s="486"/>
      <c r="O43" s="486"/>
      <c r="P43" s="244"/>
      <c r="Q43" s="244"/>
      <c r="R43" s="236"/>
      <c r="S43" s="236"/>
      <c r="T43" s="236"/>
      <c r="V43" s="46"/>
      <c r="W43" s="46"/>
      <c r="X43" s="46"/>
      <c r="Y43" s="46"/>
      <c r="Z43" s="46"/>
      <c r="AA43" s="46"/>
      <c r="AC43" s="46"/>
      <c r="AD43" s="46"/>
      <c r="AE43" s="46"/>
      <c r="AF43" s="46"/>
      <c r="AG43" s="46"/>
    </row>
    <row r="44" spans="2:33">
      <c r="B44" s="237" t="s">
        <v>6</v>
      </c>
      <c r="C44" s="241">
        <f>('Group Qrtly'!C25+'Group Qrtly'!E25+'Group Qrtly'!F25+'Group Qrtly'!G25)/4</f>
        <v>46995.032630937152</v>
      </c>
      <c r="D44" s="241">
        <f>('Group Qrtly'!H25+'Group Qrtly'!J25+'Group Qrtly'!K25+'Group Qrtly'!L25)/4</f>
        <v>44423.090409996272</v>
      </c>
      <c r="E44" s="29"/>
      <c r="F44" s="29"/>
      <c r="G44" s="241">
        <f>('Barclays UK Qrtly'!C29+'Barclays UK Qrtly'!E29+'Barclays UK Qrtly'!F29+'Barclays UK Qrtly'!G29)/4</f>
        <v>10374.567932977619</v>
      </c>
      <c r="H44" s="241">
        <f>('Barclays UK Qrtly'!H29+'Barclays UK Qrtly'!J29+'Barclays UK Qrtly'!K29+'Barclays UK Qrtly'!L29)/4</f>
        <v>10167.483795069107</v>
      </c>
      <c r="I44" s="31"/>
      <c r="J44" s="31">
        <f>('Barclays International Qrtly'!C90+'Barclays International Qrtly'!E90+'Barclays International Qrtly'!F90+'Barclays International Qrtly'!G90)/4</f>
        <v>26433.912715431296</v>
      </c>
      <c r="K44" s="31">
        <f>('Barclays International Qrtly'!H90+'Barclays International Qrtly'!J90+'Barclays International Qrtly'!K90+'Barclays International Qrtly'!L90)/4</f>
        <v>25844.157098117674</v>
      </c>
      <c r="L44" s="31"/>
      <c r="M44" s="31">
        <f>('Barclays International Qrtly'!C125+'Barclays International Qrtly'!E125+'Barclays International Qrtly'!F125+'Barclays International Qrtly'!G125)/4</f>
        <v>5227.6166603237143</v>
      </c>
      <c r="N44" s="31">
        <f>('Barclays International Qrtly'!H125+'Barclays International Qrtly'!J125+'Barclays International Qrtly'!K125+'Barclays International Qrtly'!L125)/4</f>
        <v>5199.484006375149</v>
      </c>
      <c r="O44" s="31"/>
      <c r="P44" s="241">
        <f>('Barclays International Qrtly'!C36+'Barclays International Qrtly'!E36+'Barclays International Qrtly'!F36+'Barclays International Qrtly'!G36)/4</f>
        <v>31624.770405078161</v>
      </c>
      <c r="Q44" s="241">
        <f>('Barclays International Qrtly'!H36+'Barclays International Qrtly'!J36+'Barclays International Qrtly'!K36+'Barclays International Qrtly'!L36)/4</f>
        <v>31068.641104492821</v>
      </c>
      <c r="R44" s="31"/>
      <c r="S44" s="31">
        <f>('Head Office Qrtly'!C26+'Head Office Qrtly'!E26+'Head Office Qrtly'!F26+'Head Office Qrtly'!G26)/4</f>
        <v>5006.9442928813833</v>
      </c>
      <c r="T44" s="31">
        <f>('Head Office Qrtly'!H26+'Head Office Qrtly'!J26+'Head Office Qrtly'!K26+'Head Office Qrtly'!L26)/4</f>
        <v>3157.1485007875544</v>
      </c>
      <c r="V44" s="46"/>
      <c r="W44" s="152">
        <f>ROUND(G44,-2)+ROUND(S44,-2)+ROUND(P44,-2)-ROUND(C44,-2)</f>
        <v>0</v>
      </c>
      <c r="X44" s="38"/>
      <c r="Y44" s="32">
        <f>ROUND(H44,-1)+ROUND(T44,-1)+ROUND(Q44,-1)-ROUND(D44,-1)</f>
        <v>-20</v>
      </c>
      <c r="Z44" s="46"/>
      <c r="AA44" s="46"/>
      <c r="AC44" s="197">
        <f>P44-J44-M44</f>
        <v>-36.758970676848548</v>
      </c>
      <c r="AD44" s="38"/>
      <c r="AE44" s="197">
        <f>Q44-K44-N44</f>
        <v>24.999999999998181</v>
      </c>
      <c r="AF44" s="46"/>
      <c r="AG44" s="46"/>
    </row>
    <row r="45" spans="2:33">
      <c r="B45" s="237" t="s">
        <v>11</v>
      </c>
      <c r="C45" s="242">
        <f>'Group Qrtly'!C28+'Group Qrtly'!E28+'Group Qrtly'!F28+'Group Qrtly'!G28</f>
        <v>11.77012877156144</v>
      </c>
      <c r="D45" s="242"/>
      <c r="E45" s="234"/>
      <c r="F45" s="234"/>
      <c r="G45" s="242"/>
      <c r="H45" s="242"/>
      <c r="I45" s="235"/>
      <c r="J45" s="242"/>
      <c r="K45" s="242"/>
      <c r="L45" s="287"/>
      <c r="M45" s="242"/>
      <c r="N45" s="242"/>
      <c r="O45" s="287"/>
      <c r="P45" s="242"/>
      <c r="Q45" s="242"/>
      <c r="R45" s="235"/>
      <c r="S45" s="235"/>
      <c r="T45" s="234"/>
      <c r="V45" s="46"/>
      <c r="W45" s="46"/>
      <c r="X45" s="46"/>
      <c r="Y45" s="46"/>
      <c r="Z45" s="46"/>
      <c r="AA45" s="46"/>
      <c r="AC45" s="46"/>
      <c r="AD45" s="46"/>
      <c r="AE45" s="46"/>
      <c r="AF45" s="46"/>
      <c r="AG45" s="46"/>
    </row>
    <row r="46" spans="2:33">
      <c r="B46" s="237"/>
      <c r="C46" s="240"/>
      <c r="D46" s="240"/>
      <c r="E46" s="40"/>
      <c r="G46" s="245"/>
      <c r="H46" s="245"/>
      <c r="I46" s="236"/>
      <c r="J46" s="486"/>
      <c r="K46" s="486"/>
      <c r="L46" s="486"/>
      <c r="M46" s="486"/>
      <c r="N46" s="486"/>
      <c r="O46" s="486"/>
      <c r="P46" s="244"/>
      <c r="Q46" s="245"/>
      <c r="R46" s="236"/>
      <c r="S46" s="236"/>
      <c r="T46" s="236"/>
      <c r="V46" s="46"/>
      <c r="W46" s="46"/>
      <c r="X46" s="38"/>
      <c r="Y46" s="46"/>
      <c r="Z46" s="46"/>
      <c r="AA46" s="46"/>
      <c r="AC46" s="46"/>
      <c r="AD46" s="38"/>
      <c r="AE46" s="46"/>
      <c r="AF46" s="46"/>
      <c r="AG46" s="46"/>
    </row>
    <row r="47" spans="2:33">
      <c r="B47" s="237" t="s">
        <v>45</v>
      </c>
      <c r="C47" s="240">
        <f>ROUND('Group Qrtly'!C31,0)+ROUND('Group Qrtly'!E31,0)+ROUND('Group Qrtly'!F31,0)+ROUND('Group Qrtly'!G31,0)</f>
        <v>5585</v>
      </c>
      <c r="D47" s="240">
        <f>ROUND('Group Qrtly'!H31,0)+ROUND('Group Qrtly'!J31,0)+ROUND('Group Qrtly'!K31,0)+ROUND('Group Qrtly'!L31,0)</f>
        <v>5520</v>
      </c>
      <c r="E47" s="40"/>
      <c r="F47" s="40"/>
      <c r="G47" s="240">
        <f>ROUND('Barclays UK Qrtly'!C35,0)+ROUND('Barclays UK Qrtly'!E35,0)+ROUND('Barclays UK Qrtly'!F35,0)+ROUND('Barclays UK Qrtly'!G35,0)</f>
        <v>2216</v>
      </c>
      <c r="H47" s="240">
        <f>ROUND('Barclays UK Qrtly'!H35,0)+ROUND('Barclays UK Qrtly'!J35,0)+ROUND('Barclays UK Qrtly'!K35,0)+ROUND('Barclays UK Qrtly'!L35,0)</f>
        <v>2446</v>
      </c>
      <c r="I47" s="65"/>
      <c r="J47" s="65">
        <f>ROUND('Barclays International Qrtly'!C94,0)+ROUND('Barclays International Qrtly'!E94,0)+ROUND('Barclays International Qrtly'!F94,0)+ROUND('Barclays International Qrtly'!G94,0)</f>
        <v>3421</v>
      </c>
      <c r="K47" s="65">
        <f>ROUND('Barclays International Qrtly'!H94,0)+ROUND('Barclays International Qrtly'!J94,0)+ROUND('Barclays International Qrtly'!K94,0)+ROUND('Barclays International Qrtly'!L94,0)</f>
        <v>2319</v>
      </c>
      <c r="L47" s="65"/>
      <c r="M47" s="65">
        <f>ROUND('Barclays International Qrtly'!C130,0)+ROUND('Barclays International Qrtly'!E130,0)+ROUND('Barclays International Qrtly'!F130,0)+ROUND('Barclays International Qrtly'!G130,0)</f>
        <v>498</v>
      </c>
      <c r="N47" s="65">
        <f>ROUND('Barclays International Qrtly'!H130,0)+ROUND('Barclays International Qrtly'!J130,0)+ROUND('Barclays International Qrtly'!K130,0)+ROUND('Barclays International Qrtly'!L130,0)</f>
        <v>1292</v>
      </c>
      <c r="O47" s="65"/>
      <c r="P47" s="240">
        <f>ROUND('Barclays International Qrtly'!C42,0)+ROUND('Barclays International Qrtly'!E42,0)+ROUND('Barclays International Qrtly'!F42,0)+ROUND('Barclays International Qrtly'!G42,0)</f>
        <v>3919</v>
      </c>
      <c r="Q47" s="240">
        <f>ROUND('Barclays International Qrtly'!H42,0)+ROUND('Barclays International Qrtly'!J42,0)+ROUND('Barclays International Qrtly'!K42,0)+ROUND('Barclays International Qrtly'!L42,0)</f>
        <v>3611</v>
      </c>
      <c r="R47" s="65"/>
      <c r="S47" s="65">
        <f>ROUND('Head Office Qrtly'!C29,0)+ROUND('Head Office Qrtly'!E29,0)+ROUND('Head Office Qrtly'!F29,0)+ROUND('Head Office Qrtly'!G29,0)</f>
        <v>-550</v>
      </c>
      <c r="T47" s="65">
        <f>ROUND('Head Office Qrtly'!H29,0)+ROUND('Head Office Qrtly'!J29,0)+ROUND('Head Office Qrtly'!K29,0)+ROUND('Head Office Qrtly'!L29,0)</f>
        <v>-537</v>
      </c>
      <c r="V47" s="46"/>
      <c r="W47" s="32">
        <f>ROUND(G47,0)+ROUND(S47,0)+ROUND(P47,0)-ROUND(C47,0)</f>
        <v>0</v>
      </c>
      <c r="X47" s="46"/>
      <c r="Y47" s="32">
        <f t="shared" ref="Y47" si="14">ROUND(H47,0)+ROUND(T47,0)+ROUND(Q47,0)-ROUND(D47,0)</f>
        <v>0</v>
      </c>
      <c r="Z47" s="46"/>
      <c r="AA47" s="46"/>
      <c r="AC47" s="32">
        <f t="shared" ref="AC47:AC49" si="15">P47-J47-M47</f>
        <v>0</v>
      </c>
      <c r="AD47" s="46"/>
      <c r="AE47" s="32">
        <f t="shared" ref="AE47:AE49" si="16">Q47-K47-N47</f>
        <v>0</v>
      </c>
      <c r="AF47" s="46"/>
      <c r="AG47" s="46"/>
    </row>
    <row r="48" spans="2:33">
      <c r="B48" s="237" t="s">
        <v>39</v>
      </c>
      <c r="C48" s="240">
        <f>ROUND('Group Qrtly'!C32,0)+ROUND('Group Qrtly'!E32,0)+ROUND('Group Qrtly'!F32,0)+ROUND('Group Qrtly'!G32,0)</f>
        <v>3714</v>
      </c>
      <c r="D48" s="240">
        <f>ROUND('Group Qrtly'!H32,0)+ROUND('Group Qrtly'!J32,0)+ROUND('Group Qrtly'!K32,0)+ROUND('Group Qrtly'!L32,0)</f>
        <v>3605</v>
      </c>
      <c r="E48" s="40"/>
      <c r="F48" s="40"/>
      <c r="G48" s="240">
        <f>ROUND('Barclays UK Qrtly'!C36,0)+ROUND('Barclays UK Qrtly'!E36,0)+ROUND('Barclays UK Qrtly'!F36,0)+ROUND('Barclays UK Qrtly'!G36,0)</f>
        <v>1567</v>
      </c>
      <c r="H48" s="240">
        <f>ROUND('Barclays UK Qrtly'!H36,0)+ROUND('Barclays UK Qrtly'!J36,0)+ROUND('Barclays UK Qrtly'!K36,0)+ROUND('Barclays UK Qrtly'!L36,0)</f>
        <v>1709</v>
      </c>
      <c r="I48" s="65"/>
      <c r="J48" s="65">
        <f>ROUND('Barclays International Qrtly'!C95,0)+ROUND('Barclays International Qrtly'!E95,0)+ROUND('Barclays International Qrtly'!F95,0)+ROUND('Barclays International Qrtly'!G95,0)</f>
        <v>2286</v>
      </c>
      <c r="K48" s="65">
        <f>ROUND('Barclays International Qrtly'!H95,0)+ROUND('Barclays International Qrtly'!J95,0)+ROUND('Barclays International Qrtly'!K95,0)+ROUND('Barclays International Qrtly'!L95,0)</f>
        <v>1597</v>
      </c>
      <c r="L48" s="65"/>
      <c r="M48" s="65">
        <f>ROUND('Barclays International Qrtly'!C131,0)+ROUND('Barclays International Qrtly'!E131,0)+ROUND('Barclays International Qrtly'!F131,0)+ROUND('Barclays International Qrtly'!G131,0)</f>
        <v>345</v>
      </c>
      <c r="N48" s="65">
        <f>ROUND('Barclays International Qrtly'!H131,0)+ROUND('Barclays International Qrtly'!J131,0)+ROUND('Barclays International Qrtly'!K131,0)+ROUND('Barclays International Qrtly'!L131,0)</f>
        <v>893</v>
      </c>
      <c r="O48" s="65"/>
      <c r="P48" s="240">
        <f>ROUND('Barclays International Qrtly'!C43,0)+ROUND('Barclays International Qrtly'!E43,0)+ROUND('Barclays International Qrtly'!F43,0)+ROUND('Barclays International Qrtly'!G43,0)</f>
        <v>2631</v>
      </c>
      <c r="Q48" s="240">
        <f>ROUND('Barclays International Qrtly'!H43,0)+ROUND('Barclays International Qrtly'!J43,0)+ROUND('Barclays International Qrtly'!K43,0)+ROUND('Barclays International Qrtly'!L43,0)</f>
        <v>2490</v>
      </c>
      <c r="R48" s="65"/>
      <c r="S48" s="65">
        <f>ROUND('Head Office Qrtly'!C30,0)+ROUND('Head Office Qrtly'!E30,0)+ROUND('Head Office Qrtly'!F30,0)+ROUND('Head Office Qrtly'!G30,0)</f>
        <v>-484</v>
      </c>
      <c r="T48" s="65">
        <f>ROUND('Head Office Qrtly'!H30,0)+ROUND('Head Office Qrtly'!J30,0)+ROUND('Head Office Qrtly'!K30,0)+ROUND('Head Office Qrtly'!L30,0)</f>
        <v>-594</v>
      </c>
      <c r="V48" s="46"/>
      <c r="W48" s="49">
        <f>ROUND(G76,0)+ROUND(S76,0)+ROUND(P76,0)-ROUND(C76,0)</f>
        <v>5283</v>
      </c>
      <c r="X48" s="155"/>
      <c r="Y48" s="49">
        <f>ROUND(H76,0)+ROUND(T76,0)+ROUND(Q76,0)-ROUND(D76,0)</f>
        <v>4157</v>
      </c>
      <c r="Z48" s="32" t="e">
        <f>ROUND(H76,-3)+ROUND(T76,-3)+ROUND(Q76,-3)-ROUND(#REF!,-3)</f>
        <v>#REF!</v>
      </c>
      <c r="AA48" s="46"/>
      <c r="AC48" s="32">
        <f t="shared" si="15"/>
        <v>0</v>
      </c>
      <c r="AD48" s="155"/>
      <c r="AE48" s="32">
        <f t="shared" si="16"/>
        <v>0</v>
      </c>
      <c r="AF48" s="32" t="e">
        <f>ROUND(N76,-3)+ROUND(Z76,-3)+ROUND(W76,-3)-ROUND(#REF!,-3)</f>
        <v>#REF!</v>
      </c>
      <c r="AG48" s="46"/>
    </row>
    <row r="49" spans="2:33">
      <c r="B49" s="237" t="s">
        <v>40</v>
      </c>
      <c r="C49" s="243">
        <f>ROUND('Group performance measures excl'!B21,0)+ROUND('Group performance measures excl'!D21,0)+ROUND('Group performance measures excl'!E21,0)+ROUND('Group performance measures excl'!F21,0)</f>
        <v>1686</v>
      </c>
      <c r="D49" s="243">
        <f>ROUND('Group performance measures excl'!G21,0)+ROUND('Group performance measures excl'!I21,0)+ROUND('Group performance measures excl'!J21,0)+ROUND('Group performance measures excl'!K21,0)</f>
        <v>252</v>
      </c>
      <c r="E49" s="29"/>
      <c r="F49" s="29"/>
      <c r="G49" s="245">
        <f>ROUND('BUK performance measures excl'!B19,0)+ROUND('BUK performance measures excl'!D19,0)+ROUND('BUK performance measures excl'!E19,0)+ROUND('BUK performance measures excl'!F19,0)</f>
        <v>1533</v>
      </c>
      <c r="H49" s="245">
        <f>ROUND('BUK performance measures excl'!G19,0)+ROUND('BUK performance measures excl'!I19,0)+ROUND('BUK performance measures excl'!J19,0)+ROUND('BUK performance measures excl'!K19,0)</f>
        <v>63</v>
      </c>
      <c r="I49" s="236"/>
      <c r="J49" s="727">
        <f>ROUND('BI performance measures excl'!B48,0)+ROUND('BI performance measures excl'!D48,0)+ROUND('BI performance measures excl'!E48,0)+ROUND('BI performance measures excl'!F48,0)</f>
        <v>68</v>
      </c>
      <c r="K49" s="486">
        <f>ROUND('BI performance measures excl'!G48,0)+ROUND('BI performance measures excl'!I48,0)+ROUND('BI performance measures excl'!J48,0)+ROUND('BI performance measures excl'!K48,0)</f>
        <v>68</v>
      </c>
      <c r="L49" s="486"/>
      <c r="M49" s="486">
        <f>ROUND('BI performance measures excl'!B77,0)+ROUND('BI performance measures excl'!D77,0)+ROUND('BI performance measures excl'!E77,0)+ROUND('BI performance measures excl'!F77,0)</f>
        <v>6</v>
      </c>
      <c r="N49" s="486">
        <f>ROUND('BI performance measures excl'!G77,0)+ROUND('BI performance measures excl'!I77,0)+ROUND('BI performance measures excl'!J77,0)+ROUND('BI performance measures excl'!K77,0)</f>
        <v>42</v>
      </c>
      <c r="O49" s="486"/>
      <c r="P49" s="243">
        <f>ROUND('BI performance measures excl'!B19,0)+ROUND('BI performance measures excl'!D19,0)+ROUND('BI performance measures excl'!E19,0)+ROUND('BI performance measures excl'!F19,0)</f>
        <v>74</v>
      </c>
      <c r="Q49" s="245">
        <f>ROUND('BI performance measures excl'!G19,0)+ROUND('BI performance measures excl'!I19,0)+ROUND('BI performance measures excl'!J19,0)+ROUND('BI performance measures excl'!K19,0)</f>
        <v>110</v>
      </c>
      <c r="R49" s="236"/>
      <c r="S49" s="236">
        <f>ROUND('HO performance measures excl'!B10,0)+ROUND('HO performance measures excl'!D10,0)+ROUND('HO performance measures excl'!E10,0)+ROUND('HO performance measures excl'!F10,0)</f>
        <v>79</v>
      </c>
      <c r="T49" s="236">
        <f>ROUND('HO performance measures excl'!G10,0)+ROUND('HO performance measures excl'!I10,0)+ROUND('HO performance measures excl'!J10,0)+ROUND('HO performance measures excl'!K10,0)</f>
        <v>79</v>
      </c>
      <c r="V49" s="46"/>
      <c r="W49" s="49">
        <f>ROUND(G49,0)+ROUND(S49,0)+ROUND(P49,0)-ROUND(C49,0)</f>
        <v>0</v>
      </c>
      <c r="X49" s="155"/>
      <c r="Y49" s="49">
        <f>ROUND(H49,0)+ROUND(T49,0)+ROUND(Q49,0)-ROUND(D49,0)</f>
        <v>0</v>
      </c>
      <c r="Z49" s="32"/>
      <c r="AA49" s="46"/>
      <c r="AC49" s="32">
        <f t="shared" si="15"/>
        <v>0</v>
      </c>
      <c r="AD49" s="155"/>
      <c r="AE49" s="32">
        <f t="shared" si="16"/>
        <v>0</v>
      </c>
      <c r="AF49" s="32"/>
      <c r="AG49" s="46"/>
    </row>
    <row r="50" spans="2:33">
      <c r="B50" s="237"/>
      <c r="C50" s="240"/>
      <c r="D50" s="240"/>
      <c r="E50" s="40"/>
      <c r="G50" s="245"/>
      <c r="H50" s="245"/>
      <c r="I50" s="236"/>
      <c r="J50" s="486"/>
      <c r="K50" s="486"/>
      <c r="L50" s="486"/>
      <c r="M50" s="486"/>
      <c r="N50" s="486"/>
      <c r="O50" s="486"/>
      <c r="P50" s="244"/>
      <c r="Q50" s="245"/>
      <c r="R50" s="236"/>
      <c r="S50" s="236"/>
      <c r="T50" s="236"/>
      <c r="V50" s="46"/>
      <c r="W50" s="46"/>
      <c r="X50" s="46"/>
      <c r="Y50" s="46"/>
      <c r="Z50" s="32" t="e">
        <f>ROUND(H50,-3)+ROUND(T50,-3)+ROUND(Q50,-3)-ROUND(#REF!,-3)</f>
        <v>#REF!</v>
      </c>
      <c r="AA50" s="46"/>
      <c r="AC50" s="46"/>
      <c r="AD50" s="46"/>
      <c r="AE50" s="46"/>
      <c r="AF50" s="32" t="e">
        <f>ROUND(N50,-3)+ROUND(Z50,-3)+ROUND(W50,-3)-ROUND(#REF!,-3)</f>
        <v>#REF!</v>
      </c>
      <c r="AG50" s="46"/>
    </row>
    <row r="51" spans="2:33">
      <c r="B51" s="237" t="s">
        <v>10</v>
      </c>
      <c r="C51" s="241">
        <f>'Group Qrtly'!C38</f>
        <v>1444297</v>
      </c>
      <c r="D51" s="241">
        <f>'Group Qrtly'!H38</f>
        <v>1193542.9999999998</v>
      </c>
      <c r="E51" s="29"/>
      <c r="F51" s="29"/>
      <c r="G51" s="241">
        <f>'Barclays UK Qrtly'!C21</f>
        <v>267542</v>
      </c>
      <c r="H51" s="241">
        <f>'Barclays UK Qrtly'!H21</f>
        <v>253086</v>
      </c>
      <c r="I51" s="31"/>
      <c r="J51" s="31">
        <f>'Barclays International Qrtly'!C83</f>
        <v>1082486</v>
      </c>
      <c r="K51" s="31">
        <f>'Barclays International Qrtly'!H83</f>
        <v>838100</v>
      </c>
      <c r="L51" s="31"/>
      <c r="M51" s="31">
        <f>'Barclays International Qrtly'!C119</f>
        <v>70715</v>
      </c>
      <c r="N51" s="31">
        <f>'Barclays International Qrtly'!H119</f>
        <v>80900</v>
      </c>
      <c r="O51" s="31"/>
      <c r="P51" s="241">
        <f>'Barclays International Qrtly'!C27</f>
        <v>1153201</v>
      </c>
      <c r="Q51" s="241">
        <f>'Barclays International Qrtly'!H27</f>
        <v>918950.00000000047</v>
      </c>
      <c r="R51" s="31"/>
      <c r="S51" s="31">
        <f>'Head Office Qrtly'!C21</f>
        <v>23553.9999999998</v>
      </c>
      <c r="T51" s="31">
        <f>'Head Office Qrtly'!H21</f>
        <v>21406.999999999429</v>
      </c>
      <c r="V51" s="46"/>
      <c r="W51" s="152">
        <f t="shared" ref="W51:W52" si="17">ROUND(G51,-2)+ROUND(S51,-2)+ROUND(P51,-2)-ROUND(C51,-2)</f>
        <v>0</v>
      </c>
      <c r="X51" s="46"/>
      <c r="Y51" s="152">
        <f t="shared" ref="Y51:Y52" si="18">ROUND(H51,-2)+ROUND(T51,-2)+ROUND(Q51,-2)-ROUND(D51,-2)</f>
        <v>0</v>
      </c>
      <c r="Z51" s="46"/>
      <c r="AA51" s="46"/>
      <c r="AC51" s="32">
        <f t="shared" ref="AC51:AC52" si="19">P51-J51-M51</f>
        <v>0</v>
      </c>
      <c r="AD51" s="46"/>
      <c r="AE51" s="197">
        <f>Q51-K51-N51</f>
        <v>-49.999999999534339</v>
      </c>
      <c r="AF51" s="46"/>
      <c r="AG51" s="46"/>
    </row>
    <row r="52" spans="2:33">
      <c r="B52" s="237" t="s">
        <v>12</v>
      </c>
      <c r="C52" s="241">
        <f>'Group Qrtly'!C42</f>
        <v>325631</v>
      </c>
      <c r="D52" s="241">
        <f>'Group Qrtly'!H42</f>
        <v>319670.58326095581</v>
      </c>
      <c r="E52" s="29"/>
      <c r="F52" s="29"/>
      <c r="G52" s="241">
        <f>'Barclays UK Qrtly'!C24</f>
        <v>77677.999999999971</v>
      </c>
      <c r="H52" s="241">
        <f>'Barclays UK Qrtly'!H24</f>
        <v>76558.949245890108</v>
      </c>
      <c r="I52" s="31"/>
      <c r="J52" s="31">
        <f>'Barclays International Qrtly'!C86</f>
        <v>201747.00000000003</v>
      </c>
      <c r="K52" s="31">
        <f>'Barclays International Qrtly'!H86</f>
        <v>176589.56171244648</v>
      </c>
      <c r="L52" s="31"/>
      <c r="M52" s="31">
        <f>'Barclays International Qrtly'!C121</f>
        <v>36161.000000000036</v>
      </c>
      <c r="N52" s="31">
        <f>'Barclays International Qrtly'!H121</f>
        <v>39481.376511787486</v>
      </c>
      <c r="O52" s="31"/>
      <c r="P52" s="241">
        <f>'Barclays International Qrtly'!C31</f>
        <v>237908.00000000006</v>
      </c>
      <c r="Q52" s="241">
        <f>'Barclays International Qrtly'!H31</f>
        <v>216070.93822423398</v>
      </c>
      <c r="R52" s="31"/>
      <c r="S52" s="31">
        <f>'Head Office Qrtly'!C22</f>
        <v>10044.999999999987</v>
      </c>
      <c r="T52" s="31">
        <f>'Head Office Qrtly'!H22</f>
        <v>27040.695790831764</v>
      </c>
      <c r="V52" s="46"/>
      <c r="W52" s="152">
        <f t="shared" si="17"/>
        <v>0</v>
      </c>
      <c r="X52" s="46"/>
      <c r="Y52" s="152">
        <f t="shared" si="18"/>
        <v>0</v>
      </c>
      <c r="Z52" s="46"/>
      <c r="AA52" s="46"/>
      <c r="AC52" s="32">
        <f t="shared" si="19"/>
        <v>0</v>
      </c>
      <c r="AD52" s="46"/>
      <c r="AE52" s="32">
        <f t="shared" ref="AE52" si="20">Q52-K52-N52</f>
        <v>0</v>
      </c>
      <c r="AF52" s="46"/>
      <c r="AG52" s="46"/>
    </row>
    <row r="53" spans="2:33">
      <c r="B53" s="237" t="s">
        <v>95</v>
      </c>
      <c r="C53" s="241">
        <f>'Group Qrtly'!C44</f>
        <v>1176200</v>
      </c>
      <c r="D53" s="241"/>
      <c r="E53" s="29"/>
      <c r="F53" s="29"/>
      <c r="G53" s="241"/>
      <c r="H53" s="246"/>
      <c r="I53" s="31"/>
      <c r="J53" s="31"/>
      <c r="K53" s="31"/>
      <c r="L53" s="31"/>
      <c r="M53" s="31"/>
      <c r="N53" s="31"/>
      <c r="O53" s="31"/>
      <c r="P53" s="241"/>
      <c r="Q53" s="246"/>
      <c r="R53" s="31"/>
      <c r="S53" s="31"/>
      <c r="T53" s="31"/>
      <c r="V53" s="46"/>
      <c r="W53" s="46"/>
      <c r="X53" s="46"/>
      <c r="Y53" s="46"/>
      <c r="Z53" s="46"/>
      <c r="AA53" s="46"/>
      <c r="AC53" s="46"/>
      <c r="AD53" s="46"/>
      <c r="AE53" s="46"/>
      <c r="AF53" s="46"/>
      <c r="AG53" s="46"/>
    </row>
    <row r="54" spans="2:33">
      <c r="G54" s="241"/>
      <c r="V54" s="46"/>
      <c r="W54" s="46"/>
      <c r="X54" s="46"/>
      <c r="Y54" s="46"/>
      <c r="Z54" s="46"/>
      <c r="AA54" s="46"/>
      <c r="AC54" s="46"/>
      <c r="AD54" s="46"/>
      <c r="AE54" s="46"/>
      <c r="AF54" s="46"/>
      <c r="AG54" s="46"/>
    </row>
    <row r="59" spans="2:33">
      <c r="B59" s="248" t="s">
        <v>97</v>
      </c>
    </row>
    <row r="61" spans="2:33">
      <c r="B61" s="41" t="e">
        <f>CQtr&amp;" YTD"</f>
        <v>#REF!</v>
      </c>
      <c r="C61" s="1617" t="s">
        <v>18</v>
      </c>
      <c r="D61" s="1617"/>
      <c r="E61" s="39"/>
      <c r="F61" s="39"/>
      <c r="G61" s="1617" t="s">
        <v>140</v>
      </c>
      <c r="H61" s="1617"/>
      <c r="I61" s="238"/>
      <c r="J61" s="1618" t="s">
        <v>68</v>
      </c>
      <c r="K61" s="1618"/>
      <c r="L61" s="238"/>
      <c r="M61" s="1618" t="s">
        <v>69</v>
      </c>
      <c r="N61" s="1618"/>
      <c r="O61" s="238"/>
      <c r="P61" s="1618" t="s">
        <v>30</v>
      </c>
      <c r="Q61" s="1618"/>
      <c r="R61" s="239"/>
      <c r="S61" s="1619" t="s">
        <v>19</v>
      </c>
      <c r="T61" s="1619"/>
    </row>
    <row r="62" spans="2:33">
      <c r="B62" s="41"/>
      <c r="C62" s="239" t="e">
        <f>CQtr&amp;" YTD"</f>
        <v>#REF!</v>
      </c>
      <c r="D62" s="239" t="e">
        <f>PPPPQtr&amp;" YTD"</f>
        <v>#REF!</v>
      </c>
      <c r="E62" s="39"/>
      <c r="F62" s="39"/>
      <c r="G62" s="239" t="e">
        <f>CQtr&amp;" YTD"</f>
        <v>#REF!</v>
      </c>
      <c r="H62" s="239" t="e">
        <f>PPPPQtr&amp;" YTD"</f>
        <v>#REF!</v>
      </c>
      <c r="I62" s="39"/>
      <c r="J62" s="239" t="e">
        <f>CQtr&amp;" YTD"</f>
        <v>#REF!</v>
      </c>
      <c r="K62" s="239" t="e">
        <f>PPPPQtr&amp;" YTD"</f>
        <v>#REF!</v>
      </c>
      <c r="L62" s="39"/>
      <c r="M62" s="239" t="e">
        <f>CQtr&amp;" YTD"</f>
        <v>#REF!</v>
      </c>
      <c r="N62" s="239" t="e">
        <f>PPPPQtr&amp;" YTD"</f>
        <v>#REF!</v>
      </c>
      <c r="O62" s="39"/>
      <c r="P62" s="239" t="e">
        <f>CQtr&amp;" YTD"</f>
        <v>#REF!</v>
      </c>
      <c r="Q62" s="239" t="e">
        <f>PPPPQtr&amp;" YTD"</f>
        <v>#REF!</v>
      </c>
      <c r="R62" s="39"/>
      <c r="S62" s="239" t="e">
        <f>CQtr&amp;" YTD"</f>
        <v>#REF!</v>
      </c>
      <c r="T62" s="239" t="e">
        <f>PPPPQtr&amp;" YTD"</f>
        <v>#REF!</v>
      </c>
    </row>
    <row r="63" spans="2:33">
      <c r="B63" s="41"/>
      <c r="C63" s="239"/>
      <c r="D63" s="239"/>
      <c r="E63" s="39"/>
      <c r="F63" s="39"/>
      <c r="G63" s="239"/>
      <c r="H63" s="239"/>
      <c r="I63" s="39"/>
      <c r="J63" s="239"/>
      <c r="K63" s="239"/>
      <c r="L63" s="39"/>
      <c r="M63" s="239"/>
      <c r="N63" s="239"/>
      <c r="O63" s="39"/>
      <c r="P63" s="239"/>
      <c r="Q63" s="239"/>
      <c r="R63" s="39"/>
      <c r="S63" s="239"/>
      <c r="T63" s="239"/>
    </row>
    <row r="64" spans="2:33">
      <c r="B64" s="237" t="s">
        <v>89</v>
      </c>
      <c r="C64" s="32">
        <f t="shared" ref="C64:D67" si="21">ROUND(C3,0)-ROUND(C33,0)</f>
        <v>-16380</v>
      </c>
      <c r="D64" s="32">
        <f t="shared" si="21"/>
        <v>-15778</v>
      </c>
      <c r="E64" s="40"/>
      <c r="F64" s="40"/>
      <c r="G64" s="32">
        <f t="shared" ref="G64:H67" si="22">ROUND(G3,0)-ROUND(G33,0)</f>
        <v>73</v>
      </c>
      <c r="H64" s="32">
        <f t="shared" si="22"/>
        <v>11</v>
      </c>
      <c r="I64" s="65"/>
      <c r="J64" s="32">
        <f t="shared" ref="J64:K64" si="23">ROUND(J3,0)-ROUND(J33,0)</f>
        <v>-1112</v>
      </c>
      <c r="K64" s="32">
        <f t="shared" si="23"/>
        <v>294</v>
      </c>
      <c r="L64" s="65"/>
      <c r="M64" s="32">
        <f t="shared" ref="M64:N64" si="24">ROUND(M3,0)-ROUND(M33,0)</f>
        <v>38</v>
      </c>
      <c r="N64" s="32">
        <f t="shared" si="24"/>
        <v>-56</v>
      </c>
      <c r="O64" s="65"/>
      <c r="P64" s="32">
        <f t="shared" ref="P64:Q67" si="25">ROUND(P3,0)-ROUND(P33,0)</f>
        <v>-1074</v>
      </c>
      <c r="Q64" s="32">
        <f t="shared" si="25"/>
        <v>238</v>
      </c>
      <c r="R64" s="65"/>
      <c r="S64" s="32">
        <f t="shared" ref="S64:T67" si="26">ROUND(S3,0)-ROUND(S33,0)</f>
        <v>-30</v>
      </c>
      <c r="T64" s="32">
        <f t="shared" si="26"/>
        <v>-143</v>
      </c>
    </row>
    <row r="65" spans="2:20">
      <c r="B65" s="237" t="s">
        <v>16</v>
      </c>
      <c r="C65" s="32">
        <f t="shared" si="21"/>
        <v>1464</v>
      </c>
      <c r="D65" s="32">
        <f t="shared" si="21"/>
        <v>1180</v>
      </c>
      <c r="E65" s="40"/>
      <c r="F65" s="40"/>
      <c r="G65" s="32">
        <f t="shared" si="22"/>
        <v>290</v>
      </c>
      <c r="H65" s="32">
        <f t="shared" si="22"/>
        <v>-10</v>
      </c>
      <c r="I65" s="65"/>
      <c r="J65" s="32">
        <f t="shared" ref="J65:K65" si="27">ROUND(J4,0)-ROUND(J34,0)</f>
        <v>672</v>
      </c>
      <c r="K65" s="32">
        <f t="shared" si="27"/>
        <v>211</v>
      </c>
      <c r="L65" s="65"/>
      <c r="M65" s="32">
        <f t="shared" ref="M65:N65" si="28">ROUND(M4,0)-ROUND(M34,0)</f>
        <v>692</v>
      </c>
      <c r="N65" s="32">
        <f t="shared" si="28"/>
        <v>-59</v>
      </c>
      <c r="O65" s="65"/>
      <c r="P65" s="32">
        <f t="shared" si="25"/>
        <v>1364</v>
      </c>
      <c r="Q65" s="32">
        <f t="shared" si="25"/>
        <v>152</v>
      </c>
      <c r="R65" s="65"/>
      <c r="S65" s="32">
        <f t="shared" si="26"/>
        <v>13</v>
      </c>
      <c r="T65" s="32">
        <f t="shared" si="26"/>
        <v>18</v>
      </c>
    </row>
    <row r="66" spans="2:20">
      <c r="B66" s="237" t="s">
        <v>17</v>
      </c>
      <c r="C66" s="32">
        <f t="shared" si="21"/>
        <v>-14916</v>
      </c>
      <c r="D66" s="32">
        <f t="shared" si="21"/>
        <v>-14598</v>
      </c>
      <c r="E66" s="40"/>
      <c r="F66" s="40"/>
      <c r="G66" s="32">
        <f t="shared" si="22"/>
        <v>363</v>
      </c>
      <c r="H66" s="32">
        <f t="shared" si="22"/>
        <v>1</v>
      </c>
      <c r="I66" s="65"/>
      <c r="J66" s="32">
        <f t="shared" ref="J66:K66" si="29">ROUND(J5,0)-ROUND(J35,0)</f>
        <v>-440</v>
      </c>
      <c r="K66" s="32">
        <f t="shared" si="29"/>
        <v>505</v>
      </c>
      <c r="L66" s="65"/>
      <c r="M66" s="32">
        <f>ROUND(M5,0)-ROUND(M35,0)</f>
        <v>730</v>
      </c>
      <c r="N66" s="32">
        <f t="shared" ref="N66" si="30">ROUND(N5,0)-ROUND(N35,0)</f>
        <v>-115</v>
      </c>
      <c r="O66" s="65"/>
      <c r="P66" s="32">
        <f t="shared" si="25"/>
        <v>290</v>
      </c>
      <c r="Q66" s="32">
        <f t="shared" si="25"/>
        <v>390</v>
      </c>
      <c r="R66" s="65"/>
      <c r="S66" s="32">
        <f t="shared" si="26"/>
        <v>-17</v>
      </c>
      <c r="T66" s="32">
        <f t="shared" si="26"/>
        <v>-125</v>
      </c>
    </row>
    <row r="67" spans="2:20">
      <c r="B67" s="185" t="s">
        <v>96</v>
      </c>
      <c r="C67" s="32">
        <f t="shared" si="21"/>
        <v>10102</v>
      </c>
      <c r="D67" s="32">
        <f t="shared" si="21"/>
        <v>10263</v>
      </c>
      <c r="E67" s="40"/>
      <c r="F67" s="40"/>
      <c r="G67" s="32">
        <f t="shared" si="22"/>
        <v>24</v>
      </c>
      <c r="H67" s="32">
        <f t="shared" si="22"/>
        <v>-6</v>
      </c>
      <c r="I67" s="65"/>
      <c r="J67" s="32">
        <f>ROUND(J6,0)-ROUND(J36,0)-J37+J7</f>
        <v>71</v>
      </c>
      <c r="K67" s="32">
        <f>ROUND(K6,0)-ROUND(K36,0)-K37+K7</f>
        <v>-154</v>
      </c>
      <c r="L67" s="65"/>
      <c r="M67" s="32">
        <f>ROUND(M6,0)-ROUND(M36,0)-ROUND(M37,0)+ROUND(M7,0)</f>
        <v>-58</v>
      </c>
      <c r="N67" s="32">
        <f t="shared" ref="N67" si="31">ROUND(N6,0)-ROUND(N36,0)-N37+N7</f>
        <v>60</v>
      </c>
      <c r="O67" s="65"/>
      <c r="P67" s="32">
        <f t="shared" si="25"/>
        <v>13</v>
      </c>
      <c r="Q67" s="32">
        <f t="shared" si="25"/>
        <v>-94</v>
      </c>
      <c r="R67" s="65"/>
      <c r="S67" s="32">
        <f t="shared" si="26"/>
        <v>-41</v>
      </c>
      <c r="T67" s="32">
        <f t="shared" si="26"/>
        <v>-7</v>
      </c>
    </row>
    <row r="68" spans="2:20">
      <c r="B68" s="237" t="s">
        <v>4</v>
      </c>
      <c r="C68" s="32">
        <f t="shared" ref="C68:D72" si="32">ROUND(C8,0)-ROUND(C38,0)</f>
        <v>1788</v>
      </c>
      <c r="D68" s="32">
        <f t="shared" si="32"/>
        <v>246</v>
      </c>
      <c r="E68" s="40"/>
      <c r="F68" s="40"/>
      <c r="G68" s="32">
        <f t="shared" ref="G68:H72" si="33">ROUND(G8,0)-ROUND(G38,0)</f>
        <v>2</v>
      </c>
      <c r="H68" s="32">
        <f t="shared" si="33"/>
        <v>-408</v>
      </c>
      <c r="I68" s="65"/>
      <c r="J68" s="32">
        <f t="shared" ref="J68:K68" si="34">ROUND(J8,0)-ROUND(J38,0)</f>
        <v>-19</v>
      </c>
      <c r="K68" s="32" t="e">
        <f t="shared" si="34"/>
        <v>#VALUE!</v>
      </c>
      <c r="L68" s="65"/>
      <c r="M68" s="32">
        <f t="shared" ref="M68:N68" si="35">ROUND(M8,0)-ROUND(M38,0)</f>
        <v>0</v>
      </c>
      <c r="N68" s="32">
        <f t="shared" si="35"/>
        <v>-2</v>
      </c>
      <c r="O68" s="65"/>
      <c r="P68" s="32">
        <f t="shared" ref="P68:Q72" si="36">ROUND(P8,0)-ROUND(P38,0)</f>
        <v>-19</v>
      </c>
      <c r="Q68" s="32">
        <f t="shared" si="36"/>
        <v>4</v>
      </c>
      <c r="R68" s="65"/>
      <c r="S68" s="32">
        <f t="shared" ref="S68:T72" si="37">ROUND(S8,0)-ROUND(S38,0)</f>
        <v>-34</v>
      </c>
      <c r="T68" s="32">
        <f t="shared" si="37"/>
        <v>-1496</v>
      </c>
    </row>
    <row r="69" spans="2:20">
      <c r="B69" s="237" t="s">
        <v>5</v>
      </c>
      <c r="C69" s="32">
        <f t="shared" si="32"/>
        <v>12116</v>
      </c>
      <c r="D69" s="32">
        <f t="shared" si="32"/>
        <v>10918</v>
      </c>
      <c r="E69" s="40"/>
      <c r="F69" s="40"/>
      <c r="G69" s="32">
        <f t="shared" si="33"/>
        <v>26</v>
      </c>
      <c r="H69" s="32">
        <f t="shared" si="33"/>
        <v>-414</v>
      </c>
      <c r="I69" s="65"/>
      <c r="J69" s="32">
        <f t="shared" ref="J69:K69" si="38">ROUND(J9,0)-ROUND(J39,0)</f>
        <v>52</v>
      </c>
      <c r="K69" s="32">
        <f t="shared" si="38"/>
        <v>-148</v>
      </c>
      <c r="L69" s="65"/>
      <c r="M69" s="32">
        <f t="shared" ref="M69:N69" si="39">ROUND(M9,0)-ROUND(M39,0)</f>
        <v>-58</v>
      </c>
      <c r="N69" s="32">
        <f t="shared" si="39"/>
        <v>58</v>
      </c>
      <c r="O69" s="65"/>
      <c r="P69" s="32">
        <f t="shared" si="36"/>
        <v>-6</v>
      </c>
      <c r="Q69" s="32">
        <f t="shared" si="36"/>
        <v>-90</v>
      </c>
      <c r="R69" s="65"/>
      <c r="S69" s="32">
        <f t="shared" si="37"/>
        <v>-75</v>
      </c>
      <c r="T69" s="32">
        <f t="shared" si="37"/>
        <v>-1503</v>
      </c>
    </row>
    <row r="70" spans="2:20">
      <c r="B70" s="237" t="s">
        <v>94</v>
      </c>
      <c r="C70" s="32">
        <f t="shared" si="32"/>
        <v>-74</v>
      </c>
      <c r="D70" s="32">
        <f t="shared" si="32"/>
        <v>-50</v>
      </c>
      <c r="E70" s="40"/>
      <c r="F70" s="40"/>
      <c r="G70" s="32" t="e">
        <f t="shared" si="33"/>
        <v>#VALUE!</v>
      </c>
      <c r="H70" s="32">
        <f t="shared" si="33"/>
        <v>-2</v>
      </c>
      <c r="I70" s="65"/>
      <c r="J70" s="32">
        <f t="shared" ref="J70:K70" si="40">ROUND(J10,0)-ROUND(J40,0)</f>
        <v>12</v>
      </c>
      <c r="K70" s="32">
        <f t="shared" si="40"/>
        <v>-9</v>
      </c>
      <c r="L70" s="65"/>
      <c r="M70" s="32">
        <f t="shared" ref="M70:N70" si="41">ROUND(M10,0)-ROUND(M40,0)</f>
        <v>0</v>
      </c>
      <c r="N70" s="32">
        <f t="shared" si="41"/>
        <v>4</v>
      </c>
      <c r="O70" s="65"/>
      <c r="P70" s="32">
        <f t="shared" si="36"/>
        <v>12</v>
      </c>
      <c r="Q70" s="32">
        <f t="shared" si="36"/>
        <v>-5</v>
      </c>
      <c r="R70" s="65"/>
      <c r="S70" s="32">
        <f t="shared" si="37"/>
        <v>-24</v>
      </c>
      <c r="T70" s="32">
        <f t="shared" si="37"/>
        <v>29</v>
      </c>
    </row>
    <row r="71" spans="2:20">
      <c r="B71" s="237" t="s">
        <v>8</v>
      </c>
      <c r="C71" s="32">
        <f t="shared" si="32"/>
        <v>-2874</v>
      </c>
      <c r="D71" s="32">
        <f t="shared" si="32"/>
        <v>-3730</v>
      </c>
      <c r="E71" s="40"/>
      <c r="G71" s="32">
        <f t="shared" si="33"/>
        <v>390</v>
      </c>
      <c r="H71" s="32">
        <f t="shared" si="33"/>
        <v>-415</v>
      </c>
      <c r="I71" s="236"/>
      <c r="J71" s="32">
        <f t="shared" ref="J71:K71" si="42">ROUND(J11,0)-ROUND(J41,0)</f>
        <v>-376</v>
      </c>
      <c r="K71" s="32">
        <f t="shared" si="42"/>
        <v>348</v>
      </c>
      <c r="L71" s="486"/>
      <c r="M71" s="32">
        <f t="shared" ref="M71:N71" si="43">ROUND(M11,0)-ROUND(M41,0)</f>
        <v>672</v>
      </c>
      <c r="N71" s="32">
        <f t="shared" si="43"/>
        <v>-53</v>
      </c>
      <c r="O71" s="486"/>
      <c r="P71" s="32">
        <f t="shared" si="36"/>
        <v>296</v>
      </c>
      <c r="Q71" s="32">
        <f t="shared" si="36"/>
        <v>295</v>
      </c>
      <c r="R71" s="236"/>
      <c r="S71" s="32">
        <f t="shared" si="37"/>
        <v>-116</v>
      </c>
      <c r="T71" s="32">
        <f t="shared" si="37"/>
        <v>-1599</v>
      </c>
    </row>
    <row r="72" spans="2:20">
      <c r="B72" s="237" t="s">
        <v>88</v>
      </c>
      <c r="C72" s="32">
        <f t="shared" si="32"/>
        <v>-1423</v>
      </c>
      <c r="D72" s="32">
        <f t="shared" si="32"/>
        <v>-2315</v>
      </c>
      <c r="E72" s="40"/>
      <c r="G72" s="32">
        <f t="shared" si="33"/>
        <v>247</v>
      </c>
      <c r="H72" s="32">
        <f t="shared" si="33"/>
        <v>-448</v>
      </c>
      <c r="I72" s="236"/>
      <c r="J72" s="32">
        <f t="shared" ref="J72:K72" si="44">ROUND(J12,0)-ROUND(J42,0)</f>
        <v>-238</v>
      </c>
      <c r="K72" s="32">
        <f t="shared" si="44"/>
        <v>252</v>
      </c>
      <c r="L72" s="486"/>
      <c r="M72" s="32">
        <f t="shared" ref="M72:N72" si="45">ROUND(M12,0)-ROUND(M42,0)</f>
        <v>497</v>
      </c>
      <c r="N72" s="32">
        <f t="shared" si="45"/>
        <v>-33</v>
      </c>
      <c r="O72" s="486"/>
      <c r="P72" s="32">
        <f t="shared" si="36"/>
        <v>259</v>
      </c>
      <c r="Q72" s="32">
        <f t="shared" si="36"/>
        <v>219</v>
      </c>
      <c r="R72" s="236"/>
      <c r="S72" s="32">
        <f t="shared" si="37"/>
        <v>-73</v>
      </c>
      <c r="T72" s="32">
        <f t="shared" si="37"/>
        <v>-1527</v>
      </c>
    </row>
    <row r="73" spans="2:20">
      <c r="B73" s="237"/>
      <c r="C73" s="240"/>
      <c r="D73" s="240"/>
      <c r="E73" s="40"/>
      <c r="G73" s="245"/>
      <c r="H73" s="245"/>
      <c r="I73" s="236"/>
      <c r="J73" s="244"/>
      <c r="K73" s="244"/>
      <c r="L73" s="486"/>
      <c r="M73" s="244"/>
      <c r="N73" s="244"/>
      <c r="O73" s="486"/>
      <c r="P73" s="244"/>
      <c r="Q73" s="244"/>
      <c r="R73" s="236"/>
      <c r="S73" s="236"/>
      <c r="T73" s="236"/>
    </row>
    <row r="74" spans="2:20">
      <c r="B74" s="237" t="s">
        <v>11</v>
      </c>
      <c r="C74" s="242"/>
      <c r="D74" s="242"/>
      <c r="E74" s="234"/>
      <c r="F74" s="234"/>
      <c r="G74" s="242"/>
      <c r="H74" s="242"/>
      <c r="I74" s="235"/>
      <c r="J74" s="242"/>
      <c r="K74" s="242"/>
      <c r="L74" s="287"/>
      <c r="M74" s="242"/>
      <c r="N74" s="242"/>
      <c r="O74" s="287"/>
      <c r="P74" s="242"/>
      <c r="Q74" s="242"/>
      <c r="R74" s="235"/>
      <c r="S74" s="235"/>
      <c r="T74" s="234"/>
    </row>
    <row r="75" spans="2:20">
      <c r="B75" s="237"/>
      <c r="C75" s="240"/>
      <c r="D75" s="240"/>
      <c r="E75" s="40"/>
      <c r="G75" s="245"/>
      <c r="H75" s="245"/>
      <c r="I75" s="236"/>
      <c r="J75" s="244"/>
      <c r="K75" s="245"/>
      <c r="L75" s="486"/>
      <c r="M75" s="244"/>
      <c r="N75" s="245"/>
      <c r="O75" s="486"/>
      <c r="P75" s="244"/>
      <c r="Q75" s="245"/>
      <c r="R75" s="236"/>
      <c r="S75" s="236"/>
      <c r="T75" s="236"/>
    </row>
    <row r="76" spans="2:20">
      <c r="B76" s="237" t="s">
        <v>45</v>
      </c>
      <c r="C76" s="32">
        <f t="shared" ref="C76:D78" si="46">ROUND(C17,0)-ROUND(C47,0)</f>
        <v>-4662</v>
      </c>
      <c r="D76" s="32">
        <f t="shared" si="46"/>
        <v>-3976</v>
      </c>
      <c r="E76" s="29"/>
      <c r="F76" s="29"/>
      <c r="G76" s="32">
        <f t="shared" ref="G76:H78" si="47">ROUND(G17,0)-ROUND(G47,0)</f>
        <v>388</v>
      </c>
      <c r="H76" s="32">
        <f t="shared" si="47"/>
        <v>-7</v>
      </c>
      <c r="I76" s="31"/>
      <c r="J76" s="32">
        <f t="shared" ref="J76:K76" si="48">ROUND(J17,0)-ROUND(J47,0)</f>
        <v>-357</v>
      </c>
      <c r="K76" s="32">
        <f t="shared" si="48"/>
        <v>342</v>
      </c>
      <c r="L76" s="31"/>
      <c r="M76" s="32">
        <f t="shared" ref="M76:N76" si="49">ROUND(M17,0)-ROUND(M47,0)</f>
        <v>672</v>
      </c>
      <c r="N76" s="32">
        <f t="shared" si="49"/>
        <v>-51</v>
      </c>
      <c r="O76" s="31"/>
      <c r="P76" s="32">
        <f t="shared" ref="P76:Q78" si="50">ROUND(P17,0)-ROUND(P47,0)</f>
        <v>315</v>
      </c>
      <c r="Q76" s="32">
        <f t="shared" si="50"/>
        <v>291</v>
      </c>
      <c r="R76" s="31"/>
      <c r="S76" s="32">
        <f t="shared" ref="S76:T78" si="51">ROUND(S17,0)-ROUND(S47,0)</f>
        <v>-82</v>
      </c>
      <c r="T76" s="32">
        <f t="shared" si="51"/>
        <v>-103</v>
      </c>
    </row>
    <row r="77" spans="2:20">
      <c r="B77" s="237" t="s">
        <v>39</v>
      </c>
      <c r="C77" s="32">
        <f>ROUND(C18,0)-ROUND(C48,0)</f>
        <v>-3110</v>
      </c>
      <c r="D77" s="32">
        <f>ROUND(D18,0)-ROUND(D48,0)</f>
        <v>-2521</v>
      </c>
      <c r="E77" s="29"/>
      <c r="F77" s="29"/>
      <c r="G77" s="32">
        <f>ROUND(G18,0)-ROUND(G48,0)</f>
        <v>246</v>
      </c>
      <c r="H77" s="32">
        <f>ROUND(H18,0)-ROUND(H48,0)</f>
        <v>-39</v>
      </c>
      <c r="I77" s="31"/>
      <c r="J77" s="32">
        <f>ROUND(J18,0)-ROUND(J48,0)</f>
        <v>-222</v>
      </c>
      <c r="K77" s="32">
        <f>ROUND(K18,0)-ROUND(K48,0)</f>
        <v>246</v>
      </c>
      <c r="L77" s="31"/>
      <c r="M77" s="32">
        <f t="shared" ref="M77:N77" si="52">ROUND(M18,0)-ROUND(M48,0)</f>
        <v>497</v>
      </c>
      <c r="N77" s="32">
        <f t="shared" si="52"/>
        <v>-31</v>
      </c>
      <c r="O77" s="31"/>
      <c r="P77" s="32">
        <f t="shared" ref="P77:Q77" si="53">ROUND(P18,0)-ROUND(P48,0)</f>
        <v>275</v>
      </c>
      <c r="Q77" s="32">
        <f t="shared" si="53"/>
        <v>215</v>
      </c>
      <c r="R77" s="31"/>
      <c r="S77" s="32">
        <f t="shared" ref="S77:T77" si="54">ROUND(S18,0)-ROUND(S48,0)</f>
        <v>-41</v>
      </c>
      <c r="T77" s="32">
        <f t="shared" si="54"/>
        <v>-48</v>
      </c>
    </row>
    <row r="78" spans="2:20">
      <c r="B78" s="237" t="s">
        <v>40</v>
      </c>
      <c r="C78" s="32">
        <f t="shared" si="46"/>
        <v>47</v>
      </c>
      <c r="D78" s="32">
        <f t="shared" si="46"/>
        <v>1884</v>
      </c>
      <c r="E78" s="29"/>
      <c r="F78" s="29"/>
      <c r="G78" s="32">
        <f t="shared" si="47"/>
        <v>-1</v>
      </c>
      <c r="H78" s="32">
        <f t="shared" si="47"/>
        <v>409</v>
      </c>
      <c r="I78" s="31"/>
      <c r="J78" s="32">
        <f t="shared" ref="J78:K78" si="55">ROUND(J19,0)-ROUND(J49,0)</f>
        <v>16</v>
      </c>
      <c r="K78" s="32">
        <f t="shared" si="55"/>
        <v>-6</v>
      </c>
      <c r="L78" s="31"/>
      <c r="M78" s="32">
        <f t="shared" ref="M78:N78" si="56">ROUND(M19,0)-ROUND(M49,0)</f>
        <v>0</v>
      </c>
      <c r="N78" s="32">
        <f t="shared" si="56"/>
        <v>2</v>
      </c>
      <c r="O78" s="31"/>
      <c r="P78" s="32">
        <f t="shared" si="50"/>
        <v>16</v>
      </c>
      <c r="Q78" s="32">
        <f t="shared" si="50"/>
        <v>-4</v>
      </c>
      <c r="R78" s="31"/>
      <c r="S78" s="32">
        <f t="shared" si="51"/>
        <v>32</v>
      </c>
      <c r="T78" s="32">
        <f t="shared" si="51"/>
        <v>1479</v>
      </c>
    </row>
    <row r="79" spans="2:20">
      <c r="B79" s="237"/>
      <c r="C79" s="240"/>
      <c r="D79" s="240"/>
      <c r="E79" s="40"/>
      <c r="G79" s="245"/>
      <c r="H79" s="245"/>
      <c r="I79" s="236"/>
      <c r="J79" s="244"/>
      <c r="K79" s="245"/>
      <c r="L79" s="486"/>
      <c r="M79" s="244"/>
      <c r="N79" s="245"/>
      <c r="O79" s="486"/>
      <c r="P79" s="244"/>
      <c r="Q79" s="245"/>
      <c r="R79" s="236"/>
      <c r="S79" s="236"/>
      <c r="T79" s="236"/>
    </row>
    <row r="80" spans="2:20">
      <c r="B80" s="237" t="s">
        <v>10</v>
      </c>
      <c r="C80" s="32">
        <f>ROUND(C21,-2)-ROUND(C51,-2)</f>
        <v>0</v>
      </c>
      <c r="D80" s="32">
        <f>ROUND(D21,-2)-ROUND(D51,-2)</f>
        <v>0</v>
      </c>
      <c r="E80" s="29"/>
      <c r="F80" s="29"/>
      <c r="G80" s="32">
        <f>ROUND(G21,-2)-ROUND(G51,-2)</f>
        <v>-9700</v>
      </c>
      <c r="H80" s="32">
        <f>ROUND(H21,-2)-ROUND(H51,-2)</f>
        <v>-3400</v>
      </c>
      <c r="I80" s="31"/>
      <c r="J80" s="32">
        <f>ROUND(J21,-2)-ROUND(J51,-2)</f>
        <v>-286900</v>
      </c>
      <c r="K80" s="32">
        <f>ROUND(K21,-2)-ROUND(K51,-2)</f>
        <v>-47600</v>
      </c>
      <c r="L80" s="31"/>
      <c r="M80" s="32">
        <f>ROUND(M21,-2)-ROUND(M51,-2)</f>
        <v>-4900</v>
      </c>
      <c r="N80" s="32">
        <f>ROUND(N21,-2)-ROUND(N51,-2)</f>
        <v>-9300</v>
      </c>
      <c r="O80" s="31"/>
      <c r="P80" s="32">
        <f>ROUND(P21,-2)-ROUND(P51,-2)</f>
        <v>-291800</v>
      </c>
      <c r="Q80" s="32">
        <f>ROUND(Q21,-2)-ROUND(Q51,-2)</f>
        <v>-56900</v>
      </c>
      <c r="R80" s="31"/>
      <c r="S80" s="32">
        <f>ROUND(S21,-2)-ROUND(S51,-2)</f>
        <v>-2600</v>
      </c>
      <c r="T80" s="32">
        <f>ROUND(T21,-2)-ROUND(T51,-2)</f>
        <v>100</v>
      </c>
    </row>
    <row r="81" spans="2:20">
      <c r="B81" s="237" t="s">
        <v>12</v>
      </c>
      <c r="C81" s="32">
        <f>ROUND(C22,-2)-ROUND(C52,-2)</f>
        <v>0</v>
      </c>
      <c r="D81" s="32">
        <f>ROUND(D22,-2)-ROUND(D52,-2)</f>
        <v>-24600</v>
      </c>
      <c r="E81" s="29"/>
      <c r="F81" s="29"/>
      <c r="G81" s="32">
        <f>ROUND(G22,-2)-ROUND(G52,-2)</f>
        <v>-2800</v>
      </c>
      <c r="H81" s="32">
        <f>ROUND(H22,-2)-ROUND(H52,-2)</f>
        <v>-1400</v>
      </c>
      <c r="I81" s="31"/>
      <c r="J81" s="32">
        <f>ROUND(J22,-2)-ROUND(J52,-2)</f>
        <v>-30200</v>
      </c>
      <c r="K81" s="32">
        <f>ROUND(K22,-2)-ROUND(K52,-2)</f>
        <v>-5700</v>
      </c>
      <c r="L81" s="31"/>
      <c r="M81" s="32">
        <f>ROUND(M22,-2)-ROUND(M52,-2)</f>
        <v>1500</v>
      </c>
      <c r="N81" s="32">
        <f>ROUND(N22,-2)-ROUND(N52,-2)</f>
        <v>300</v>
      </c>
      <c r="O81" s="31"/>
      <c r="P81" s="32">
        <f>ROUND(P22,-2)-ROUND(P52,-2)</f>
        <v>-28700</v>
      </c>
      <c r="Q81" s="32">
        <f>ROUND(Q22,-2)-ROUND(Q52,-2)</f>
        <v>-5400</v>
      </c>
      <c r="R81" s="31"/>
      <c r="S81" s="32">
        <f>ROUND(S22,-2)-ROUND(S52,-2)</f>
        <v>1000</v>
      </c>
      <c r="T81" s="32">
        <f>ROUND(T22,-2)-ROUND(T52,-2)</f>
        <v>-1000</v>
      </c>
    </row>
    <row r="82" spans="2:20">
      <c r="B82" s="237" t="s">
        <v>95</v>
      </c>
    </row>
  </sheetData>
  <mergeCells count="22">
    <mergeCell ref="C61:D61"/>
    <mergeCell ref="G61:H61"/>
    <mergeCell ref="P61:Q61"/>
    <mergeCell ref="S61:T61"/>
    <mergeCell ref="C1:D1"/>
    <mergeCell ref="G1:H1"/>
    <mergeCell ref="P1:Q1"/>
    <mergeCell ref="S1:T1"/>
    <mergeCell ref="M61:N61"/>
    <mergeCell ref="J61:K61"/>
    <mergeCell ref="AC1:AE1"/>
    <mergeCell ref="AC31:AE31"/>
    <mergeCell ref="W1:Y1"/>
    <mergeCell ref="C31:D31"/>
    <mergeCell ref="G31:H31"/>
    <mergeCell ref="P31:Q31"/>
    <mergeCell ref="S31:T31"/>
    <mergeCell ref="W31:Y31"/>
    <mergeCell ref="J1:K1"/>
    <mergeCell ref="M1:N1"/>
    <mergeCell ref="J31:K31"/>
    <mergeCell ref="M31:N31"/>
  </mergeCells>
  <conditionalFormatting sqref="Z23 W21:Z22 W3:Z12 W33:Z39">
    <cfRule type="cellIs" dxfId="318" priority="58" operator="notEqual">
      <formula>0</formula>
    </cfRule>
  </conditionalFormatting>
  <conditionalFormatting sqref="Z14">
    <cfRule type="cellIs" dxfId="317" priority="57" operator="notEqual">
      <formula>0</formula>
    </cfRule>
  </conditionalFormatting>
  <conditionalFormatting sqref="W17:Y17 X18:Y19">
    <cfRule type="cellIs" dxfId="316" priority="55" operator="notEqual">
      <formula>0</formula>
    </cfRule>
  </conditionalFormatting>
  <conditionalFormatting sqref="W40:W42 Y40:Y42 Y51:Y52 Z48:Z50 W48:X49">
    <cfRule type="cellIs" dxfId="315" priority="51" operator="notEqual">
      <formula>0</formula>
    </cfRule>
  </conditionalFormatting>
  <conditionalFormatting sqref="Z41">
    <cfRule type="cellIs" dxfId="314" priority="50" operator="notEqual">
      <formula>0</formula>
    </cfRule>
  </conditionalFormatting>
  <conditionalFormatting sqref="W44:Y44 X46 W47 Y47">
    <cfRule type="cellIs" dxfId="313" priority="49" operator="notEqual">
      <formula>0</formula>
    </cfRule>
  </conditionalFormatting>
  <conditionalFormatting sqref="W51:W52">
    <cfRule type="cellIs" dxfId="312" priority="48" operator="notEqual">
      <formula>0</formula>
    </cfRule>
  </conditionalFormatting>
  <conditionalFormatting sqref="C80:D81 G80:H81 P80:Q81 S80:T81">
    <cfRule type="cellIs" dxfId="311" priority="41" operator="notEqual">
      <formula>0</formula>
    </cfRule>
  </conditionalFormatting>
  <conditionalFormatting sqref="C64:D72">
    <cfRule type="cellIs" dxfId="310" priority="47" operator="notEqual">
      <formula>0</formula>
    </cfRule>
  </conditionalFormatting>
  <conditionalFormatting sqref="G64:H72">
    <cfRule type="cellIs" dxfId="309" priority="46" operator="notEqual">
      <formula>0</formula>
    </cfRule>
  </conditionalFormatting>
  <conditionalFormatting sqref="P64:Q72">
    <cfRule type="cellIs" dxfId="308" priority="45" operator="notEqual">
      <formula>0</formula>
    </cfRule>
  </conditionalFormatting>
  <conditionalFormatting sqref="S64:T72">
    <cfRule type="cellIs" dxfId="307" priority="44" operator="notEqual">
      <formula>0</formula>
    </cfRule>
  </conditionalFormatting>
  <conditionalFormatting sqref="S76:T76 P76:Q76 G76:H78 C76:D78 P78:Q78 S78:T78">
    <cfRule type="cellIs" dxfId="306" priority="42" operator="notEqual">
      <formula>0</formula>
    </cfRule>
  </conditionalFormatting>
  <conditionalFormatting sqref="Y48:Y49">
    <cfRule type="cellIs" dxfId="305" priority="40" operator="notEqual">
      <formula>0</formula>
    </cfRule>
  </conditionalFormatting>
  <conditionalFormatting sqref="W18">
    <cfRule type="cellIs" dxfId="304" priority="39" operator="notEqual">
      <formula>0</formula>
    </cfRule>
  </conditionalFormatting>
  <conditionalFormatting sqref="W19">
    <cfRule type="cellIs" dxfId="303" priority="38" operator="notEqual">
      <formula>0</formula>
    </cfRule>
  </conditionalFormatting>
  <conditionalFormatting sqref="W14">
    <cfRule type="cellIs" dxfId="302" priority="37" operator="notEqual">
      <formula>0</formula>
    </cfRule>
  </conditionalFormatting>
  <conditionalFormatting sqref="Y14">
    <cfRule type="cellIs" dxfId="301" priority="36" operator="notEqual">
      <formula>0</formula>
    </cfRule>
  </conditionalFormatting>
  <conditionalFormatting sqref="M80:N81">
    <cfRule type="cellIs" dxfId="300" priority="33" operator="notEqual">
      <formula>0</formula>
    </cfRule>
  </conditionalFormatting>
  <conditionalFormatting sqref="M64:N66 M68:N72">
    <cfRule type="cellIs" dxfId="299" priority="35" operator="notEqual">
      <formula>0</formula>
    </cfRule>
  </conditionalFormatting>
  <conditionalFormatting sqref="M76:N76 M78:N78">
    <cfRule type="cellIs" dxfId="298" priority="34" operator="notEqual">
      <formula>0</formula>
    </cfRule>
  </conditionalFormatting>
  <conditionalFormatting sqref="J80:K81">
    <cfRule type="cellIs" dxfId="297" priority="30" operator="notEqual">
      <formula>0</formula>
    </cfRule>
  </conditionalFormatting>
  <conditionalFormatting sqref="J64:K72">
    <cfRule type="cellIs" dxfId="296" priority="32" operator="notEqual">
      <formula>0</formula>
    </cfRule>
  </conditionalFormatting>
  <conditionalFormatting sqref="J76:K78">
    <cfRule type="cellIs" dxfId="295" priority="31" operator="notEqual">
      <formula>0</formula>
    </cfRule>
  </conditionalFormatting>
  <conditionalFormatting sqref="M77:N77">
    <cfRule type="cellIs" dxfId="294" priority="29" operator="notEqual">
      <formula>0</formula>
    </cfRule>
  </conditionalFormatting>
  <conditionalFormatting sqref="P77:Q77">
    <cfRule type="cellIs" dxfId="293" priority="28" operator="notEqual">
      <formula>0</formula>
    </cfRule>
  </conditionalFormatting>
  <conditionalFormatting sqref="S77:T77">
    <cfRule type="cellIs" dxfId="292" priority="27" operator="notEqual">
      <formula>0</formula>
    </cfRule>
  </conditionalFormatting>
  <conditionalFormatting sqref="AF23 AD33:AD39 AC3:AF12 AC21:AF22 AF33:AF39">
    <cfRule type="cellIs" dxfId="291" priority="25" operator="notEqual">
      <formula>0</formula>
    </cfRule>
  </conditionalFormatting>
  <conditionalFormatting sqref="AF14">
    <cfRule type="cellIs" dxfId="290" priority="24" operator="notEqual">
      <formula>0</formula>
    </cfRule>
  </conditionalFormatting>
  <conditionalFormatting sqref="AD17:AD19">
    <cfRule type="cellIs" dxfId="289" priority="23" operator="notEqual">
      <formula>0</formula>
    </cfRule>
  </conditionalFormatting>
  <conditionalFormatting sqref="AF48:AF50 AD48:AD49">
    <cfRule type="cellIs" dxfId="288" priority="22" operator="notEqual">
      <formula>0</formula>
    </cfRule>
  </conditionalFormatting>
  <conditionalFormatting sqref="AF41">
    <cfRule type="cellIs" dxfId="287" priority="21" operator="notEqual">
      <formula>0</formula>
    </cfRule>
  </conditionalFormatting>
  <conditionalFormatting sqref="AD44 AD46">
    <cfRule type="cellIs" dxfId="286" priority="20" operator="notEqual">
      <formula>0</formula>
    </cfRule>
  </conditionalFormatting>
  <conditionalFormatting sqref="AC19 AC14">
    <cfRule type="cellIs" dxfId="285" priority="13" operator="notEqual">
      <formula>0</formula>
    </cfRule>
  </conditionalFormatting>
  <conditionalFormatting sqref="AC33:AC42">
    <cfRule type="cellIs" dxfId="284" priority="12" operator="notEqual">
      <formula>0</formula>
    </cfRule>
  </conditionalFormatting>
  <conditionalFormatting sqref="AC51:AC52 AC47:AC49 AC44">
    <cfRule type="cellIs" dxfId="283" priority="11" operator="notEqual">
      <formula>0</formula>
    </cfRule>
  </conditionalFormatting>
  <conditionalFormatting sqref="AE14">
    <cfRule type="cellIs" dxfId="282" priority="10" operator="notEqual">
      <formula>0</formula>
    </cfRule>
  </conditionalFormatting>
  <conditionalFormatting sqref="AE17:AE19">
    <cfRule type="cellIs" dxfId="281" priority="9" operator="notEqual">
      <formula>0</formula>
    </cfRule>
  </conditionalFormatting>
  <conditionalFormatting sqref="AE33:AE42">
    <cfRule type="cellIs" dxfId="280" priority="8" operator="notEqual">
      <formula>0</formula>
    </cfRule>
  </conditionalFormatting>
  <conditionalFormatting sqref="AE47:AE49">
    <cfRule type="cellIs" dxfId="279" priority="7" operator="notEqual">
      <formula>0</formula>
    </cfRule>
  </conditionalFormatting>
  <conditionalFormatting sqref="AE52">
    <cfRule type="cellIs" dxfId="278" priority="6" operator="notEqual">
      <formula>0</formula>
    </cfRule>
  </conditionalFormatting>
  <conditionalFormatting sqref="AE51">
    <cfRule type="cellIs" dxfId="277" priority="5" operator="notEqual">
      <formula>0</formula>
    </cfRule>
  </conditionalFormatting>
  <conditionalFormatting sqref="AE44">
    <cfRule type="cellIs" dxfId="276" priority="4" operator="notEqual">
      <formula>0</formula>
    </cfRule>
  </conditionalFormatting>
  <conditionalFormatting sqref="M67:N67">
    <cfRule type="cellIs" dxfId="275" priority="3" operator="notEqual">
      <formula>0</formula>
    </cfRule>
  </conditionalFormatting>
  <conditionalFormatting sqref="AC17">
    <cfRule type="cellIs" dxfId="274" priority="2" operator="notEqual">
      <formula>0</formula>
    </cfRule>
  </conditionalFormatting>
  <conditionalFormatting sqref="AC18">
    <cfRule type="cellIs" dxfId="273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3"/>
  <sheetViews>
    <sheetView showGridLines="0" tabSelected="1" view="pageBreakPreview" zoomScale="93" zoomScaleNormal="100" zoomScaleSheetLayoutView="93" workbookViewId="0">
      <selection activeCell="G6" sqref="G6"/>
    </sheetView>
  </sheetViews>
  <sheetFormatPr defaultColWidth="9" defaultRowHeight="12" customHeight="1"/>
  <cols>
    <col min="1" max="1" width="6.21875" style="773" customWidth="1"/>
    <col min="2" max="2" width="51.21875" style="1" customWidth="1"/>
    <col min="3" max="3" width="12.21875" style="1" customWidth="1"/>
    <col min="4" max="4" width="15" style="1" customWidth="1"/>
    <col min="5" max="5" width="16.77734375" style="1" customWidth="1"/>
    <col min="6" max="6" width="5.21875" style="1" customWidth="1"/>
    <col min="7" max="147" width="8" style="1" customWidth="1"/>
    <col min="148" max="16384" width="9" style="1"/>
  </cols>
  <sheetData>
    <row r="1" spans="1:6" ht="12" customHeight="1">
      <c r="B1" s="192" t="s">
        <v>49</v>
      </c>
      <c r="C1" s="1620"/>
      <c r="D1" s="1620" t="s">
        <v>24</v>
      </c>
      <c r="E1" s="1620" t="s">
        <v>24</v>
      </c>
      <c r="F1" s="9"/>
    </row>
    <row r="2" spans="1:6" ht="12" customHeight="1">
      <c r="A2" s="775"/>
      <c r="B2" s="193" t="s">
        <v>240</v>
      </c>
      <c r="C2" s="712" t="s">
        <v>241</v>
      </c>
      <c r="D2" s="712" t="s">
        <v>242</v>
      </c>
      <c r="E2" s="713"/>
      <c r="F2" s="10"/>
    </row>
    <row r="3" spans="1:6" ht="12" customHeight="1">
      <c r="A3" s="775"/>
      <c r="B3" s="194"/>
      <c r="C3" s="714" t="s">
        <v>25</v>
      </c>
      <c r="D3" s="714" t="s">
        <v>25</v>
      </c>
      <c r="E3" s="714" t="s">
        <v>3</v>
      </c>
      <c r="F3" s="12"/>
    </row>
    <row r="4" spans="1:6" ht="12" customHeight="1">
      <c r="A4" s="775"/>
      <c r="B4" s="279" t="s">
        <v>50</v>
      </c>
      <c r="C4" s="593">
        <v>6283</v>
      </c>
      <c r="D4" s="785">
        <v>5252</v>
      </c>
      <c r="E4" s="1339">
        <v>19.63061690784463</v>
      </c>
      <c r="F4" s="6"/>
    </row>
    <row r="5" spans="1:6" ht="12" customHeight="1">
      <c r="A5" s="775"/>
      <c r="B5" s="280" t="s">
        <v>243</v>
      </c>
      <c r="C5" s="1203">
        <v>-2114.9999999999995</v>
      </c>
      <c r="D5" s="786">
        <v>-448</v>
      </c>
      <c r="E5" s="1204" t="s">
        <v>396</v>
      </c>
      <c r="F5" s="6"/>
    </row>
    <row r="6" spans="1:6" ht="12" customHeight="1">
      <c r="A6" s="775"/>
      <c r="B6" s="281" t="s">
        <v>244</v>
      </c>
      <c r="C6" s="1205">
        <v>4168</v>
      </c>
      <c r="D6" s="787">
        <v>4804</v>
      </c>
      <c r="E6" s="1206">
        <v>-13.238967527060783</v>
      </c>
      <c r="F6" s="6"/>
    </row>
    <row r="7" spans="1:6" ht="12" customHeight="1">
      <c r="A7" s="775"/>
      <c r="B7" s="282" t="s">
        <v>245</v>
      </c>
      <c r="C7" s="594">
        <v>-3253</v>
      </c>
      <c r="D7" s="51">
        <v>-3257</v>
      </c>
      <c r="E7" s="51" t="s">
        <v>397</v>
      </c>
      <c r="F7" s="6"/>
    </row>
    <row r="8" spans="1:6" s="74" customFormat="1" ht="12" customHeight="1">
      <c r="A8" s="775"/>
      <c r="B8" s="280" t="s">
        <v>246</v>
      </c>
      <c r="C8" s="1203">
        <v>-10.340853690000001</v>
      </c>
      <c r="D8" s="788">
        <v>-61</v>
      </c>
      <c r="E8" s="1204">
        <v>83.606557377049185</v>
      </c>
      <c r="F8" s="6"/>
    </row>
    <row r="9" spans="1:6" s="74" customFormat="1" ht="12" customHeight="1">
      <c r="A9" s="776"/>
      <c r="B9" s="281" t="s">
        <v>247</v>
      </c>
      <c r="C9" s="1205">
        <v>-3262.9999999999991</v>
      </c>
      <c r="D9" s="789">
        <v>-3318</v>
      </c>
      <c r="E9" s="1206">
        <v>1.6576250753465944</v>
      </c>
      <c r="F9" s="6"/>
    </row>
    <row r="10" spans="1:6" s="8" customFormat="1" ht="12" customHeight="1">
      <c r="A10" s="775"/>
      <c r="B10" s="280" t="s">
        <v>283</v>
      </c>
      <c r="C10" s="1203">
        <v>7.9999999999993685</v>
      </c>
      <c r="D10" s="790">
        <v>-3</v>
      </c>
      <c r="E10" s="1204" t="s">
        <v>396</v>
      </c>
      <c r="F10" s="6"/>
    </row>
    <row r="11" spans="1:6" ht="12" customHeight="1">
      <c r="A11" s="777"/>
      <c r="B11" s="281" t="s">
        <v>249</v>
      </c>
      <c r="C11" s="1205">
        <v>913.00000000000091</v>
      </c>
      <c r="D11" s="791">
        <v>1483</v>
      </c>
      <c r="E11" s="1206">
        <v>-38.435603506405933</v>
      </c>
      <c r="F11" s="6"/>
    </row>
    <row r="12" spans="1:6" s="5" customFormat="1" ht="12" customHeight="1">
      <c r="A12" s="777"/>
      <c r="B12" s="280" t="s">
        <v>387</v>
      </c>
      <c r="C12" s="1203">
        <v>-70.999999999999773</v>
      </c>
      <c r="D12" s="792">
        <v>-248</v>
      </c>
      <c r="E12" s="1204">
        <v>71.370967741935488</v>
      </c>
      <c r="F12" s="6"/>
    </row>
    <row r="13" spans="1:6" s="5" customFormat="1" ht="12" customHeight="1">
      <c r="A13" s="777"/>
      <c r="B13" s="281" t="s">
        <v>250</v>
      </c>
      <c r="C13" s="1205">
        <v>842.00000000000068</v>
      </c>
      <c r="D13" s="791">
        <v>1235</v>
      </c>
      <c r="E13" s="1206">
        <v>-31.821862348178136</v>
      </c>
      <c r="F13" s="6"/>
    </row>
    <row r="14" spans="1:6" s="5" customFormat="1" ht="12" customHeight="1">
      <c r="A14" s="777"/>
      <c r="B14" s="283" t="s">
        <v>251</v>
      </c>
      <c r="C14" s="594">
        <v>-16.000000000000096</v>
      </c>
      <c r="D14" s="793">
        <v>-17</v>
      </c>
      <c r="E14" s="51">
        <v>5.882352941176471</v>
      </c>
      <c r="F14" s="6"/>
    </row>
    <row r="15" spans="1:6" s="5" customFormat="1" ht="12" customHeight="1">
      <c r="A15" s="777"/>
      <c r="B15" s="280" t="s">
        <v>252</v>
      </c>
      <c r="C15" s="1203">
        <v>-221</v>
      </c>
      <c r="D15" s="792">
        <v>-180</v>
      </c>
      <c r="E15" s="1204">
        <v>-22.777777777777779</v>
      </c>
      <c r="F15" s="6"/>
    </row>
    <row r="16" spans="1:6" s="5" customFormat="1" ht="12" customHeight="1">
      <c r="A16" s="777"/>
      <c r="B16" s="281" t="s">
        <v>253</v>
      </c>
      <c r="C16" s="1205">
        <v>605.00000000000045</v>
      </c>
      <c r="D16" s="791">
        <v>1038</v>
      </c>
      <c r="E16" s="1206">
        <v>-41.714836223506744</v>
      </c>
      <c r="F16" s="6"/>
    </row>
    <row r="17" spans="1:6" s="5" customFormat="1" ht="12" customHeight="1">
      <c r="A17" s="778"/>
      <c r="B17" s="284"/>
      <c r="C17" s="794"/>
      <c r="D17" s="794"/>
      <c r="E17" s="795"/>
      <c r="F17" s="13"/>
    </row>
    <row r="18" spans="1:6" s="7" customFormat="1" ht="12" customHeight="1">
      <c r="A18" s="778"/>
      <c r="B18" s="285" t="s">
        <v>254</v>
      </c>
      <c r="C18" s="796"/>
      <c r="D18" s="796"/>
      <c r="E18" s="796"/>
      <c r="F18" s="6"/>
    </row>
    <row r="19" spans="1:6" s="7" customFormat="1" ht="12" customHeight="1">
      <c r="A19" s="778"/>
      <c r="B19" s="283" t="s">
        <v>255</v>
      </c>
      <c r="C19" s="1207">
        <v>5.0999999999999997E-2</v>
      </c>
      <c r="D19" s="797">
        <v>9.1999999999999998E-2</v>
      </c>
      <c r="E19" s="1208"/>
      <c r="F19" s="6"/>
    </row>
    <row r="20" spans="1:6" s="7" customFormat="1" ht="12" customHeight="1">
      <c r="A20" s="778"/>
      <c r="B20" s="283" t="s">
        <v>256</v>
      </c>
      <c r="C20" s="1209">
        <v>46994.626145163187</v>
      </c>
      <c r="D20" s="1210">
        <v>45200</v>
      </c>
      <c r="E20" s="51"/>
      <c r="F20" s="6"/>
    </row>
    <row r="21" spans="1:6" s="7" customFormat="1" ht="11.4">
      <c r="A21" s="778"/>
      <c r="B21" s="283" t="s">
        <v>257</v>
      </c>
      <c r="C21" s="1211">
        <v>0.52</v>
      </c>
      <c r="D21" s="798">
        <v>0.63</v>
      </c>
      <c r="E21" s="1208"/>
      <c r="F21" s="6"/>
    </row>
    <row r="22" spans="1:6" s="7" customFormat="1" ht="12" customHeight="1">
      <c r="A22" s="778"/>
      <c r="B22" s="283" t="s">
        <v>258</v>
      </c>
      <c r="C22" s="799">
        <v>222.5850479430232</v>
      </c>
      <c r="D22" s="800">
        <v>54</v>
      </c>
      <c r="E22" s="1212"/>
      <c r="F22" s="6"/>
    </row>
    <row r="23" spans="1:6" s="7" customFormat="1" ht="12" customHeight="1">
      <c r="A23" s="778"/>
      <c r="B23" s="284" t="s">
        <v>259</v>
      </c>
      <c r="C23" s="801">
        <v>3.5015356684643533</v>
      </c>
      <c r="D23" s="802">
        <v>6.1</v>
      </c>
      <c r="E23" s="794"/>
      <c r="F23" s="6"/>
    </row>
    <row r="24" spans="1:6" s="45" customFormat="1" ht="12" customHeight="1">
      <c r="A24" s="778"/>
      <c r="B24" s="283" t="s">
        <v>260</v>
      </c>
      <c r="C24" s="802"/>
      <c r="D24" s="802"/>
      <c r="E24" s="795"/>
      <c r="F24" s="6"/>
    </row>
    <row r="25" spans="1:6" s="7" customFormat="1" ht="15" customHeight="1">
      <c r="A25" s="778"/>
      <c r="B25" s="285" t="s">
        <v>36</v>
      </c>
      <c r="C25" s="796"/>
      <c r="D25" s="796"/>
      <c r="E25" s="796"/>
      <c r="F25" s="6"/>
    </row>
    <row r="26" spans="1:6" s="45" customFormat="1" ht="12" customHeight="1">
      <c r="A26" s="778"/>
      <c r="B26" s="279" t="s">
        <v>261</v>
      </c>
      <c r="C26" s="1213">
        <v>923.34085369000093</v>
      </c>
      <c r="D26" s="803">
        <v>1544</v>
      </c>
      <c r="E26" s="1214">
        <v>-40.220207253886009</v>
      </c>
      <c r="F26" s="13"/>
    </row>
    <row r="27" spans="1:6" s="45" customFormat="1" ht="12" customHeight="1">
      <c r="A27" s="778"/>
      <c r="B27" s="283" t="s">
        <v>262</v>
      </c>
      <c r="C27" s="1215">
        <v>604.40093683284044</v>
      </c>
      <c r="D27" s="1216">
        <v>1084</v>
      </c>
      <c r="E27" s="1217">
        <v>-44.280442804428041</v>
      </c>
      <c r="F27" s="6"/>
    </row>
    <row r="28" spans="1:6" s="45" customFormat="1" ht="11.4">
      <c r="A28" s="778"/>
      <c r="B28" s="283" t="s">
        <v>255</v>
      </c>
      <c r="C28" s="1218">
        <v>5.0999999999999997E-2</v>
      </c>
      <c r="D28" s="1219">
        <v>9.6000000000000002E-2</v>
      </c>
      <c r="E28" s="1208"/>
      <c r="F28" s="6"/>
    </row>
    <row r="29" spans="1:6" s="45" customFormat="1" ht="12" customHeight="1">
      <c r="A29" s="778"/>
      <c r="B29" s="283" t="s">
        <v>257</v>
      </c>
      <c r="C29" s="1220">
        <v>0.52</v>
      </c>
      <c r="D29" s="1221">
        <v>0.62</v>
      </c>
      <c r="E29" s="1208"/>
      <c r="F29" s="6"/>
    </row>
    <row r="30" spans="1:6" s="45" customFormat="1" ht="12" customHeight="1">
      <c r="A30" s="779"/>
      <c r="B30" s="283" t="s">
        <v>259</v>
      </c>
      <c r="C30" s="1222">
        <v>3.4980684931792716</v>
      </c>
      <c r="D30" s="1223">
        <v>6.3</v>
      </c>
      <c r="E30" s="795"/>
      <c r="F30" s="6"/>
    </row>
    <row r="31" spans="1:6" s="45" customFormat="1" ht="12" customHeight="1">
      <c r="A31" s="779"/>
      <c r="B31" s="283"/>
      <c r="C31" s="1224"/>
      <c r="D31" s="1223"/>
      <c r="E31" s="795"/>
      <c r="F31" s="6"/>
    </row>
    <row r="32" spans="1:6" ht="13.5" customHeight="1">
      <c r="A32" s="779"/>
      <c r="B32" s="283"/>
      <c r="C32" s="804" t="s">
        <v>398</v>
      </c>
      <c r="D32" s="804" t="s">
        <v>399</v>
      </c>
      <c r="E32" s="805" t="s">
        <v>400</v>
      </c>
      <c r="F32" s="6"/>
    </row>
    <row r="33" spans="1:6" s="74" customFormat="1" ht="15" customHeight="1">
      <c r="A33" s="779"/>
      <c r="B33" s="726" t="s">
        <v>393</v>
      </c>
      <c r="C33" s="806" t="s">
        <v>263</v>
      </c>
      <c r="D33" s="806" t="s">
        <v>263</v>
      </c>
      <c r="E33" s="806" t="s">
        <v>263</v>
      </c>
      <c r="F33" s="6"/>
    </row>
    <row r="34" spans="1:6" s="74" customFormat="1" ht="13.5" customHeight="1">
      <c r="A34" s="779"/>
      <c r="B34" s="283" t="s">
        <v>264</v>
      </c>
      <c r="C34" s="807">
        <v>284.38013031201712</v>
      </c>
      <c r="D34" s="808">
        <v>262.31927291608173</v>
      </c>
      <c r="E34" s="808">
        <v>266</v>
      </c>
      <c r="F34" s="6"/>
    </row>
    <row r="35" spans="1:6" s="74" customFormat="1" ht="10.199999999999999">
      <c r="A35" s="779"/>
      <c r="B35" s="283" t="s">
        <v>265</v>
      </c>
      <c r="C35" s="809">
        <v>0.13100000000000001</v>
      </c>
      <c r="D35" s="810">
        <v>0.13800000000000001</v>
      </c>
      <c r="E35" s="810">
        <v>0.13</v>
      </c>
      <c r="F35" s="6"/>
    </row>
    <row r="36" spans="1:6" ht="12" customHeight="1">
      <c r="A36" s="779"/>
      <c r="B36" s="283" t="s">
        <v>266</v>
      </c>
      <c r="C36" s="811">
        <v>42484</v>
      </c>
      <c r="D36" s="812">
        <v>40813.416064523692</v>
      </c>
      <c r="E36" s="812">
        <v>41400</v>
      </c>
      <c r="F36" s="6"/>
    </row>
    <row r="37" spans="1:6" ht="12" customHeight="1">
      <c r="A37" s="779"/>
      <c r="B37" s="283" t="s">
        <v>267</v>
      </c>
      <c r="C37" s="811">
        <v>325631</v>
      </c>
      <c r="D37" s="812">
        <v>295131.09335281386</v>
      </c>
      <c r="E37" s="812">
        <v>319700</v>
      </c>
      <c r="F37" s="6"/>
    </row>
    <row r="38" spans="1:6" ht="12" customHeight="1">
      <c r="A38" s="779"/>
      <c r="B38" s="283" t="s">
        <v>268</v>
      </c>
      <c r="C38" s="1225">
        <v>4.4999999999999998E-2</v>
      </c>
      <c r="D38" s="813">
        <v>4.4999999999999998E-2</v>
      </c>
      <c r="E38" s="813">
        <v>4.5999999999999999E-2</v>
      </c>
      <c r="F38" s="6"/>
    </row>
    <row r="39" spans="1:6" s="15" customFormat="1" ht="12" customHeight="1">
      <c r="A39" s="775"/>
      <c r="B39" s="283" t="s">
        <v>269</v>
      </c>
      <c r="C39" s="1225">
        <v>4.4999999999999998E-2</v>
      </c>
      <c r="D39" s="813">
        <v>5.0999999999999997E-2</v>
      </c>
      <c r="E39" s="814">
        <v>4.9000000000000002E-2</v>
      </c>
      <c r="F39" s="6"/>
    </row>
    <row r="40" spans="1:6" ht="12" customHeight="1">
      <c r="A40" s="775"/>
      <c r="B40" s="283"/>
      <c r="C40" s="985"/>
      <c r="D40" s="815"/>
      <c r="E40" s="1226"/>
      <c r="F40" s="3"/>
    </row>
    <row r="41" spans="1:6" ht="14.25" customHeight="1">
      <c r="A41" s="775"/>
      <c r="B41" s="285" t="s">
        <v>270</v>
      </c>
      <c r="C41" s="816"/>
      <c r="D41" s="817"/>
      <c r="E41" s="818"/>
      <c r="F41" s="6"/>
    </row>
    <row r="42" spans="1:6" ht="12" customHeight="1">
      <c r="A42" s="777"/>
      <c r="B42" s="279" t="s">
        <v>271</v>
      </c>
      <c r="C42" s="819">
        <v>237000</v>
      </c>
      <c r="D42" s="820">
        <v>211000</v>
      </c>
      <c r="E42" s="820">
        <v>232000</v>
      </c>
      <c r="F42" s="2"/>
    </row>
    <row r="43" spans="1:6" ht="12" customHeight="1">
      <c r="A43" s="777"/>
      <c r="B43" s="283" t="s">
        <v>272</v>
      </c>
      <c r="C43" s="1227">
        <v>1.55</v>
      </c>
      <c r="D43" s="821">
        <v>1.6</v>
      </c>
      <c r="E43" s="821">
        <v>1.6</v>
      </c>
      <c r="F43" s="2"/>
    </row>
    <row r="44" spans="1:6" ht="12" customHeight="1">
      <c r="A44" s="777"/>
      <c r="B44" s="283" t="s">
        <v>273</v>
      </c>
      <c r="C44" s="1227">
        <v>0.79</v>
      </c>
      <c r="D44" s="821">
        <v>0.82</v>
      </c>
      <c r="E44" s="821">
        <v>0.8</v>
      </c>
      <c r="F44" s="4"/>
    </row>
    <row r="45" spans="1:6" s="74" customFormat="1" ht="12" customHeight="1">
      <c r="A45" s="777"/>
      <c r="B45" s="1"/>
      <c r="C45" s="1"/>
      <c r="D45" s="1"/>
      <c r="E45" s="1"/>
      <c r="F45" s="4"/>
    </row>
    <row r="46" spans="1:6" s="5" customFormat="1" ht="12" customHeight="1">
      <c r="A46" s="773"/>
      <c r="B46" s="1"/>
      <c r="C46" s="1"/>
      <c r="D46" s="1"/>
      <c r="E46" s="1"/>
      <c r="F46" s="4"/>
    </row>
    <row r="47" spans="1:6" s="5" customFormat="1" ht="12" customHeight="1">
      <c r="A47" s="774"/>
      <c r="B47" s="1"/>
      <c r="C47" s="1"/>
      <c r="D47" s="1"/>
      <c r="E47" s="1"/>
      <c r="F47" s="4"/>
    </row>
    <row r="48" spans="1:6" s="5" customFormat="1" ht="12" customHeight="1">
      <c r="A48" s="774"/>
      <c r="B48" s="1"/>
      <c r="C48" s="265"/>
      <c r="D48" s="1"/>
      <c r="E48" s="1"/>
      <c r="F48" s="1"/>
    </row>
    <row r="49" spans="1:6" s="5" customFormat="1" ht="12" customHeight="1">
      <c r="A49" s="774"/>
      <c r="B49" s="1"/>
      <c r="C49" s="265"/>
      <c r="D49" s="1"/>
      <c r="E49" s="1"/>
      <c r="F49" s="1"/>
    </row>
    <row r="50" spans="1:6" ht="12" customHeight="1">
      <c r="A50" s="774"/>
      <c r="C50" s="266"/>
    </row>
    <row r="51" spans="1:6" ht="12" customHeight="1">
      <c r="A51" s="774"/>
    </row>
    <row r="52" spans="1:6" ht="12" customHeight="1">
      <c r="A52" s="774"/>
    </row>
    <row r="53" spans="1:6" ht="12" customHeight="1">
      <c r="A53" s="774"/>
    </row>
    <row r="54" spans="1:6" ht="12" customHeight="1">
      <c r="A54" s="774"/>
      <c r="C54" s="711"/>
    </row>
    <row r="55" spans="1:6" ht="12" customHeight="1">
      <c r="A55" s="774"/>
      <c r="B55" s="491"/>
      <c r="C55" s="491"/>
      <c r="D55" s="491"/>
      <c r="E55" s="171"/>
    </row>
    <row r="56" spans="1:6" ht="10.199999999999999">
      <c r="A56" s="774"/>
      <c r="B56" s="491"/>
      <c r="C56" s="491"/>
      <c r="D56" s="491"/>
    </row>
    <row r="57" spans="1:6" ht="12" customHeight="1">
      <c r="A57" s="774"/>
      <c r="B57" s="491"/>
      <c r="C57" s="491"/>
      <c r="D57" s="491"/>
    </row>
    <row r="58" spans="1:6" ht="12" customHeight="1">
      <c r="A58" s="774"/>
      <c r="B58" s="491"/>
      <c r="C58" s="491"/>
      <c r="D58" s="491"/>
    </row>
    <row r="59" spans="1:6" ht="12" customHeight="1">
      <c r="A59" s="774"/>
      <c r="B59" s="491"/>
      <c r="C59" s="491"/>
      <c r="D59" s="491"/>
    </row>
    <row r="60" spans="1:6" ht="12" customHeight="1">
      <c r="A60" s="774"/>
    </row>
    <row r="61" spans="1:6" ht="12" customHeight="1">
      <c r="A61" s="774"/>
    </row>
    <row r="62" spans="1:6" ht="12" customHeight="1">
      <c r="A62" s="774"/>
    </row>
    <row r="63" spans="1:6" ht="12" customHeight="1">
      <c r="A63" s="774"/>
    </row>
    <row r="64" spans="1:6" ht="12" customHeight="1">
      <c r="A64" s="774"/>
    </row>
    <row r="65" spans="1:1" ht="12" customHeight="1">
      <c r="A65" s="774"/>
    </row>
    <row r="66" spans="1:1" ht="12" customHeight="1">
      <c r="A66" s="774"/>
    </row>
    <row r="67" spans="1:1" ht="12" customHeight="1">
      <c r="A67" s="774"/>
    </row>
    <row r="68" spans="1:1" ht="12" customHeight="1">
      <c r="A68" s="774"/>
    </row>
    <row r="69" spans="1:1" ht="12" customHeight="1">
      <c r="A69" s="774"/>
    </row>
    <row r="70" spans="1:1" ht="12" customHeight="1">
      <c r="A70" s="774"/>
    </row>
    <row r="71" spans="1:1" ht="12" customHeight="1">
      <c r="A71" s="774"/>
    </row>
    <row r="72" spans="1:1" ht="12" customHeight="1">
      <c r="A72" s="774"/>
    </row>
    <row r="73" spans="1:1" ht="12" customHeight="1">
      <c r="A73" s="774"/>
    </row>
    <row r="74" spans="1:1" ht="12" customHeight="1">
      <c r="A74" s="774"/>
    </row>
    <row r="75" spans="1:1" ht="12" customHeight="1">
      <c r="A75" s="774"/>
    </row>
    <row r="76" spans="1:1" ht="12" customHeight="1">
      <c r="A76" s="774"/>
    </row>
    <row r="77" spans="1:1" ht="12" customHeight="1">
      <c r="A77" s="774"/>
    </row>
    <row r="78" spans="1:1" ht="12" customHeight="1">
      <c r="A78" s="774"/>
    </row>
    <row r="79" spans="1:1" ht="12" customHeight="1">
      <c r="A79" s="774"/>
    </row>
    <row r="80" spans="1:1" ht="12" customHeight="1">
      <c r="A80" s="774"/>
    </row>
    <row r="81" spans="1:1" ht="12" customHeight="1">
      <c r="A81" s="774"/>
    </row>
    <row r="84" spans="1:1" ht="12" customHeight="1">
      <c r="A84" s="774"/>
    </row>
    <row r="85" spans="1:1" ht="12" customHeight="1">
      <c r="A85" s="774"/>
    </row>
    <row r="86" spans="1:1" ht="12" customHeight="1">
      <c r="A86" s="774"/>
    </row>
    <row r="87" spans="1:1" ht="12" customHeight="1">
      <c r="A87" s="774"/>
    </row>
    <row r="88" spans="1:1" ht="12" customHeight="1">
      <c r="A88" s="774"/>
    </row>
    <row r="90" spans="1:1" ht="12" customHeight="1">
      <c r="A90" s="774"/>
    </row>
    <row r="91" spans="1:1" ht="12" customHeight="1">
      <c r="A91" s="774"/>
    </row>
    <row r="92" spans="1:1" ht="12" customHeight="1">
      <c r="A92" s="774"/>
    </row>
    <row r="93" spans="1:1" ht="12" customHeight="1">
      <c r="A93" s="774"/>
    </row>
    <row r="94" spans="1:1" ht="12" customHeight="1">
      <c r="A94" s="774"/>
    </row>
    <row r="97" spans="1:1" ht="12" customHeight="1">
      <c r="A97" s="774"/>
    </row>
    <row r="98" spans="1:1" ht="12" customHeight="1">
      <c r="A98" s="774"/>
    </row>
    <row r="99" spans="1:1" ht="12" customHeight="1">
      <c r="A99" s="774"/>
    </row>
    <row r="100" spans="1:1" ht="12" customHeight="1">
      <c r="A100" s="774"/>
    </row>
    <row r="101" spans="1:1" ht="12" customHeight="1">
      <c r="A101" s="774"/>
    </row>
    <row r="102" spans="1:1" ht="12" customHeight="1">
      <c r="A102" s="774"/>
    </row>
    <row r="103" spans="1:1" ht="12" customHeight="1">
      <c r="A103" s="774"/>
    </row>
    <row r="104" spans="1:1" ht="12" customHeight="1">
      <c r="A104" s="774"/>
    </row>
    <row r="105" spans="1:1" ht="12" customHeight="1">
      <c r="A105" s="774"/>
    </row>
    <row r="106" spans="1:1" ht="12" customHeight="1">
      <c r="A106" s="774"/>
    </row>
    <row r="107" spans="1:1" ht="12" customHeight="1">
      <c r="A107" s="774"/>
    </row>
    <row r="108" spans="1:1" ht="12" customHeight="1">
      <c r="A108" s="774"/>
    </row>
    <row r="109" spans="1:1" ht="12" customHeight="1">
      <c r="A109" s="774"/>
    </row>
    <row r="110" spans="1:1" ht="12" customHeight="1">
      <c r="A110" s="774"/>
    </row>
    <row r="111" spans="1:1" ht="12" customHeight="1">
      <c r="A111" s="774"/>
    </row>
    <row r="112" spans="1:1" ht="12" customHeight="1">
      <c r="A112" s="774"/>
    </row>
    <row r="113" spans="1:1" ht="12" customHeight="1">
      <c r="A113" s="774"/>
    </row>
    <row r="114" spans="1:1" ht="12" customHeight="1">
      <c r="A114" s="774"/>
    </row>
    <row r="115" spans="1:1" ht="12" customHeight="1">
      <c r="A115" s="774"/>
    </row>
    <row r="116" spans="1:1" ht="12" customHeight="1">
      <c r="A116" s="774"/>
    </row>
    <row r="117" spans="1:1" ht="12" customHeight="1">
      <c r="A117" s="774"/>
    </row>
    <row r="118" spans="1:1" ht="12" customHeight="1">
      <c r="A118" s="774"/>
    </row>
    <row r="119" spans="1:1" ht="12" customHeight="1">
      <c r="A119" s="774"/>
    </row>
    <row r="120" spans="1:1" ht="12" customHeight="1">
      <c r="A120" s="774"/>
    </row>
    <row r="121" spans="1:1" ht="12" customHeight="1">
      <c r="A121" s="774"/>
    </row>
    <row r="122" spans="1:1" ht="12" customHeight="1">
      <c r="A122" s="774"/>
    </row>
    <row r="123" spans="1:1" ht="12" customHeight="1">
      <c r="A123" s="774"/>
    </row>
    <row r="124" spans="1:1" ht="12" customHeight="1">
      <c r="A124" s="774"/>
    </row>
    <row r="125" spans="1:1" ht="12" customHeight="1">
      <c r="A125" s="774"/>
    </row>
    <row r="126" spans="1:1" ht="12" customHeight="1">
      <c r="A126" s="774"/>
    </row>
    <row r="128" spans="1:1" ht="12" customHeight="1">
      <c r="A128" s="774"/>
    </row>
    <row r="129" spans="1:1" ht="12" customHeight="1">
      <c r="A129" s="774"/>
    </row>
    <row r="130" spans="1:1" ht="12" customHeight="1">
      <c r="A130" s="774"/>
    </row>
    <row r="131" spans="1:1" ht="12" customHeight="1">
      <c r="A131" s="774"/>
    </row>
    <row r="132" spans="1:1" ht="12" customHeight="1">
      <c r="A132" s="774"/>
    </row>
    <row r="133" spans="1:1" ht="12" customHeight="1">
      <c r="A133" s="774"/>
    </row>
    <row r="134" spans="1:1" ht="12" customHeight="1">
      <c r="A134" s="774"/>
    </row>
    <row r="135" spans="1:1" ht="12" customHeight="1">
      <c r="A135" s="774"/>
    </row>
    <row r="136" spans="1:1" ht="12" customHeight="1">
      <c r="A136" s="774"/>
    </row>
    <row r="139" spans="1:1" ht="12" customHeight="1">
      <c r="A139" s="774"/>
    </row>
    <row r="140" spans="1:1" ht="12" customHeight="1">
      <c r="A140" s="774"/>
    </row>
    <row r="141" spans="1:1" ht="12" customHeight="1">
      <c r="A141" s="774"/>
    </row>
    <row r="143" spans="1:1" ht="12" customHeight="1">
      <c r="A143" s="774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2:Q151"/>
  <sheetViews>
    <sheetView showGridLines="0" workbookViewId="0">
      <selection activeCell="D48" sqref="D48"/>
    </sheetView>
  </sheetViews>
  <sheetFormatPr defaultColWidth="9" defaultRowHeight="12" customHeight="1"/>
  <cols>
    <col min="1" max="1" width="6.77734375" style="43" customWidth="1"/>
    <col min="2" max="2" width="50" style="43" customWidth="1"/>
    <col min="3" max="3" width="15.77734375" style="198" customWidth="1"/>
    <col min="4" max="5" width="15.77734375" style="74" customWidth="1"/>
    <col min="6" max="6" width="8" style="191" customWidth="1"/>
    <col min="7" max="7" width="8" style="43" customWidth="1"/>
    <col min="8" max="8" width="11.6640625" style="43" customWidth="1"/>
    <col min="9" max="9" width="8" style="43" customWidth="1"/>
    <col min="10" max="10" width="10" style="43" customWidth="1"/>
    <col min="11" max="11" width="8" style="43" customWidth="1"/>
    <col min="12" max="12" width="14.77734375" style="43" customWidth="1"/>
    <col min="13" max="13" width="7.21875" style="43" customWidth="1"/>
    <col min="14" max="14" width="9.6640625" style="43" customWidth="1"/>
    <col min="15" max="72" width="8" style="43" customWidth="1"/>
    <col min="73" max="16384" width="9" style="43"/>
  </cols>
  <sheetData>
    <row r="2" spans="2:15" ht="12.75" customHeight="1">
      <c r="B2" s="725" t="s">
        <v>163</v>
      </c>
      <c r="C2" s="388" t="s">
        <v>158</v>
      </c>
      <c r="D2" s="388" t="s">
        <v>158</v>
      </c>
      <c r="E2" s="199"/>
      <c r="F2" s="19"/>
      <c r="G2" s="46"/>
      <c r="H2" s="46"/>
      <c r="I2" s="46"/>
      <c r="J2" s="46"/>
      <c r="K2" s="46"/>
      <c r="L2" s="46"/>
      <c r="M2" s="46"/>
      <c r="N2" s="46"/>
      <c r="O2" s="46"/>
    </row>
    <row r="3" spans="2:15" ht="12" customHeight="1">
      <c r="B3" s="725" t="s">
        <v>24</v>
      </c>
      <c r="C3" s="388" t="s">
        <v>156</v>
      </c>
      <c r="D3" s="388" t="s">
        <v>157</v>
      </c>
      <c r="E3" s="388"/>
      <c r="F3" s="19"/>
      <c r="G3" s="46"/>
      <c r="H3" s="46"/>
      <c r="I3" s="46"/>
      <c r="J3" s="46"/>
      <c r="K3" s="46"/>
      <c r="L3" s="46"/>
      <c r="M3" s="46"/>
      <c r="N3" s="46"/>
      <c r="O3" s="46"/>
    </row>
    <row r="4" spans="2:15" ht="12" customHeight="1">
      <c r="B4" s="389" t="s">
        <v>164</v>
      </c>
      <c r="C4" s="715" t="s">
        <v>2</v>
      </c>
      <c r="D4" s="715" t="s">
        <v>2</v>
      </c>
      <c r="E4" s="390" t="s">
        <v>3</v>
      </c>
      <c r="F4" s="19"/>
      <c r="G4" s="46"/>
      <c r="H4" s="47" t="s">
        <v>22</v>
      </c>
      <c r="I4" s="46"/>
      <c r="J4" s="46"/>
      <c r="K4" s="46"/>
      <c r="L4" s="47" t="e">
        <f>CQtr&amp;" YTD"</f>
        <v>#REF!</v>
      </c>
      <c r="M4" s="47" t="e">
        <f>PPPPQtr&amp;" YTD"</f>
        <v>#REF!</v>
      </c>
      <c r="N4" s="46"/>
      <c r="O4" s="46"/>
    </row>
    <row r="5" spans="2:15" ht="12" customHeight="1">
      <c r="B5" s="391" t="s">
        <v>179</v>
      </c>
      <c r="C5" s="487">
        <v>5887.9999999999991</v>
      </c>
      <c r="D5" s="488">
        <v>6028</v>
      </c>
      <c r="E5" s="387">
        <v>-2.3224950232249504</v>
      </c>
      <c r="F5" s="19"/>
      <c r="G5" s="46"/>
      <c r="H5" s="32">
        <f>IFERROR(ROUND(IF(C5&gt;0,100*(ROUND(C5,0)-ROUND(D5,0))/ROUND(D5,0),-100*(ROUND(C5,0)-ROUND(D5,0))/ROUND(D5,0)),0)-ROUND(E5,0),0)</f>
        <v>0</v>
      </c>
      <c r="I5" s="46"/>
      <c r="J5" s="47" t="s">
        <v>15</v>
      </c>
      <c r="K5" s="46"/>
      <c r="L5" s="47" t="s">
        <v>47</v>
      </c>
      <c r="M5" s="1616"/>
      <c r="N5" s="1616"/>
      <c r="O5" s="46"/>
    </row>
    <row r="6" spans="2:15" ht="12" customHeight="1">
      <c r="B6" s="392" t="s">
        <v>180</v>
      </c>
      <c r="C6" s="393">
        <v>1465</v>
      </c>
      <c r="D6" s="546">
        <v>1355</v>
      </c>
      <c r="E6" s="546">
        <v>8.1180811808118083</v>
      </c>
      <c r="F6" s="19"/>
      <c r="G6" s="46"/>
      <c r="H6" s="32">
        <f>IFERROR(ROUND(IF(C6&gt;0,100*(ROUND(C6,0)-ROUND(D6,0))/ROUND(D6,0),-100*(ROUND(C6,0)-ROUND(D6,0))/ROUND(D6,0)),0)-ROUND(E6,0),0)</f>
        <v>0</v>
      </c>
      <c r="I6" s="46"/>
      <c r="J6" s="47" t="e">
        <f>CQtr&amp;" YTD"</f>
        <v>#REF!</v>
      </c>
      <c r="K6" s="47" t="e">
        <f>PPPPQtr&amp;" YTD"</f>
        <v>#REF!</v>
      </c>
      <c r="L6" s="47"/>
      <c r="M6" s="1616"/>
      <c r="N6" s="1616"/>
      <c r="O6" s="47"/>
    </row>
    <row r="7" spans="2:15" ht="12" customHeight="1">
      <c r="B7" s="395" t="s">
        <v>101</v>
      </c>
      <c r="C7" s="396">
        <v>7352.9999999999982</v>
      </c>
      <c r="D7" s="397">
        <v>7383</v>
      </c>
      <c r="E7" s="398" t="s">
        <v>151</v>
      </c>
      <c r="F7" s="19"/>
      <c r="G7" s="46"/>
      <c r="H7" s="32">
        <f t="shared" ref="H7:H17" si="0">IFERROR(ROUND(IF(C7&gt;0,100*(ROUND(C7,0)-ROUND(D7,0))/ROUND(D7,0),-100*(ROUND(C7,0)-ROUND(D7,0))/ROUND(D7,0)),0)-ROUND(E7,0),0)</f>
        <v>0</v>
      </c>
      <c r="I7" s="46"/>
      <c r="J7" s="32">
        <f>ROUND(C5,0)+ROUND(C6,0)-ROUND(C7,0)</f>
        <v>0</v>
      </c>
      <c r="K7" s="32">
        <f>ROUND(D5,0)+ROUND(D6,0)-ROUND(D7,0)</f>
        <v>0</v>
      </c>
      <c r="L7" s="32">
        <f>C7-'CYYTD performance measures excl'!B10</f>
        <v>0</v>
      </c>
      <c r="M7" s="32">
        <f>D7-'PYYTD performance measures'!B10</f>
        <v>0</v>
      </c>
      <c r="N7" s="38"/>
      <c r="O7" s="46"/>
    </row>
    <row r="8" spans="2:15" ht="14.25" customHeight="1">
      <c r="B8" s="392" t="s">
        <v>171</v>
      </c>
      <c r="C8" s="393">
        <v>-712</v>
      </c>
      <c r="D8" s="546">
        <v>-826</v>
      </c>
      <c r="E8" s="546">
        <v>13.801452784503631</v>
      </c>
      <c r="F8" s="19"/>
      <c r="G8" s="46"/>
      <c r="H8" s="32">
        <f t="shared" si="0"/>
        <v>0</v>
      </c>
      <c r="I8" s="46"/>
      <c r="J8" s="46"/>
      <c r="K8" s="46"/>
      <c r="L8" s="46"/>
      <c r="M8" s="38"/>
      <c r="N8" s="38"/>
      <c r="O8" s="46"/>
    </row>
    <row r="9" spans="2:15" ht="12" customHeight="1">
      <c r="B9" s="395" t="s">
        <v>172</v>
      </c>
      <c r="C9" s="396">
        <v>6640.9999999999991</v>
      </c>
      <c r="D9" s="397">
        <v>6557</v>
      </c>
      <c r="E9" s="398">
        <v>1.2810736617355498</v>
      </c>
      <c r="F9" s="19"/>
      <c r="G9" s="46"/>
      <c r="H9" s="32">
        <f t="shared" si="0"/>
        <v>0</v>
      </c>
      <c r="I9" s="46"/>
      <c r="J9" s="46"/>
      <c r="K9" s="46"/>
      <c r="L9" s="46"/>
      <c r="M9" s="46"/>
      <c r="N9" s="46"/>
      <c r="O9" s="46"/>
    </row>
    <row r="10" spans="2:15" ht="12" customHeight="1">
      <c r="B10" s="399" t="s">
        <v>96</v>
      </c>
      <c r="C10" s="400">
        <v>-3995.6944750200009</v>
      </c>
      <c r="D10" s="489">
        <v>-4075</v>
      </c>
      <c r="E10" s="401">
        <v>1.9386503067484662</v>
      </c>
      <c r="F10" s="19"/>
      <c r="G10" s="46"/>
      <c r="H10" s="32">
        <f t="shared" si="0"/>
        <v>0</v>
      </c>
      <c r="I10" s="46"/>
      <c r="J10" s="32">
        <f>ROUND(C7,0)+ROUND(C8,0)-ROUND(C9,0)</f>
        <v>0</v>
      </c>
      <c r="K10" s="32">
        <f>ROUND(D7,0)+ROUND(D8,0)-ROUND(D9,0)</f>
        <v>0</v>
      </c>
      <c r="L10" s="32">
        <f>ROUND(C10,0)+ROUND(C11,0)-ROUND('CYYTD performance measures excl'!B8,0)</f>
        <v>0</v>
      </c>
      <c r="M10" s="32">
        <f>D10+D11-'PYYTD performance measures'!B8</f>
        <v>0</v>
      </c>
      <c r="N10" s="46"/>
      <c r="O10" s="46"/>
    </row>
    <row r="11" spans="2:15" ht="12" customHeight="1">
      <c r="B11" s="392" t="s">
        <v>155</v>
      </c>
      <c r="C11" s="393">
        <v>-41</v>
      </c>
      <c r="D11" s="546">
        <v>-46</v>
      </c>
      <c r="E11" s="394">
        <v>10.869565217391305</v>
      </c>
      <c r="F11" s="19"/>
      <c r="G11" s="46"/>
      <c r="H11" s="32">
        <f t="shared" si="0"/>
        <v>0</v>
      </c>
      <c r="I11" s="46"/>
      <c r="J11" s="46"/>
      <c r="K11" s="46"/>
      <c r="L11" s="46"/>
      <c r="M11" s="46"/>
      <c r="N11" s="46"/>
      <c r="O11" s="46"/>
    </row>
    <row r="12" spans="2:15" ht="12" customHeight="1">
      <c r="B12" s="395" t="s">
        <v>0</v>
      </c>
      <c r="C12" s="396">
        <v>-4036.6944750200009</v>
      </c>
      <c r="D12" s="397">
        <v>-4121</v>
      </c>
      <c r="E12" s="398">
        <v>2.0383402086872118</v>
      </c>
      <c r="F12" s="19"/>
      <c r="G12" s="46"/>
      <c r="H12" s="32">
        <f t="shared" si="0"/>
        <v>0</v>
      </c>
      <c r="I12" s="46"/>
      <c r="J12" s="32">
        <f>ROUND(C10,0)+ROUND(C11,0)-ROUND(C12,0)</f>
        <v>0</v>
      </c>
      <c r="K12" s="32">
        <f>ROUND(D10,0)+ROUND(D11,0)-ROUND(D12,0)</f>
        <v>0</v>
      </c>
      <c r="L12" s="32">
        <f>ROUND(C12,0)-ROUND('CYYTD performance measures excl'!B8,0)</f>
        <v>0</v>
      </c>
      <c r="M12" s="32">
        <f>ROUND(D12,0)-'PYYTD performance measures'!B8</f>
        <v>0</v>
      </c>
      <c r="N12" s="46"/>
      <c r="O12" s="46"/>
    </row>
    <row r="13" spans="2:15" ht="12" customHeight="1">
      <c r="B13" s="392" t="s">
        <v>4</v>
      </c>
      <c r="C13" s="393">
        <v>-1582.30552498</v>
      </c>
      <c r="D13" s="546">
        <v>-483</v>
      </c>
      <c r="E13" s="546" t="s">
        <v>1</v>
      </c>
      <c r="F13" s="19"/>
      <c r="G13" s="46"/>
      <c r="H13" s="32">
        <f t="shared" si="0"/>
        <v>0</v>
      </c>
      <c r="I13" s="46"/>
      <c r="J13" s="46"/>
      <c r="K13" s="46"/>
      <c r="L13" s="46"/>
      <c r="M13" s="46"/>
      <c r="N13" s="46"/>
      <c r="O13" s="46"/>
    </row>
    <row r="14" spans="2:15" ht="12" customHeight="1">
      <c r="B14" s="395" t="s">
        <v>5</v>
      </c>
      <c r="C14" s="396">
        <v>-5619.0000000000009</v>
      </c>
      <c r="D14" s="288">
        <v>-4604</v>
      </c>
      <c r="E14" s="398">
        <v>-22.046046915725455</v>
      </c>
      <c r="F14" s="19"/>
      <c r="G14" s="46"/>
      <c r="H14" s="32">
        <f t="shared" si="0"/>
        <v>0</v>
      </c>
      <c r="I14" s="46"/>
      <c r="J14" s="32">
        <f>+ROUND(C10,0)-ROUND(C14,0)+ROUND(C13,0)+ROUND(C11,0)</f>
        <v>0</v>
      </c>
      <c r="K14" s="32">
        <f>+ROUND(D10,0)-ROUND(D14,0)+ROUND(D13,0)+ROUND(D11,0)</f>
        <v>0</v>
      </c>
      <c r="L14" s="32">
        <f>C14-'CYYTD performance measures excl'!B6</f>
        <v>0</v>
      </c>
      <c r="M14" s="32">
        <f>D14-'PYYTD performance measures'!B6</f>
        <v>0</v>
      </c>
      <c r="N14" s="38"/>
      <c r="O14" s="46"/>
    </row>
    <row r="15" spans="2:15" ht="12" customHeight="1">
      <c r="B15" s="595" t="s">
        <v>173</v>
      </c>
      <c r="C15" s="393" t="s">
        <v>151</v>
      </c>
      <c r="D15" s="289">
        <v>3</v>
      </c>
      <c r="E15" s="546" t="s">
        <v>1</v>
      </c>
      <c r="F15" s="19"/>
      <c r="G15" s="46"/>
      <c r="H15" s="32">
        <f t="shared" si="0"/>
        <v>0</v>
      </c>
      <c r="I15" s="46"/>
      <c r="J15" s="46"/>
      <c r="K15" s="46"/>
      <c r="L15" s="47"/>
      <c r="M15" s="47"/>
      <c r="N15" s="38"/>
      <c r="O15" s="46"/>
    </row>
    <row r="16" spans="2:15" ht="12" customHeight="1">
      <c r="B16" s="395" t="s">
        <v>102</v>
      </c>
      <c r="C16" s="396">
        <v>1021.9999999999984</v>
      </c>
      <c r="D16" s="397">
        <v>1956</v>
      </c>
      <c r="E16" s="398">
        <v>-47.750511247443761</v>
      </c>
      <c r="F16" s="19"/>
      <c r="G16" s="46"/>
      <c r="H16" s="32">
        <f t="shared" si="0"/>
        <v>0</v>
      </c>
      <c r="I16" s="46"/>
      <c r="J16" s="32" t="e">
        <f>ROUND(C9,0)+ROUND(C10,0)+ROUND(C15,0)-ROUND(C16,0)+ROUND(C13,0)+ROUND(C11,0)</f>
        <v>#VALUE!</v>
      </c>
      <c r="K16" s="32">
        <f>ROUND(D9,0)+ROUND(D10,0)+ROUND(D15,0)-ROUND(D16,0)+ROUND(D13,0)+ROUND(D11,0)</f>
        <v>0</v>
      </c>
      <c r="L16" s="32">
        <f>C16-'CYYTD performance measures excl'!B15</f>
        <v>0</v>
      </c>
      <c r="M16" s="32">
        <f>D16-'PYYTD performance measures'!B15</f>
        <v>0</v>
      </c>
      <c r="N16" s="38"/>
      <c r="O16" s="46"/>
    </row>
    <row r="17" spans="2:15" ht="12" customHeight="1">
      <c r="B17" s="402" t="s">
        <v>181</v>
      </c>
      <c r="C17" s="400">
        <v>280.99999999999829</v>
      </c>
      <c r="D17" s="489">
        <v>1198</v>
      </c>
      <c r="E17" s="489">
        <v>-76.544240400667775</v>
      </c>
      <c r="F17" s="19"/>
      <c r="G17" s="46"/>
      <c r="H17" s="32">
        <f t="shared" si="0"/>
        <v>0</v>
      </c>
      <c r="I17" s="46"/>
      <c r="J17" s="46"/>
      <c r="K17" s="228" t="s">
        <v>90</v>
      </c>
      <c r="L17" s="32">
        <f>C17-'CYYTD performance measures excl'!B20</f>
        <v>0</v>
      </c>
      <c r="M17" s="32">
        <f>D17-'PYYTD performance measures'!B20</f>
        <v>0</v>
      </c>
      <c r="N17" s="46"/>
      <c r="O17" s="46"/>
    </row>
    <row r="18" spans="2:15" ht="12" customHeight="1">
      <c r="B18" s="402"/>
      <c r="C18" s="489"/>
      <c r="D18" s="489"/>
      <c r="E18" s="290"/>
      <c r="F18" s="65"/>
      <c r="G18" s="46"/>
      <c r="H18" s="46"/>
      <c r="I18" s="228"/>
      <c r="J18" s="46"/>
      <c r="K18" s="46"/>
      <c r="L18" s="46"/>
      <c r="M18" s="46"/>
      <c r="N18" s="46"/>
      <c r="O18" s="46"/>
    </row>
    <row r="19" spans="2:15" ht="12" customHeight="1">
      <c r="B19" s="404" t="s">
        <v>182</v>
      </c>
      <c r="C19" s="353" t="s">
        <v>150</v>
      </c>
      <c r="D19" s="353" t="s">
        <v>150</v>
      </c>
      <c r="E19" s="353"/>
      <c r="F19" s="65"/>
      <c r="G19" s="48"/>
      <c r="H19" s="48" t="s">
        <v>23</v>
      </c>
      <c r="I19" s="48"/>
      <c r="J19" s="48"/>
      <c r="K19" s="48"/>
      <c r="L19" s="257" t="e">
        <f>CQtr</f>
        <v>#REF!</v>
      </c>
      <c r="M19" s="257" t="s">
        <v>44</v>
      </c>
      <c r="N19" s="257" t="s">
        <v>41</v>
      </c>
      <c r="O19" s="46"/>
    </row>
    <row r="20" spans="2:15" s="75" customFormat="1" ht="12" customHeight="1">
      <c r="B20" s="490" t="s">
        <v>110</v>
      </c>
      <c r="C20" s="405">
        <v>193700</v>
      </c>
      <c r="D20" s="406">
        <v>187600</v>
      </c>
      <c r="E20" s="406"/>
      <c r="F20" s="65"/>
      <c r="G20" s="250" t="s">
        <v>110</v>
      </c>
      <c r="H20" s="195">
        <f>ROUND(C20,-2)-ROUND(L20,-2)</f>
        <v>-2000</v>
      </c>
      <c r="I20" s="32">
        <f t="shared" ref="H20:I22" si="1">ROUND(D20,-2)-ROUND(M20,-2)</f>
        <v>100</v>
      </c>
      <c r="J20" s="32"/>
      <c r="K20" s="48"/>
      <c r="L20" s="252">
        <f>'Barclays UK Qrtly'!C20</f>
        <v>195700</v>
      </c>
      <c r="M20" s="252">
        <f>'Barclays UK Qrtly'!H20</f>
        <v>187500</v>
      </c>
      <c r="N20" s="252">
        <f>'Barclays UK Qrtly'!J20</f>
        <v>187600</v>
      </c>
      <c r="O20" s="46"/>
    </row>
    <row r="21" spans="2:15" ht="12" customHeight="1">
      <c r="B21" s="407" t="s">
        <v>10</v>
      </c>
      <c r="C21" s="408">
        <v>257775.99999999988</v>
      </c>
      <c r="D21" s="547">
        <v>249700</v>
      </c>
      <c r="E21" s="547"/>
      <c r="F21" s="19"/>
      <c r="G21" s="250" t="s">
        <v>111</v>
      </c>
      <c r="H21" s="32">
        <f t="shared" si="1"/>
        <v>-9700</v>
      </c>
      <c r="I21" s="32">
        <f t="shared" si="1"/>
        <v>-3400</v>
      </c>
      <c r="J21" s="32"/>
      <c r="K21" s="48"/>
      <c r="L21" s="252">
        <f>'Barclays UK Qrtly'!C21</f>
        <v>267542</v>
      </c>
      <c r="M21" s="252">
        <f>'Barclays UK Qrtly'!H21</f>
        <v>253086</v>
      </c>
      <c r="N21" s="252">
        <f>'Barclays UK Qrtly'!J21</f>
        <v>249669.00000000006</v>
      </c>
      <c r="O21" s="46"/>
    </row>
    <row r="22" spans="2:15" ht="12" customHeight="1">
      <c r="B22" s="402" t="s">
        <v>112</v>
      </c>
      <c r="C22" s="408">
        <v>205477.23682473</v>
      </c>
      <c r="D22" s="547">
        <v>197300</v>
      </c>
      <c r="E22" s="547"/>
      <c r="F22" s="19"/>
      <c r="G22" s="250" t="s">
        <v>112</v>
      </c>
      <c r="H22" s="32">
        <f t="shared" si="1"/>
        <v>-2000</v>
      </c>
      <c r="I22" s="32">
        <f t="shared" si="1"/>
        <v>0</v>
      </c>
      <c r="J22" s="32"/>
      <c r="K22" s="48"/>
      <c r="L22" s="252">
        <f>'Barclays UK Qrtly'!C22</f>
        <v>207489.79166153999</v>
      </c>
      <c r="M22" s="252">
        <f>'Barclays UK Qrtly'!H22</f>
        <v>197284.40784581</v>
      </c>
      <c r="N22" s="252">
        <f>'Barclays UK Qrtly'!J22</f>
        <v>197279.45796418999</v>
      </c>
      <c r="O22" s="46"/>
    </row>
    <row r="23" spans="2:15" ht="12" customHeight="1">
      <c r="B23" s="402" t="s">
        <v>109</v>
      </c>
      <c r="C23" s="318">
        <v>0.96</v>
      </c>
      <c r="D23" s="319">
        <v>0.96</v>
      </c>
      <c r="E23" s="320"/>
      <c r="F23" s="19"/>
      <c r="G23" s="250" t="s">
        <v>109</v>
      </c>
      <c r="H23" s="251">
        <f>C23-L23</f>
        <v>0</v>
      </c>
      <c r="I23" s="251">
        <f>D23-M23</f>
        <v>0</v>
      </c>
      <c r="J23" s="251"/>
      <c r="K23" s="48"/>
      <c r="L23" s="253">
        <f>'Barclays UK Qrtly'!C23</f>
        <v>0.96</v>
      </c>
      <c r="M23" s="253">
        <f>'Barclays UK Qrtly'!H23</f>
        <v>0.96</v>
      </c>
      <c r="N23" s="253">
        <f>'Barclays UK Qrtly'!J23</f>
        <v>0.96</v>
      </c>
      <c r="O23" s="46"/>
    </row>
    <row r="24" spans="2:15" ht="12" customHeight="1">
      <c r="B24" s="407" t="s">
        <v>113</v>
      </c>
      <c r="C24" s="408">
        <v>74900.809200652569</v>
      </c>
      <c r="D24" s="547">
        <v>75200</v>
      </c>
      <c r="E24" s="547"/>
      <c r="F24" s="19"/>
      <c r="G24" s="250" t="s">
        <v>113</v>
      </c>
      <c r="H24" s="32">
        <f t="shared" ref="H24:I25" si="2">ROUND(C24,-2)-ROUND(L24,-2)</f>
        <v>-2800</v>
      </c>
      <c r="I24" s="32">
        <f t="shared" si="2"/>
        <v>-1400</v>
      </c>
      <c r="J24" s="32"/>
      <c r="K24" s="48"/>
      <c r="L24" s="252">
        <f>'Barclays UK Qrtly'!C24</f>
        <v>77677.999999999971</v>
      </c>
      <c r="M24" s="252">
        <f>'Barclays UK Qrtly'!H24</f>
        <v>76558.949245890108</v>
      </c>
      <c r="N24" s="252">
        <f>'Barclays UK Qrtly'!J24</f>
        <v>75181.000000000044</v>
      </c>
      <c r="O24" s="46"/>
    </row>
    <row r="25" spans="2:15" ht="12" customHeight="1">
      <c r="B25" s="407" t="s">
        <v>114</v>
      </c>
      <c r="C25" s="408">
        <v>10253.791659372289</v>
      </c>
      <c r="D25" s="547">
        <v>10200</v>
      </c>
      <c r="E25" s="547"/>
      <c r="F25" s="19"/>
      <c r="G25" s="250" t="s">
        <v>114</v>
      </c>
      <c r="H25" s="32">
        <f t="shared" si="2"/>
        <v>-300</v>
      </c>
      <c r="I25" s="32">
        <f t="shared" si="2"/>
        <v>-300</v>
      </c>
      <c r="J25" s="32"/>
      <c r="K25" s="48"/>
      <c r="L25" s="252">
        <f>'Barclays UK Qrtly'!C25</f>
        <v>10645.223208677426</v>
      </c>
      <c r="M25" s="252">
        <f>'Barclays UK Qrtly'!H25</f>
        <v>10466.111789959506</v>
      </c>
      <c r="N25" s="252">
        <f>'Barclays UK Qrtly'!J25</f>
        <v>10201.51053444723</v>
      </c>
      <c r="O25" s="46"/>
    </row>
    <row r="26" spans="2:15" ht="12" customHeight="1">
      <c r="B26" s="407"/>
      <c r="C26" s="547"/>
      <c r="D26" s="547"/>
      <c r="E26" s="547"/>
      <c r="F26" s="19"/>
      <c r="G26" s="48"/>
      <c r="H26" s="48"/>
      <c r="I26" s="48"/>
      <c r="J26" s="48"/>
      <c r="K26" s="48"/>
      <c r="L26" s="48"/>
      <c r="M26" s="48"/>
      <c r="N26" s="48"/>
      <c r="O26" s="46"/>
    </row>
    <row r="27" spans="2:15" s="201" customFormat="1" ht="12.75" customHeight="1">
      <c r="B27" s="404" t="s">
        <v>183</v>
      </c>
      <c r="C27" s="353"/>
      <c r="D27" s="353"/>
      <c r="E27" s="353"/>
      <c r="F27" s="19"/>
      <c r="G27" s="48"/>
      <c r="H27" s="48"/>
      <c r="I27" s="48"/>
      <c r="J27" s="48"/>
      <c r="K27" s="48"/>
      <c r="L27" s="48"/>
      <c r="M27" s="48"/>
      <c r="N27" s="48"/>
      <c r="O27" s="46"/>
    </row>
    <row r="28" spans="2:15" s="201" customFormat="1" ht="12.75" customHeight="1">
      <c r="B28" s="490" t="s">
        <v>184</v>
      </c>
      <c r="C28" s="770">
        <v>0.51</v>
      </c>
      <c r="D28" s="723">
        <v>0.49</v>
      </c>
      <c r="E28" s="406"/>
      <c r="F28" s="19"/>
      <c r="G28" s="48"/>
      <c r="H28" s="48"/>
      <c r="I28" s="48"/>
      <c r="J28" s="48"/>
      <c r="K28" s="48"/>
      <c r="L28" s="48"/>
      <c r="M28" s="48"/>
      <c r="N28" s="48"/>
      <c r="O28" s="46"/>
    </row>
    <row r="29" spans="2:15" s="201" customFormat="1" ht="12.75" customHeight="1">
      <c r="B29" s="407" t="s">
        <v>185</v>
      </c>
      <c r="C29" s="343">
        <v>0.68</v>
      </c>
      <c r="D29" s="319">
        <v>0.65</v>
      </c>
      <c r="E29" s="547"/>
      <c r="F29" s="19"/>
      <c r="G29" s="48"/>
      <c r="H29" s="48"/>
      <c r="I29" s="48"/>
      <c r="J29" s="48"/>
      <c r="K29" s="48"/>
      <c r="L29" s="48"/>
      <c r="M29" s="48"/>
      <c r="N29" s="48"/>
      <c r="O29" s="46"/>
    </row>
    <row r="30" spans="2:15" s="201" customFormat="1" ht="12.75" customHeight="1">
      <c r="B30" s="402" t="s">
        <v>186</v>
      </c>
      <c r="C30" s="743">
        <v>963</v>
      </c>
      <c r="D30" s="330">
        <v>1058</v>
      </c>
      <c r="E30" s="547"/>
      <c r="F30" s="19"/>
      <c r="G30" s="48"/>
      <c r="H30" s="48"/>
      <c r="I30" s="48"/>
      <c r="J30" s="48"/>
      <c r="K30" s="48"/>
      <c r="L30" s="48"/>
      <c r="M30" s="48"/>
      <c r="N30" s="48"/>
      <c r="O30" s="46"/>
    </row>
    <row r="31" spans="2:15" s="201" customFormat="1" ht="12.75" customHeight="1">
      <c r="B31" s="402" t="s">
        <v>187</v>
      </c>
      <c r="C31" s="744">
        <v>8.4</v>
      </c>
      <c r="D31" s="489" t="s">
        <v>188</v>
      </c>
      <c r="E31" s="320"/>
      <c r="F31" s="19"/>
      <c r="G31" s="48"/>
      <c r="H31" s="48"/>
      <c r="I31" s="48"/>
      <c r="J31" s="48"/>
      <c r="K31" s="48"/>
      <c r="L31" s="48"/>
      <c r="M31" s="48"/>
      <c r="N31" s="48"/>
      <c r="O31" s="46"/>
    </row>
    <row r="32" spans="2:15" s="201" customFormat="1" ht="12.75" customHeight="1">
      <c r="B32" s="402" t="s">
        <v>189</v>
      </c>
      <c r="C32" s="745">
        <v>1.7000000000000001E-2</v>
      </c>
      <c r="D32" s="299">
        <v>1.7999999999999999E-2</v>
      </c>
      <c r="E32" s="320"/>
      <c r="F32" s="19"/>
      <c r="G32" s="48"/>
      <c r="H32" s="48"/>
      <c r="I32" s="48"/>
      <c r="J32" s="48"/>
      <c r="K32" s="48"/>
      <c r="L32" s="48"/>
      <c r="M32" s="48"/>
      <c r="N32" s="48"/>
      <c r="O32" s="46"/>
    </row>
    <row r="33" spans="1:15" ht="12" customHeight="1">
      <c r="B33" s="734"/>
      <c r="C33" s="735"/>
      <c r="D33" s="735"/>
      <c r="E33" s="736"/>
      <c r="F33" s="19"/>
      <c r="G33" s="48"/>
      <c r="H33" s="48"/>
      <c r="I33" s="48"/>
      <c r="J33" s="48"/>
      <c r="K33" s="48"/>
      <c r="L33" s="48"/>
      <c r="M33" s="48"/>
      <c r="N33" s="48"/>
      <c r="O33" s="46"/>
    </row>
    <row r="34" spans="1:15" ht="12" customHeight="1">
      <c r="B34" s="346" t="s">
        <v>175</v>
      </c>
      <c r="C34" s="716"/>
      <c r="D34" s="717"/>
      <c r="E34" s="718"/>
      <c r="F34" s="201"/>
      <c r="G34" s="48"/>
      <c r="H34" s="48"/>
      <c r="I34" s="48"/>
      <c r="J34" s="48"/>
      <c r="K34" s="48"/>
      <c r="L34" s="48"/>
      <c r="M34" s="48"/>
      <c r="N34" s="48"/>
      <c r="O34" s="46"/>
    </row>
    <row r="35" spans="1:15" ht="12" customHeight="1">
      <c r="B35" s="391" t="s">
        <v>35</v>
      </c>
      <c r="C35" s="321">
        <v>2.7E-2</v>
      </c>
      <c r="D35" s="322">
        <v>0.11899999999999999</v>
      </c>
      <c r="E35" s="291"/>
      <c r="F35" s="19"/>
      <c r="G35" s="48"/>
      <c r="H35" s="48"/>
      <c r="I35" s="48"/>
      <c r="J35" s="48"/>
      <c r="K35" s="48"/>
      <c r="L35" s="48"/>
      <c r="M35" s="48"/>
      <c r="N35" s="48"/>
      <c r="O35" s="46"/>
    </row>
    <row r="36" spans="1:15" ht="12" customHeight="1">
      <c r="B36" s="402" t="s">
        <v>190</v>
      </c>
      <c r="C36" s="548">
        <v>10333.197564800115</v>
      </c>
      <c r="D36" s="409">
        <v>10000</v>
      </c>
      <c r="E36" s="292"/>
      <c r="F36" s="19"/>
      <c r="G36" s="48"/>
      <c r="H36" s="48" t="s">
        <v>126</v>
      </c>
      <c r="I36" s="48"/>
      <c r="J36" s="48"/>
      <c r="K36" s="48"/>
      <c r="L36" s="47"/>
      <c r="M36" s="48"/>
      <c r="N36" s="48"/>
      <c r="O36" s="46"/>
    </row>
    <row r="37" spans="1:15" s="201" customFormat="1" ht="12.75" customHeight="1">
      <c r="B37" s="486" t="s">
        <v>154</v>
      </c>
      <c r="C37" s="293">
        <v>0.76</v>
      </c>
      <c r="D37" s="294">
        <v>0.62</v>
      </c>
      <c r="E37" s="295"/>
      <c r="F37" s="19"/>
      <c r="G37" s="48"/>
      <c r="H37" s="169">
        <f>ROUND(C35,3)-ROUND(((C17/C36)),3)</f>
        <v>0</v>
      </c>
      <c r="I37" s="169">
        <f>ROUND(D35,-4)-ROUND(((D17/D36)/4*4),-4)</f>
        <v>0</v>
      </c>
      <c r="J37" s="48"/>
      <c r="K37" s="48"/>
      <c r="L37" s="48"/>
      <c r="M37" s="48"/>
      <c r="N37" s="48"/>
      <c r="O37" s="46"/>
    </row>
    <row r="38" spans="1:15" s="201" customFormat="1" ht="12.75" customHeight="1">
      <c r="B38" s="399" t="s">
        <v>177</v>
      </c>
      <c r="C38" s="400">
        <v>35.572799775224063</v>
      </c>
      <c r="D38" s="489">
        <v>43</v>
      </c>
      <c r="E38" s="296"/>
      <c r="F38" s="19"/>
      <c r="G38" s="48" t="s">
        <v>127</v>
      </c>
      <c r="H38" s="169">
        <f>ROUND(C44,3)-ROUND(((C43/C36)),3)</f>
        <v>0</v>
      </c>
      <c r="I38" s="169">
        <f>ROUND(D44,3)-ROUND(((D43/D36)/4*4),3)</f>
        <v>0</v>
      </c>
      <c r="J38" s="48"/>
      <c r="K38" s="48"/>
      <c r="L38" s="48"/>
      <c r="M38" s="48"/>
      <c r="N38" s="48"/>
      <c r="O38" s="46"/>
    </row>
    <row r="39" spans="1:15" s="201" customFormat="1" ht="12.75" customHeight="1">
      <c r="B39" s="486" t="s">
        <v>191</v>
      </c>
      <c r="C39" s="596">
        <v>3.09E-2</v>
      </c>
      <c r="D39" s="297">
        <v>3.2300000000000002E-2</v>
      </c>
      <c r="E39" s="296"/>
      <c r="F39" s="19"/>
      <c r="G39" s="48"/>
      <c r="H39" s="48"/>
      <c r="I39" s="48"/>
      <c r="J39" s="48"/>
      <c r="K39" s="48"/>
      <c r="L39" s="48"/>
      <c r="M39" s="48"/>
      <c r="N39" s="48"/>
      <c r="O39" s="46"/>
    </row>
    <row r="40" spans="1:15" s="201" customFormat="1" ht="12.75" customHeight="1">
      <c r="B40" s="399"/>
      <c r="C40" s="489"/>
      <c r="D40" s="489"/>
      <c r="E40" s="296"/>
      <c r="F40" s="19"/>
      <c r="G40" s="48"/>
      <c r="H40" s="48"/>
      <c r="I40" s="48"/>
      <c r="J40" s="48"/>
      <c r="K40" s="48"/>
      <c r="L40" s="48"/>
      <c r="M40" s="48"/>
      <c r="N40" s="48"/>
      <c r="O40" s="46"/>
    </row>
    <row r="41" spans="1:15" s="201" customFormat="1" ht="12.75" customHeight="1">
      <c r="B41" s="404" t="s">
        <v>192</v>
      </c>
      <c r="C41" s="390" t="s">
        <v>2</v>
      </c>
      <c r="D41" s="390" t="s">
        <v>2</v>
      </c>
      <c r="E41" s="390"/>
      <c r="F41" s="65"/>
      <c r="G41" s="48"/>
      <c r="H41" s="48"/>
      <c r="I41" s="48"/>
      <c r="J41" s="48"/>
      <c r="K41" s="48"/>
      <c r="L41" s="48"/>
      <c r="M41" s="48"/>
      <c r="N41" s="48"/>
      <c r="O41" s="46"/>
    </row>
    <row r="42" spans="1:15" s="201" customFormat="1" ht="12.75" customHeight="1">
      <c r="B42" s="391" t="s">
        <v>102</v>
      </c>
      <c r="C42" s="326">
        <v>2604.30552498</v>
      </c>
      <c r="D42" s="327">
        <v>2439</v>
      </c>
      <c r="E42" s="328">
        <v>6.7650676506765066</v>
      </c>
      <c r="F42" s="19"/>
      <c r="G42" s="48"/>
      <c r="H42" s="202" t="s">
        <v>14</v>
      </c>
      <c r="I42" s="35"/>
      <c r="J42" s="48"/>
      <c r="K42" s="48"/>
      <c r="L42" s="48"/>
      <c r="M42" s="48"/>
      <c r="N42" s="48"/>
      <c r="O42" s="46"/>
    </row>
    <row r="43" spans="1:15" s="201" customFormat="1" ht="12.75" customHeight="1">
      <c r="B43" s="402" t="s">
        <v>174</v>
      </c>
      <c r="C43" s="329">
        <v>1813.0760263612553</v>
      </c>
      <c r="D43" s="330">
        <v>1670</v>
      </c>
      <c r="E43" s="331">
        <v>8.5628742514970053</v>
      </c>
      <c r="F43" s="19"/>
      <c r="G43" s="48"/>
      <c r="H43" s="32">
        <f>ROUND(-ROUND(C14,0)/ROUND(C7,0),2)-ROUND(C37,2)</f>
        <v>0</v>
      </c>
      <c r="I43" s="32">
        <f>ROUND(-ROUND(D14,0)/ROUND(D7,0),2)-ROUND(D37,2)</f>
        <v>0</v>
      </c>
      <c r="J43" s="48"/>
      <c r="K43" s="48"/>
      <c r="L43" s="48"/>
      <c r="M43" s="48"/>
      <c r="N43" s="48"/>
      <c r="O43" s="46"/>
    </row>
    <row r="44" spans="1:15" ht="15" customHeight="1">
      <c r="B44" s="486" t="s">
        <v>35</v>
      </c>
      <c r="C44" s="298">
        <v>0.17499999999999999</v>
      </c>
      <c r="D44" s="299">
        <v>0.16700000000000001</v>
      </c>
      <c r="E44" s="300"/>
      <c r="F44" s="19"/>
      <c r="G44" s="48"/>
      <c r="H44" s="203">
        <f>-ROUND(C14,0)/ROUND(C7,0)</f>
        <v>0.76417788657690744</v>
      </c>
      <c r="I44" s="203">
        <f>-ROUND(D14,0)/ROUND(D7,0)</f>
        <v>0.62359474468373288</v>
      </c>
      <c r="J44" s="48"/>
      <c r="K44" s="48"/>
      <c r="L44" s="32">
        <f>C36-'CYYTD performance measures excl'!B27</f>
        <v>0</v>
      </c>
      <c r="M44" s="32">
        <f>ROUND(D36,-2)-ROUND('PYYTD performance measures'!B27,-2)</f>
        <v>0</v>
      </c>
      <c r="N44" s="48"/>
      <c r="O44" s="46"/>
    </row>
    <row r="45" spans="1:15" ht="11.4">
      <c r="A45" s="74"/>
      <c r="B45" s="399" t="s">
        <v>154</v>
      </c>
      <c r="C45" s="293">
        <v>0.55000000000000004</v>
      </c>
      <c r="D45" s="319">
        <v>0.56000000000000005</v>
      </c>
      <c r="E45" s="319"/>
      <c r="F45" s="19"/>
      <c r="G45" s="48"/>
      <c r="H45" s="48"/>
      <c r="I45" s="48"/>
      <c r="J45" s="48"/>
      <c r="K45" s="48"/>
      <c r="L45" s="48"/>
      <c r="M45" s="48"/>
      <c r="N45" s="48"/>
      <c r="O45" s="46"/>
    </row>
    <row r="46" spans="1:15" ht="12" customHeight="1">
      <c r="C46" s="43"/>
      <c r="D46" s="43"/>
      <c r="E46" s="43"/>
      <c r="F46" s="19"/>
      <c r="G46" s="48"/>
      <c r="H46" s="48"/>
      <c r="I46" s="48"/>
      <c r="J46" s="48"/>
      <c r="K46" s="48"/>
      <c r="L46" s="48"/>
      <c r="M46" s="48"/>
      <c r="N46" s="48"/>
      <c r="O46" s="46"/>
    </row>
    <row r="47" spans="1:15" ht="12" customHeight="1">
      <c r="B47" s="1621" t="s">
        <v>62</v>
      </c>
      <c r="C47" s="388" t="s">
        <v>158</v>
      </c>
      <c r="D47" s="388" t="s">
        <v>158</v>
      </c>
      <c r="E47" s="199"/>
      <c r="F47" s="43"/>
      <c r="G47" s="48"/>
      <c r="H47" s="202" t="s">
        <v>14</v>
      </c>
      <c r="I47" s="35"/>
      <c r="J47" s="48"/>
      <c r="K47" s="48"/>
      <c r="L47" s="48"/>
      <c r="M47" s="48"/>
      <c r="N47" s="48"/>
      <c r="O47" s="46"/>
    </row>
    <row r="48" spans="1:15" ht="12" customHeight="1" collapsed="1">
      <c r="B48" s="1621" t="s">
        <v>24</v>
      </c>
      <c r="C48" s="388" t="s">
        <v>156</v>
      </c>
      <c r="D48" s="388" t="s">
        <v>157</v>
      </c>
      <c r="E48" s="388"/>
      <c r="F48" s="43"/>
      <c r="G48" s="48"/>
      <c r="H48" s="202"/>
      <c r="I48" s="35"/>
      <c r="J48" s="48"/>
      <c r="K48" s="48"/>
      <c r="L48" s="48"/>
      <c r="M48" s="48"/>
      <c r="N48" s="48"/>
      <c r="O48" s="46"/>
    </row>
    <row r="49" spans="1:17" s="74" customFormat="1" ht="12" customHeight="1" collapsed="1">
      <c r="A49" s="75"/>
      <c r="B49" s="301" t="s">
        <v>165</v>
      </c>
      <c r="C49" s="715" t="s">
        <v>2</v>
      </c>
      <c r="D49" s="715" t="s">
        <v>2</v>
      </c>
      <c r="E49" s="390" t="s">
        <v>3</v>
      </c>
      <c r="F49" s="43"/>
      <c r="G49" s="48"/>
      <c r="H49" s="184">
        <f>ROUND(C45,2)-ROUND(H50,2)</f>
        <v>0</v>
      </c>
      <c r="I49" s="184">
        <f>ROUND(D45,2)-ROUND(I50,2)</f>
        <v>0</v>
      </c>
      <c r="J49" s="48"/>
      <c r="K49" s="48"/>
      <c r="L49" s="48"/>
      <c r="M49" s="48"/>
      <c r="N49" s="48"/>
      <c r="O49" s="46"/>
    </row>
    <row r="50" spans="1:17" s="74" customFormat="1" ht="12" customHeight="1">
      <c r="A50" s="75"/>
      <c r="B50" s="391" t="s">
        <v>193</v>
      </c>
      <c r="C50" s="487">
        <v>4009.0000000000018</v>
      </c>
      <c r="D50" s="488">
        <v>4006</v>
      </c>
      <c r="E50" s="387" t="s">
        <v>151</v>
      </c>
      <c r="F50" s="43"/>
      <c r="G50" s="48"/>
      <c r="H50" s="203">
        <f>(-ROUND(C14,0)+ROUND(C13,0))/ROUND(C7,0)</f>
        <v>0.54902760777913773</v>
      </c>
      <c r="I50" s="203">
        <f>(-ROUND(D14,0)+ROUND(D13,0))/ROUND(D7,0)</f>
        <v>0.55817418393606932</v>
      </c>
      <c r="J50" s="48"/>
      <c r="K50" s="48"/>
      <c r="L50" s="48" t="s">
        <v>107</v>
      </c>
      <c r="M50" s="48"/>
      <c r="N50" s="48"/>
      <c r="O50" s="46"/>
    </row>
    <row r="51" spans="1:17" s="74" customFormat="1" ht="12" customHeight="1">
      <c r="A51" s="75"/>
      <c r="B51" s="402" t="s">
        <v>194</v>
      </c>
      <c r="C51" s="400">
        <v>1991.9999999999998</v>
      </c>
      <c r="D51" s="489">
        <v>2104</v>
      </c>
      <c r="E51" s="401">
        <v>-5.3231939163498101</v>
      </c>
      <c r="F51" s="43"/>
      <c r="G51" s="48"/>
      <c r="H51" s="32">
        <f>IFERROR(ROUND(IF(C42&gt;0,100*(ROUND(C42,0)-ROUND(D42,0))/ROUND(D42,0),-100*(ROUND(C42,0)-ROUND(D42,0))/ROUND(D42,0)),0)-ROUND(E42,0),0)</f>
        <v>0</v>
      </c>
      <c r="I51" s="47"/>
      <c r="J51" s="47" t="s">
        <v>15</v>
      </c>
      <c r="K51" s="46"/>
      <c r="L51" s="32">
        <f>C42-'CYYTD performance measures excl'!B17</f>
        <v>0</v>
      </c>
      <c r="M51" s="32">
        <f>D42-'PYYTD performance measures'!B17</f>
        <v>0</v>
      </c>
      <c r="N51" s="48"/>
      <c r="O51" s="46"/>
      <c r="P51" s="265">
        <f>ROUND(H50,3)</f>
        <v>0.54900000000000004</v>
      </c>
      <c r="Q51" s="265">
        <f>ROUND(C45,3)</f>
        <v>0.55000000000000004</v>
      </c>
    </row>
    <row r="52" spans="1:17" s="74" customFormat="1" ht="12" customHeight="1">
      <c r="A52" s="75"/>
      <c r="B52" s="392" t="s">
        <v>195</v>
      </c>
      <c r="C52" s="393">
        <v>1351.9999999999995</v>
      </c>
      <c r="D52" s="546">
        <v>1273</v>
      </c>
      <c r="E52" s="394">
        <v>6.2058130400628437</v>
      </c>
      <c r="F52" s="43"/>
      <c r="G52" s="48"/>
      <c r="H52" s="32">
        <f>IFERROR(ROUND(IF(C43&gt;0,100*(ROUND(C43,0)-ROUND(D43,0))/ROUND(D43,0),-100*(ROUND(C43,0)-ROUND(D43,0))/ROUND(D43,0)),0)-ROUND(E43,0),0)</f>
        <v>0</v>
      </c>
      <c r="I52" s="48"/>
      <c r="J52" s="47" t="e">
        <f>J6</f>
        <v>#REF!</v>
      </c>
      <c r="K52" s="47" t="e">
        <f>K6</f>
        <v>#REF!</v>
      </c>
      <c r="L52" s="32">
        <f>C43-'CYYTD performance measures excl'!B22</f>
        <v>0</v>
      </c>
      <c r="M52" s="32">
        <f>ROUND(D43,0)-ROUND('PYYTD performance measures'!B22,0)</f>
        <v>0</v>
      </c>
      <c r="N52" s="48"/>
      <c r="O52" s="46"/>
    </row>
    <row r="53" spans="1:17" s="74" customFormat="1" ht="12" customHeight="1">
      <c r="A53" s="75"/>
      <c r="B53" s="395" t="s">
        <v>101</v>
      </c>
      <c r="C53" s="396">
        <v>7352.9999999999982</v>
      </c>
      <c r="D53" s="397">
        <v>7383</v>
      </c>
      <c r="E53" s="398" t="s">
        <v>151</v>
      </c>
      <c r="F53" s="43"/>
      <c r="G53" s="48"/>
      <c r="H53" s="48"/>
      <c r="I53" s="48"/>
      <c r="J53" s="48"/>
      <c r="K53" s="48"/>
      <c r="L53" s="48"/>
      <c r="M53" s="48"/>
      <c r="N53" s="48"/>
      <c r="O53" s="46"/>
    </row>
    <row r="54" spans="1:17" s="74" customFormat="1" ht="12" customHeight="1">
      <c r="A54" s="75"/>
      <c r="B54" s="302"/>
      <c r="C54" s="324"/>
      <c r="D54" s="324"/>
      <c r="E54" s="324"/>
      <c r="F54" s="43"/>
      <c r="G54" s="48"/>
      <c r="H54" s="48"/>
      <c r="I54" s="48"/>
      <c r="J54" s="32">
        <f>ROUND(C16,0)-ROUND(C13,0)-ROUND(C42,0)</f>
        <v>0</v>
      </c>
      <c r="K54" s="32">
        <f>ROUND(D16,0)-ROUND(D13,0)-ROUND(D42,0)</f>
        <v>0</v>
      </c>
      <c r="L54" s="48" t="s">
        <v>91</v>
      </c>
      <c r="M54" s="48"/>
      <c r="N54" s="48"/>
      <c r="O54" s="46"/>
    </row>
    <row r="55" spans="1:17" s="74" customFormat="1" ht="12" customHeight="1">
      <c r="A55" s="75"/>
      <c r="B55" s="301" t="s">
        <v>196</v>
      </c>
      <c r="C55" s="303"/>
      <c r="D55" s="597"/>
      <c r="E55" s="304"/>
      <c r="F55" s="43"/>
      <c r="G55" s="48"/>
      <c r="H55" s="48"/>
      <c r="I55" s="48"/>
      <c r="J55" s="48"/>
      <c r="K55" s="46"/>
      <c r="L55" s="256">
        <f>ROUND(C45,2)-ROUND('CYYTD performance measures excl'!B12,2)</f>
        <v>0</v>
      </c>
      <c r="M55" s="256">
        <f>ROUND(D45,2)-ROUND('PYYTD performance measures'!B12,2)</f>
        <v>0</v>
      </c>
      <c r="N55" s="46"/>
      <c r="O55" s="46"/>
    </row>
    <row r="56" spans="1:17" s="74" customFormat="1" ht="12" customHeight="1">
      <c r="A56" s="75"/>
      <c r="B56" s="391" t="s">
        <v>193</v>
      </c>
      <c r="C56" s="305">
        <v>-194.99999999999997</v>
      </c>
      <c r="D56" s="387">
        <v>-173</v>
      </c>
      <c r="E56" s="387">
        <v>-12.716763005780347</v>
      </c>
      <c r="F56" s="43"/>
      <c r="G56" s="48"/>
      <c r="H56" s="48"/>
      <c r="I56" s="48"/>
      <c r="J56" s="48"/>
      <c r="K56" s="46"/>
      <c r="L56" s="232">
        <f>'CYYTD performance measures excl'!B12</f>
        <v>0.55000000000000004</v>
      </c>
      <c r="M56" s="232">
        <f>'PYYTD performance measures'!B12</f>
        <v>0.56000000000000005</v>
      </c>
      <c r="N56" s="46"/>
      <c r="O56" s="46"/>
    </row>
    <row r="57" spans="1:17" ht="12" customHeight="1">
      <c r="A57" s="74"/>
      <c r="B57" s="402" t="s">
        <v>194</v>
      </c>
      <c r="C57" s="306">
        <v>-472</v>
      </c>
      <c r="D57" s="401">
        <v>-590</v>
      </c>
      <c r="E57" s="401">
        <v>20</v>
      </c>
      <c r="F57" s="43"/>
      <c r="G57" s="48"/>
      <c r="H57" s="48"/>
      <c r="I57" s="48"/>
      <c r="J57" s="48"/>
      <c r="K57" s="46"/>
      <c r="L57" s="46"/>
      <c r="M57" s="46"/>
      <c r="N57" s="46"/>
      <c r="O57" s="46"/>
    </row>
    <row r="58" spans="1:17" ht="12" customHeight="1">
      <c r="A58" s="74"/>
      <c r="B58" s="392" t="s">
        <v>195</v>
      </c>
      <c r="C58" s="307">
        <v>-45.000000000000007</v>
      </c>
      <c r="D58" s="394">
        <v>-63</v>
      </c>
      <c r="E58" s="394">
        <v>28.571428571428573</v>
      </c>
      <c r="F58" s="43"/>
      <c r="G58" s="48"/>
      <c r="H58" s="47" t="s">
        <v>22</v>
      </c>
      <c r="I58" s="48"/>
      <c r="J58" s="47" t="s">
        <v>15</v>
      </c>
      <c r="K58" s="46"/>
      <c r="L58" s="46"/>
      <c r="M58" s="46"/>
      <c r="N58" s="47"/>
      <c r="O58" s="46"/>
    </row>
    <row r="59" spans="1:17" ht="12" customHeight="1">
      <c r="B59" s="395" t="s">
        <v>197</v>
      </c>
      <c r="C59" s="308">
        <v>-712</v>
      </c>
      <c r="D59" s="398">
        <v>-826</v>
      </c>
      <c r="E59" s="398">
        <v>13.801452784503631</v>
      </c>
      <c r="F59" s="43"/>
      <c r="G59" s="48"/>
      <c r="H59" s="32">
        <f>IFERROR(ROUND(IF(C50&gt;0,100*(ROUND(C50,0)-ROUND(D50,0))/ROUND(D50,0),-100*(ROUND(C50,0)-ROUND(D50,0))/ROUND(D50,0)),0)-ROUND(E50,0),0)</f>
        <v>0</v>
      </c>
      <c r="I59" s="48"/>
      <c r="J59" s="32">
        <f>ROUND(C50,0)+ROUND(C51,0)+ROUND(C52,0)-ROUND(C53,0)</f>
        <v>0</v>
      </c>
      <c r="K59" s="32">
        <f>ROUND(D50,0)+ROUND(D51,0)+ROUND(D52,0)-ROUND(D53,0)</f>
        <v>0</v>
      </c>
      <c r="L59" s="46"/>
      <c r="M59" s="46"/>
      <c r="N59" s="37"/>
      <c r="O59" s="46"/>
    </row>
    <row r="60" spans="1:17" ht="12" customHeight="1">
      <c r="B60" s="403"/>
      <c r="C60" s="324"/>
      <c r="D60" s="325"/>
      <c r="E60" s="309"/>
      <c r="F60" s="43"/>
      <c r="G60" s="48"/>
      <c r="H60" s="32">
        <f>IFERROR(ROUND(IF(C51&gt;0,100*(ROUND(C51,0)-ROUND(D51,0))/ROUND(D51,0),-100*(ROUND(C51,0)-ROUND(D51,0))/ROUND(D51,0)),0)-ROUND(E51,0),0)</f>
        <v>0</v>
      </c>
      <c r="I60" s="48"/>
      <c r="J60" s="48"/>
      <c r="K60" s="46"/>
      <c r="L60" s="46"/>
      <c r="M60" s="46"/>
      <c r="N60" s="37"/>
      <c r="O60" s="46"/>
    </row>
    <row r="61" spans="1:17" ht="12" customHeight="1">
      <c r="B61" s="301" t="s">
        <v>198</v>
      </c>
      <c r="C61" s="715" t="s">
        <v>150</v>
      </c>
      <c r="D61" s="353" t="s">
        <v>199</v>
      </c>
      <c r="E61" s="332"/>
      <c r="F61" s="43"/>
      <c r="G61" s="48"/>
      <c r="H61" s="32">
        <f>IFERROR(ROUND(IF(C52&gt;0,100*(ROUND(C52,0)-ROUND(D52,0))/ROUND(D52,0),-100*(ROUND(C52,0)-ROUND(D52,0))/ROUND(D52,0)),0)-ROUND(E52,0),0)</f>
        <v>0</v>
      </c>
      <c r="I61" s="48"/>
      <c r="J61" s="48" t="s">
        <v>57</v>
      </c>
      <c r="K61" s="46"/>
      <c r="L61" s="46"/>
      <c r="M61" s="46"/>
      <c r="N61" s="37"/>
      <c r="O61" s="46"/>
    </row>
    <row r="62" spans="1:17" ht="12" customHeight="1">
      <c r="B62" s="391" t="s">
        <v>193</v>
      </c>
      <c r="C62" s="472">
        <v>151900</v>
      </c>
      <c r="D62" s="473">
        <v>146000</v>
      </c>
      <c r="E62" s="473"/>
      <c r="F62" s="43"/>
      <c r="G62" s="48"/>
      <c r="H62" s="32">
        <f>IFERROR(ROUND(IF(C53&gt;0,100*(ROUND(C53,0)-ROUND(D53,0))/ROUND(D53,0),-100*(ROUND(C53,0)-ROUND(D53,0))/ROUND(D53,0)),0)-ROUND(E53,0),0)</f>
        <v>0</v>
      </c>
      <c r="I62" s="48"/>
      <c r="J62" s="32">
        <f>ROUND(C53,0)-ROUND(C7,0)</f>
        <v>0</v>
      </c>
      <c r="K62" s="32">
        <f>ROUND(D53,0)-ROUND(D7,0)</f>
        <v>0</v>
      </c>
      <c r="L62" s="46"/>
      <c r="M62" s="46"/>
      <c r="N62" s="46"/>
      <c r="O62" s="46"/>
    </row>
    <row r="63" spans="1:17" ht="12" customHeight="1">
      <c r="B63" s="402" t="s">
        <v>194</v>
      </c>
      <c r="C63" s="310">
        <v>14700</v>
      </c>
      <c r="D63" s="311">
        <v>15300</v>
      </c>
      <c r="E63" s="311"/>
      <c r="F63" s="43"/>
      <c r="G63" s="48"/>
      <c r="H63" s="38"/>
      <c r="I63" s="48"/>
      <c r="J63" s="48"/>
      <c r="K63" s="46"/>
      <c r="L63" s="46"/>
      <c r="M63" s="46"/>
      <c r="N63" s="46"/>
      <c r="O63" s="46"/>
    </row>
    <row r="64" spans="1:17" ht="12" customHeight="1">
      <c r="B64" s="392" t="s">
        <v>195</v>
      </c>
      <c r="C64" s="474">
        <v>27100</v>
      </c>
      <c r="D64" s="475">
        <v>26300</v>
      </c>
      <c r="E64" s="475"/>
      <c r="F64" s="43"/>
      <c r="G64" s="48"/>
      <c r="H64" s="38"/>
      <c r="I64" s="48"/>
      <c r="J64" s="47" t="s">
        <v>15</v>
      </c>
      <c r="K64" s="46"/>
      <c r="L64" s="46"/>
      <c r="M64" s="46"/>
      <c r="N64" s="46"/>
      <c r="O64" s="46"/>
    </row>
    <row r="65" spans="2:15" ht="12" customHeight="1">
      <c r="B65" s="395" t="s">
        <v>200</v>
      </c>
      <c r="C65" s="312">
        <v>193700</v>
      </c>
      <c r="D65" s="313">
        <v>187600</v>
      </c>
      <c r="E65" s="313"/>
      <c r="F65" s="43"/>
      <c r="G65" s="48"/>
      <c r="H65" s="32">
        <f>IFERROR(ROUND(IF(C56&gt;0,100*(ROUND(C56,0)-ROUND(D56,0))/ROUND(D56,0),-100*(ROUND(C56,0)-ROUND(D56,0))/ROUND(D56,0)),0)-ROUND(E56,0),0)</f>
        <v>0</v>
      </c>
      <c r="I65" s="48"/>
      <c r="J65" s="32">
        <f>ROUND(C56,0)+ROUND(C57,0)+ROUND(C58,0)-ROUND(C59,0)</f>
        <v>0</v>
      </c>
      <c r="K65" s="32">
        <f>ROUND(D56,0)+ROUND(D57,0)+ROUND(D58,0)-ROUND(D59,0)</f>
        <v>0</v>
      </c>
      <c r="L65" s="46"/>
      <c r="M65" s="46"/>
      <c r="N65" s="37"/>
      <c r="O65" s="46"/>
    </row>
    <row r="66" spans="2:15" ht="12" customHeight="1">
      <c r="B66" s="403"/>
      <c r="C66" s="314"/>
      <c r="D66" s="314"/>
      <c r="E66" s="314"/>
      <c r="F66" s="43"/>
      <c r="G66" s="48"/>
      <c r="H66" s="32">
        <f>IFERROR(ROUND(IF(C57&gt;0,100*(ROUND(C57,0)-ROUND(D57,0))/ROUND(D57,0),-100*(ROUND(C57,0)-ROUND(D57,0))/ROUND(D57,0)),0)-ROUND(E57,0),0)</f>
        <v>0</v>
      </c>
      <c r="I66" s="48"/>
      <c r="J66" s="48"/>
      <c r="K66" s="46"/>
      <c r="L66" s="46"/>
      <c r="M66" s="46"/>
      <c r="N66" s="37"/>
      <c r="O66" s="46"/>
    </row>
    <row r="67" spans="2:15" ht="12" customHeight="1">
      <c r="B67" s="301" t="s">
        <v>201</v>
      </c>
      <c r="C67" s="315"/>
      <c r="D67" s="475"/>
      <c r="E67" s="315"/>
      <c r="F67" s="43"/>
      <c r="G67" s="48"/>
      <c r="H67" s="32">
        <f>IFERROR(ROUND(IF(C58&gt;0,100*(ROUND(C58,0)-ROUND(D58,0))/ROUND(D58,0),-100*(ROUND(C58,0)-ROUND(D58,0))/ROUND(D58,0)),0)-ROUND(E58,0),0)</f>
        <v>0</v>
      </c>
      <c r="I67" s="48"/>
      <c r="J67" s="48" t="s">
        <v>57</v>
      </c>
      <c r="K67" s="46"/>
      <c r="L67" s="46"/>
      <c r="M67" s="46"/>
      <c r="N67" s="37"/>
      <c r="O67" s="46"/>
    </row>
    <row r="68" spans="2:15" ht="12" customHeight="1">
      <c r="B68" s="391" t="s">
        <v>193</v>
      </c>
      <c r="C68" s="472">
        <v>159200</v>
      </c>
      <c r="D68" s="473">
        <v>154000</v>
      </c>
      <c r="E68" s="473"/>
      <c r="F68" s="43"/>
      <c r="G68" s="48"/>
      <c r="H68" s="32">
        <f>IFERROR(ROUND(IF(C59&gt;0,100*(ROUND(C59,0)-ROUND(D59,0))/ROUND(D59,0),-100*(ROUND(C59,0)-ROUND(D59,0))/ROUND(D59,0)),0)-ROUND(E59,0),0)</f>
        <v>0</v>
      </c>
      <c r="I68" s="48"/>
      <c r="J68" s="32">
        <f>ROUND(C59,0)-ROUND(C8,0)</f>
        <v>0</v>
      </c>
      <c r="K68" s="32">
        <f>ROUND(D59,0)-ROUND(D8,0)</f>
        <v>0</v>
      </c>
      <c r="L68" s="46"/>
      <c r="M68" s="46"/>
      <c r="N68" s="46"/>
      <c r="O68" s="46"/>
    </row>
    <row r="69" spans="2:15" ht="12" customHeight="1">
      <c r="B69" s="402" t="s">
        <v>194</v>
      </c>
      <c r="C69" s="310">
        <v>0</v>
      </c>
      <c r="D69" s="311">
        <v>0</v>
      </c>
      <c r="E69" s="311"/>
      <c r="F69" s="43"/>
      <c r="G69" s="48"/>
      <c r="H69" s="32"/>
      <c r="I69" s="48"/>
      <c r="J69" s="48"/>
      <c r="K69" s="46"/>
      <c r="L69" s="46"/>
      <c r="M69" s="46"/>
      <c r="N69" s="46"/>
      <c r="O69" s="46"/>
    </row>
    <row r="70" spans="2:15" ht="12" customHeight="1">
      <c r="B70" s="392" t="s">
        <v>195</v>
      </c>
      <c r="C70" s="474">
        <v>46344.898027809999</v>
      </c>
      <c r="D70" s="475">
        <v>43300</v>
      </c>
      <c r="E70" s="475"/>
      <c r="F70" s="43"/>
      <c r="G70" s="48"/>
      <c r="H70" s="48"/>
      <c r="I70" s="48"/>
      <c r="J70" s="48"/>
      <c r="K70" s="46"/>
      <c r="L70" s="46"/>
      <c r="M70" s="46"/>
      <c r="N70" s="46"/>
      <c r="O70" s="46"/>
    </row>
    <row r="71" spans="2:15" ht="12" customHeight="1">
      <c r="B71" s="395" t="s">
        <v>202</v>
      </c>
      <c r="C71" s="312">
        <v>205477.23682473</v>
      </c>
      <c r="D71" s="313">
        <v>197300</v>
      </c>
      <c r="E71" s="313"/>
      <c r="F71" s="43"/>
      <c r="G71" s="48"/>
      <c r="H71" s="48"/>
      <c r="I71" s="48"/>
      <c r="J71" s="47" t="s">
        <v>15</v>
      </c>
      <c r="K71" s="46"/>
      <c r="L71" s="46"/>
      <c r="M71" s="46"/>
      <c r="N71" s="46"/>
      <c r="O71" s="46"/>
    </row>
    <row r="72" spans="2:15" ht="12" customHeight="1">
      <c r="C72" s="43"/>
      <c r="D72" s="43"/>
      <c r="E72" s="43"/>
      <c r="F72" s="43"/>
      <c r="G72" s="48"/>
      <c r="H72" s="48"/>
      <c r="I72" s="48"/>
      <c r="J72" s="195">
        <f>ROUND(C62,0)+ROUND(C63,0)+ROUND(C64,0)-ROUND(C65,0)</f>
        <v>0</v>
      </c>
      <c r="K72" s="32">
        <f>ROUND(D62,0)+ROUND(D63,0)+ROUND(D64,0)-ROUND(D65,0)</f>
        <v>0</v>
      </c>
      <c r="L72" s="46"/>
      <c r="M72" s="46"/>
      <c r="N72" s="204"/>
      <c r="O72" s="46"/>
    </row>
    <row r="73" spans="2:15" ht="12" customHeight="1">
      <c r="C73" s="43"/>
      <c r="D73" s="43"/>
      <c r="E73" s="43"/>
      <c r="F73" s="43"/>
      <c r="G73" s="48"/>
      <c r="H73" s="48"/>
      <c r="I73" s="48"/>
      <c r="J73" s="48"/>
      <c r="K73" s="46"/>
      <c r="L73" s="46"/>
      <c r="M73" s="46"/>
      <c r="N73" s="204"/>
      <c r="O73" s="46"/>
    </row>
    <row r="74" spans="2:15" ht="12" customHeight="1">
      <c r="C74" s="43"/>
      <c r="D74" s="43"/>
      <c r="E74" s="43"/>
      <c r="F74" s="43"/>
      <c r="G74" s="48"/>
      <c r="H74" s="48"/>
      <c r="I74" s="48"/>
      <c r="J74" s="48" t="s">
        <v>57</v>
      </c>
      <c r="K74" s="46"/>
      <c r="L74" s="46"/>
      <c r="M74" s="46"/>
      <c r="N74" s="204"/>
      <c r="O74" s="46"/>
    </row>
    <row r="75" spans="2:15" ht="12" customHeight="1">
      <c r="C75" s="43"/>
      <c r="D75" s="43"/>
      <c r="E75" s="43"/>
      <c r="F75" s="43"/>
      <c r="G75" s="48"/>
      <c r="H75" s="48"/>
      <c r="I75" s="48"/>
      <c r="J75" s="195">
        <f>ROUND(C65,0)-ROUND(C20,0)</f>
        <v>0</v>
      </c>
      <c r="K75" s="32">
        <f>ROUND(D65,0)-ROUND(D20,0)</f>
        <v>0</v>
      </c>
      <c r="L75" s="46"/>
      <c r="M75" s="46"/>
      <c r="N75" s="46"/>
      <c r="O75" s="46"/>
    </row>
    <row r="76" spans="2:15" ht="12" customHeight="1">
      <c r="C76" s="43"/>
      <c r="D76" s="43"/>
      <c r="E76" s="43"/>
      <c r="F76" s="43"/>
      <c r="G76" s="48"/>
      <c r="H76" s="48"/>
      <c r="I76" s="48"/>
      <c r="J76" s="48"/>
      <c r="K76" s="46"/>
      <c r="L76" s="46"/>
      <c r="M76" s="46"/>
      <c r="N76" s="46"/>
      <c r="O76" s="46"/>
    </row>
    <row r="77" spans="2:15" ht="12" customHeight="1">
      <c r="C77" s="43"/>
      <c r="D77" s="43"/>
      <c r="E77" s="43"/>
      <c r="F77" s="43"/>
      <c r="G77" s="48"/>
      <c r="H77" s="48"/>
      <c r="I77" s="48"/>
      <c r="J77" s="47" t="s">
        <v>15</v>
      </c>
      <c r="K77" s="46"/>
      <c r="L77" s="46"/>
      <c r="M77" s="46"/>
      <c r="N77" s="46"/>
      <c r="O77" s="46"/>
    </row>
    <row r="78" spans="2:15" ht="12" customHeight="1">
      <c r="C78" s="43"/>
      <c r="D78" s="43"/>
      <c r="E78" s="43"/>
      <c r="F78" s="43"/>
      <c r="G78" s="48"/>
      <c r="H78" s="48"/>
      <c r="I78" s="48"/>
      <c r="J78" s="32">
        <f>ROUND(C68,-2)+ROUND(C69,-2)+ROUND(C70,-2)-ROUND(C71,-2)</f>
        <v>0</v>
      </c>
      <c r="K78" s="32">
        <f>ROUND(D68,0)+ROUND(D69,0)+ROUND(D70,0)-ROUND(D71,0)</f>
        <v>0</v>
      </c>
      <c r="L78" s="46"/>
      <c r="M78" s="46"/>
      <c r="N78" s="204"/>
      <c r="O78" s="46"/>
    </row>
    <row r="79" spans="2:15" ht="12" customHeight="1">
      <c r="C79" s="43"/>
      <c r="D79" s="43"/>
      <c r="E79" s="43"/>
      <c r="F79" s="43"/>
      <c r="G79" s="48"/>
      <c r="H79" s="48"/>
      <c r="I79" s="48"/>
      <c r="J79" s="48"/>
      <c r="K79" s="46"/>
      <c r="L79" s="46"/>
      <c r="M79" s="46"/>
      <c r="N79" s="204"/>
      <c r="O79" s="46"/>
    </row>
    <row r="80" spans="2:15" ht="12" customHeight="1">
      <c r="C80" s="43"/>
      <c r="D80" s="43"/>
      <c r="E80" s="43"/>
      <c r="F80" s="43"/>
      <c r="G80" s="48"/>
      <c r="H80" s="48"/>
      <c r="I80" s="48"/>
      <c r="J80" s="48" t="s">
        <v>57</v>
      </c>
      <c r="K80" s="46"/>
      <c r="L80" s="46"/>
      <c r="M80" s="46"/>
      <c r="N80" s="204"/>
      <c r="O80" s="46"/>
    </row>
    <row r="81" spans="3:15" ht="12" customHeight="1">
      <c r="C81" s="43"/>
      <c r="D81" s="43"/>
      <c r="E81" s="43"/>
      <c r="F81" s="43"/>
      <c r="G81" s="48"/>
      <c r="H81" s="48"/>
      <c r="I81" s="48"/>
      <c r="J81" s="32">
        <f>ROUND(C71,0)-ROUND(C22,0)</f>
        <v>0</v>
      </c>
      <c r="K81" s="32">
        <f>ROUND(D71,0)-ROUND(D22,0)</f>
        <v>0</v>
      </c>
      <c r="L81" s="46"/>
      <c r="M81" s="46"/>
      <c r="N81" s="46"/>
      <c r="O81" s="46"/>
    </row>
    <row r="82" spans="3:15" ht="12" customHeight="1">
      <c r="C82" s="43"/>
      <c r="D82" s="43"/>
      <c r="E82" s="43"/>
      <c r="F82" s="43"/>
      <c r="G82" s="48"/>
      <c r="H82" s="46"/>
      <c r="I82" s="46"/>
      <c r="J82" s="46"/>
      <c r="K82" s="46"/>
      <c r="L82" s="46"/>
      <c r="M82" s="46"/>
      <c r="N82" s="46"/>
      <c r="O82" s="46"/>
    </row>
    <row r="83" spans="3:15" ht="12" customHeight="1">
      <c r="C83" s="43"/>
      <c r="D83" s="43"/>
      <c r="E83" s="43"/>
      <c r="F83" s="43"/>
    </row>
    <row r="84" spans="3:15" ht="12" customHeight="1">
      <c r="C84" s="43"/>
      <c r="D84" s="43"/>
      <c r="E84" s="43"/>
      <c r="F84" s="43"/>
    </row>
    <row r="85" spans="3:15" ht="12" customHeight="1">
      <c r="C85" s="43"/>
      <c r="D85" s="43"/>
      <c r="E85" s="43"/>
      <c r="F85" s="43"/>
    </row>
    <row r="86" spans="3:15" ht="12" customHeight="1">
      <c r="C86" s="43"/>
      <c r="D86" s="43"/>
      <c r="E86" s="43"/>
      <c r="F86" s="43"/>
    </row>
    <row r="87" spans="3:15" ht="12" customHeight="1">
      <c r="F87" s="43"/>
    </row>
    <row r="88" spans="3:15" ht="12" customHeight="1">
      <c r="F88" s="43"/>
    </row>
    <row r="89" spans="3:15" ht="12" customHeight="1">
      <c r="C89" s="43"/>
      <c r="D89" s="43"/>
      <c r="E89" s="43"/>
      <c r="F89" s="43"/>
    </row>
    <row r="90" spans="3:15" ht="12" customHeight="1">
      <c r="C90" s="43"/>
      <c r="D90" s="43"/>
      <c r="E90" s="43"/>
    </row>
    <row r="91" spans="3:15" ht="12" customHeight="1">
      <c r="C91" s="43"/>
      <c r="D91" s="43"/>
      <c r="E91" s="43"/>
    </row>
    <row r="92" spans="3:15" ht="12" customHeight="1">
      <c r="C92" s="43"/>
      <c r="D92" s="43"/>
      <c r="E92" s="43"/>
      <c r="F92" s="43"/>
    </row>
    <row r="93" spans="3:15" ht="12" customHeight="1">
      <c r="C93" s="43"/>
      <c r="D93" s="43"/>
      <c r="E93" s="43"/>
      <c r="F93" s="43"/>
    </row>
    <row r="94" spans="3:15" ht="12" customHeight="1">
      <c r="F94" s="43"/>
    </row>
    <row r="95" spans="3:15" ht="12" customHeight="1">
      <c r="C95" s="43"/>
      <c r="D95" s="43"/>
      <c r="E95" s="43"/>
      <c r="F95" s="43"/>
    </row>
    <row r="96" spans="3:15" ht="12" customHeight="1">
      <c r="C96" s="43"/>
      <c r="D96" s="43"/>
      <c r="E96" s="43"/>
      <c r="F96" s="43"/>
    </row>
    <row r="97" spans="3:6" ht="12" customHeight="1">
      <c r="C97" s="43"/>
      <c r="D97" s="43"/>
      <c r="E97" s="43"/>
    </row>
    <row r="98" spans="3:6" ht="12" customHeight="1">
      <c r="C98" s="43"/>
      <c r="D98" s="43"/>
      <c r="E98" s="43"/>
      <c r="F98" s="43"/>
    </row>
    <row r="99" spans="3:6" ht="12" customHeight="1">
      <c r="C99" s="43"/>
      <c r="D99" s="43"/>
      <c r="E99" s="43"/>
      <c r="F99" s="43"/>
    </row>
    <row r="100" spans="3:6" ht="12" customHeight="1">
      <c r="F100" s="43"/>
    </row>
    <row r="101" spans="3:6" ht="12" customHeight="1">
      <c r="F101" s="43"/>
    </row>
    <row r="102" spans="3:6" ht="12" customHeight="1">
      <c r="C102" s="43"/>
      <c r="D102" s="43"/>
      <c r="E102" s="43"/>
      <c r="F102" s="43"/>
    </row>
    <row r="103" spans="3:6" ht="12" customHeight="1">
      <c r="C103" s="43"/>
      <c r="D103" s="43"/>
      <c r="E103" s="43"/>
    </row>
    <row r="104" spans="3:6" ht="12" customHeight="1">
      <c r="C104" s="43"/>
      <c r="D104" s="43"/>
      <c r="E104" s="43"/>
    </row>
    <row r="105" spans="3:6" ht="12" customHeight="1">
      <c r="C105" s="43"/>
      <c r="D105" s="43"/>
      <c r="E105" s="43"/>
      <c r="F105" s="43"/>
    </row>
    <row r="106" spans="3:6" ht="12" customHeight="1">
      <c r="C106" s="43"/>
      <c r="D106" s="43"/>
      <c r="E106" s="43"/>
      <c r="F106" s="43"/>
    </row>
    <row r="107" spans="3:6" ht="12" customHeight="1">
      <c r="C107" s="43"/>
      <c r="D107" s="43"/>
      <c r="E107" s="43"/>
      <c r="F107" s="43"/>
    </row>
    <row r="108" spans="3:6" ht="12" customHeight="1">
      <c r="C108" s="43"/>
      <c r="D108" s="43"/>
      <c r="E108" s="43"/>
      <c r="F108" s="43"/>
    </row>
    <row r="109" spans="3:6" ht="12" customHeight="1">
      <c r="C109" s="43"/>
      <c r="D109" s="43"/>
      <c r="E109" s="43"/>
      <c r="F109" s="43"/>
    </row>
    <row r="110" spans="3:6" ht="12" customHeight="1">
      <c r="C110" s="43"/>
      <c r="D110" s="43"/>
      <c r="E110" s="43"/>
      <c r="F110" s="43"/>
    </row>
    <row r="111" spans="3:6" ht="12" customHeight="1">
      <c r="C111" s="43"/>
      <c r="D111" s="43"/>
      <c r="E111" s="43"/>
      <c r="F111" s="43"/>
    </row>
    <row r="112" spans="3:6" ht="12" customHeight="1">
      <c r="C112" s="43"/>
      <c r="D112" s="43"/>
      <c r="E112" s="43"/>
      <c r="F112" s="43"/>
    </row>
    <row r="113" spans="3:6" ht="12" customHeight="1">
      <c r="C113" s="43"/>
      <c r="D113" s="43"/>
      <c r="E113" s="43"/>
      <c r="F113" s="43"/>
    </row>
    <row r="114" spans="3:6" ht="12" customHeight="1">
      <c r="C114" s="43"/>
      <c r="D114" s="43"/>
      <c r="E114" s="43"/>
      <c r="F114" s="43"/>
    </row>
    <row r="115" spans="3:6" ht="12" customHeight="1">
      <c r="C115" s="43"/>
      <c r="D115" s="43"/>
      <c r="E115" s="43"/>
      <c r="F115" s="43"/>
    </row>
    <row r="116" spans="3:6" ht="12" customHeight="1">
      <c r="C116" s="43"/>
      <c r="D116" s="43"/>
      <c r="E116" s="43"/>
      <c r="F116" s="43"/>
    </row>
    <row r="117" spans="3:6" ht="12" customHeight="1">
      <c r="C117" s="43"/>
      <c r="D117" s="43"/>
      <c r="E117" s="43"/>
      <c r="F117" s="43"/>
    </row>
    <row r="118" spans="3:6" ht="12" customHeight="1">
      <c r="C118" s="43"/>
      <c r="D118" s="43"/>
      <c r="E118" s="43"/>
      <c r="F118" s="43"/>
    </row>
    <row r="119" spans="3:6" ht="12" customHeight="1">
      <c r="C119" s="43"/>
      <c r="D119" s="43"/>
      <c r="E119" s="43"/>
      <c r="F119" s="43"/>
    </row>
    <row r="120" spans="3:6" ht="12" customHeight="1">
      <c r="C120" s="43"/>
      <c r="D120" s="43"/>
      <c r="E120" s="43"/>
      <c r="F120" s="43"/>
    </row>
    <row r="121" spans="3:6" ht="12" customHeight="1">
      <c r="C121" s="43"/>
      <c r="D121" s="43"/>
      <c r="E121" s="43"/>
      <c r="F121" s="43"/>
    </row>
    <row r="122" spans="3:6" ht="12" customHeight="1">
      <c r="C122" s="43"/>
      <c r="D122" s="43"/>
      <c r="E122" s="43"/>
      <c r="F122" s="43"/>
    </row>
    <row r="123" spans="3:6" ht="12" customHeight="1">
      <c r="C123" s="43"/>
      <c r="D123" s="43"/>
      <c r="E123" s="43"/>
      <c r="F123" s="43"/>
    </row>
    <row r="124" spans="3:6" ht="12" customHeight="1">
      <c r="C124" s="43"/>
      <c r="D124" s="43"/>
      <c r="E124" s="43"/>
      <c r="F124" s="43"/>
    </row>
    <row r="125" spans="3:6" ht="12" customHeight="1">
      <c r="C125" s="43"/>
      <c r="D125" s="43"/>
      <c r="E125" s="43"/>
      <c r="F125" s="43"/>
    </row>
    <row r="126" spans="3:6" ht="12" customHeight="1">
      <c r="C126" s="43"/>
      <c r="D126" s="43"/>
      <c r="E126" s="43"/>
      <c r="F126" s="43"/>
    </row>
    <row r="127" spans="3:6" ht="12" customHeight="1">
      <c r="C127" s="43"/>
      <c r="D127" s="43"/>
      <c r="E127" s="43"/>
      <c r="F127" s="43"/>
    </row>
    <row r="128" spans="3:6" ht="12" customHeight="1">
      <c r="C128" s="43"/>
      <c r="D128" s="43"/>
      <c r="E128" s="43"/>
      <c r="F128" s="43"/>
    </row>
    <row r="129" spans="3:6" ht="12" customHeight="1">
      <c r="C129" s="43"/>
      <c r="D129" s="43"/>
      <c r="E129" s="43"/>
      <c r="F129" s="43"/>
    </row>
    <row r="130" spans="3:6" ht="12" customHeight="1">
      <c r="C130" s="43"/>
      <c r="D130" s="43"/>
      <c r="E130" s="43"/>
      <c r="F130" s="43"/>
    </row>
    <row r="131" spans="3:6" ht="12" customHeight="1">
      <c r="C131" s="43"/>
      <c r="D131" s="43"/>
      <c r="E131" s="43"/>
      <c r="F131" s="43"/>
    </row>
    <row r="132" spans="3:6" ht="12" customHeight="1">
      <c r="F132" s="43"/>
    </row>
    <row r="133" spans="3:6" ht="12" customHeight="1">
      <c r="C133" s="43"/>
      <c r="D133" s="43"/>
      <c r="E133" s="43"/>
      <c r="F133" s="43"/>
    </row>
    <row r="134" spans="3:6" ht="12" customHeight="1">
      <c r="C134" s="43"/>
      <c r="D134" s="43"/>
      <c r="E134" s="43"/>
      <c r="F134" s="43"/>
    </row>
    <row r="135" spans="3:6" ht="12" customHeight="1">
      <c r="C135" s="43"/>
      <c r="D135" s="43"/>
      <c r="E135" s="43"/>
    </row>
    <row r="136" spans="3:6" ht="12" customHeight="1">
      <c r="C136" s="43"/>
      <c r="D136" s="43"/>
      <c r="E136" s="43"/>
      <c r="F136" s="43"/>
    </row>
    <row r="137" spans="3:6" ht="12" customHeight="1">
      <c r="C137" s="43"/>
      <c r="D137" s="43"/>
      <c r="E137" s="43"/>
      <c r="F137" s="43"/>
    </row>
    <row r="138" spans="3:6" ht="12" customHeight="1">
      <c r="C138" s="43"/>
      <c r="D138" s="43"/>
      <c r="E138" s="43"/>
      <c r="F138" s="43"/>
    </row>
    <row r="139" spans="3:6" ht="12" customHeight="1">
      <c r="C139" s="43"/>
      <c r="D139" s="43"/>
      <c r="E139" s="43"/>
      <c r="F139" s="43"/>
    </row>
    <row r="140" spans="3:6" ht="12" customHeight="1">
      <c r="C140" s="43"/>
      <c r="D140" s="43"/>
      <c r="E140" s="43"/>
      <c r="F140" s="43"/>
    </row>
    <row r="141" spans="3:6" ht="12" customHeight="1">
      <c r="C141" s="43"/>
      <c r="D141" s="43"/>
      <c r="E141" s="43"/>
      <c r="F141" s="43"/>
    </row>
    <row r="142" spans="3:6" ht="12" customHeight="1">
      <c r="F142" s="43"/>
    </row>
    <row r="143" spans="3:6" ht="12" customHeight="1">
      <c r="F143" s="43"/>
    </row>
    <row r="144" spans="3:6" ht="12" customHeight="1">
      <c r="C144" s="43"/>
      <c r="D144" s="43"/>
      <c r="E144" s="43"/>
      <c r="F144" s="43"/>
    </row>
    <row r="145" spans="3:6" ht="12" customHeight="1">
      <c r="C145" s="43"/>
      <c r="D145" s="43"/>
      <c r="E145" s="43"/>
    </row>
    <row r="146" spans="3:6" ht="12" customHeight="1">
      <c r="C146" s="43"/>
      <c r="D146" s="43"/>
      <c r="E146" s="43"/>
    </row>
    <row r="147" spans="3:6" ht="12" customHeight="1">
      <c r="F147" s="43"/>
    </row>
    <row r="148" spans="3:6" ht="12" customHeight="1">
      <c r="C148" s="43"/>
      <c r="D148" s="43"/>
      <c r="E148" s="43"/>
      <c r="F148" s="43"/>
    </row>
    <row r="149" spans="3:6" ht="12" customHeight="1">
      <c r="F149" s="43"/>
    </row>
    <row r="151" spans="3:6" ht="12" customHeight="1">
      <c r="F151" s="43"/>
    </row>
  </sheetData>
  <mergeCells count="2">
    <mergeCell ref="M5:N6"/>
    <mergeCell ref="B47:B48"/>
  </mergeCells>
  <conditionalFormatting sqref="J7:K7 J10:K10 J16:K16 H43:I43 H59:H69 H5:H17">
    <cfRule type="cellIs" dxfId="272" priority="48" operator="notEqual">
      <formula>0</formula>
    </cfRule>
  </conditionalFormatting>
  <conditionalFormatting sqref="H18 J18:M18">
    <cfRule type="cellIs" dxfId="271" priority="47" operator="notEqual">
      <formula>0</formula>
    </cfRule>
  </conditionalFormatting>
  <conditionalFormatting sqref="J14:K14">
    <cfRule type="cellIs" dxfId="270" priority="46" operator="notEqual">
      <formula>0</formula>
    </cfRule>
  </conditionalFormatting>
  <conditionalFormatting sqref="M8:N8 N7">
    <cfRule type="cellIs" dxfId="269" priority="45" operator="notEqual">
      <formula>0</formula>
    </cfRule>
  </conditionalFormatting>
  <conditionalFormatting sqref="N14 N16">
    <cfRule type="cellIs" dxfId="268" priority="44" operator="notEqual">
      <formula>0</formula>
    </cfRule>
  </conditionalFormatting>
  <conditionalFormatting sqref="H51:H52">
    <cfRule type="cellIs" dxfId="267" priority="41" operator="notEqual">
      <formula>0</formula>
    </cfRule>
  </conditionalFormatting>
  <conditionalFormatting sqref="J54:K54">
    <cfRule type="cellIs" dxfId="266" priority="40" operator="notEqual">
      <formula>0</formula>
    </cfRule>
  </conditionalFormatting>
  <conditionalFormatting sqref="N15">
    <cfRule type="cellIs" dxfId="265" priority="39" operator="notEqual">
      <formula>0</formula>
    </cfRule>
  </conditionalFormatting>
  <conditionalFormatting sqref="L16">
    <cfRule type="cellIs" dxfId="264" priority="37" operator="notEqual">
      <formula>0</formula>
    </cfRule>
  </conditionalFormatting>
  <conditionalFormatting sqref="M16">
    <cfRule type="cellIs" dxfId="263" priority="36" operator="notEqual">
      <formula>0</formula>
    </cfRule>
  </conditionalFormatting>
  <conditionalFormatting sqref="L17">
    <cfRule type="cellIs" dxfId="262" priority="35" operator="notEqual">
      <formula>0</formula>
    </cfRule>
  </conditionalFormatting>
  <conditionalFormatting sqref="M17">
    <cfRule type="cellIs" dxfId="261" priority="34" operator="notEqual">
      <formula>0</formula>
    </cfRule>
  </conditionalFormatting>
  <conditionalFormatting sqref="L51">
    <cfRule type="cellIs" dxfId="260" priority="33" operator="notEqual">
      <formula>0</formula>
    </cfRule>
  </conditionalFormatting>
  <conditionalFormatting sqref="M51">
    <cfRule type="cellIs" dxfId="259" priority="32" operator="notEqual">
      <formula>0</formula>
    </cfRule>
  </conditionalFormatting>
  <conditionalFormatting sqref="L52">
    <cfRule type="cellIs" dxfId="258" priority="31" operator="notEqual">
      <formula>0</formula>
    </cfRule>
  </conditionalFormatting>
  <conditionalFormatting sqref="M52">
    <cfRule type="cellIs" dxfId="257" priority="30" operator="notEqual">
      <formula>0</formula>
    </cfRule>
  </conditionalFormatting>
  <conditionalFormatting sqref="L44">
    <cfRule type="cellIs" dxfId="256" priority="27" operator="notEqual">
      <formula>0</formula>
    </cfRule>
  </conditionalFormatting>
  <conditionalFormatting sqref="M44">
    <cfRule type="cellIs" dxfId="255" priority="26" operator="notEqual">
      <formula>0</formula>
    </cfRule>
  </conditionalFormatting>
  <conditionalFormatting sqref="L7">
    <cfRule type="cellIs" dxfId="254" priority="25" operator="notEqual">
      <formula>0</formula>
    </cfRule>
  </conditionalFormatting>
  <conditionalFormatting sqref="M7">
    <cfRule type="cellIs" dxfId="253" priority="24" operator="notEqual">
      <formula>0</formula>
    </cfRule>
  </conditionalFormatting>
  <conditionalFormatting sqref="M10:M12">
    <cfRule type="cellIs" dxfId="252" priority="23" operator="notEqual">
      <formula>0</formula>
    </cfRule>
  </conditionalFormatting>
  <conditionalFormatting sqref="L14">
    <cfRule type="cellIs" dxfId="251" priority="22" operator="notEqual">
      <formula>0</formula>
    </cfRule>
  </conditionalFormatting>
  <conditionalFormatting sqref="M14">
    <cfRule type="cellIs" dxfId="250" priority="21" operator="notEqual">
      <formula>0</formula>
    </cfRule>
  </conditionalFormatting>
  <conditionalFormatting sqref="L10:L12">
    <cfRule type="cellIs" dxfId="249" priority="20" operator="notEqual">
      <formula>0</formula>
    </cfRule>
  </conditionalFormatting>
  <conditionalFormatting sqref="H49:I49">
    <cfRule type="cellIs" dxfId="248" priority="19" operator="notEqual">
      <formula>0</formula>
    </cfRule>
  </conditionalFormatting>
  <conditionalFormatting sqref="L55">
    <cfRule type="cellIs" dxfId="247" priority="15" operator="notEqual">
      <formula>0</formula>
    </cfRule>
  </conditionalFormatting>
  <conditionalFormatting sqref="M55">
    <cfRule type="cellIs" dxfId="246" priority="14" operator="notEqual">
      <formula>0</formula>
    </cfRule>
  </conditionalFormatting>
  <conditionalFormatting sqref="H20:J22">
    <cfRule type="cellIs" dxfId="245" priority="13" operator="notEqual">
      <formula>0</formula>
    </cfRule>
  </conditionalFormatting>
  <conditionalFormatting sqref="H24:J25">
    <cfRule type="cellIs" dxfId="244" priority="10" operator="notEqual">
      <formula>0</formula>
    </cfRule>
  </conditionalFormatting>
  <conditionalFormatting sqref="H37:I38">
    <cfRule type="cellIs" dxfId="243" priority="9" operator="notEqual">
      <formula>0</formula>
    </cfRule>
  </conditionalFormatting>
  <conditionalFormatting sqref="J59:K59">
    <cfRule type="cellIs" dxfId="242" priority="6" operator="notEqual">
      <formula>0</formula>
    </cfRule>
  </conditionalFormatting>
  <conditionalFormatting sqref="J72:K72 J68:K68 J65:K65 J62:K62">
    <cfRule type="cellIs" dxfId="241" priority="5" operator="notEqual">
      <formula>0</formula>
    </cfRule>
  </conditionalFormatting>
  <conditionalFormatting sqref="J75:K75">
    <cfRule type="cellIs" dxfId="240" priority="4" operator="notEqual">
      <formula>0</formula>
    </cfRule>
  </conditionalFormatting>
  <conditionalFormatting sqref="J81:K81 J78:K78">
    <cfRule type="cellIs" dxfId="239" priority="3" operator="notEqual">
      <formula>0</formula>
    </cfRule>
  </conditionalFormatting>
  <conditionalFormatting sqref="J12">
    <cfRule type="cellIs" dxfId="238" priority="2" operator="notEqual">
      <formula>0</formula>
    </cfRule>
  </conditionalFormatting>
  <conditionalFormatting sqref="K12">
    <cfRule type="cellIs" dxfId="237" priority="1" operator="notEqual">
      <formula>0</formula>
    </cfRule>
  </conditionalFormatting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  <pageSetUpPr fitToPage="1"/>
  </sheetPr>
  <dimension ref="A1:AB220"/>
  <sheetViews>
    <sheetView showGridLines="0" topLeftCell="A79" workbookViewId="0"/>
  </sheetViews>
  <sheetFormatPr defaultColWidth="9" defaultRowHeight="12" customHeight="1"/>
  <cols>
    <col min="1" max="1" width="9.21875" style="43" customWidth="1"/>
    <col min="2" max="2" width="49.77734375" style="43" bestFit="1" customWidth="1"/>
    <col min="3" max="3" width="14.77734375" style="198" bestFit="1" customWidth="1"/>
    <col min="4" max="4" width="14.77734375" style="74" bestFit="1" customWidth="1"/>
    <col min="5" max="5" width="14.77734375" style="74" customWidth="1"/>
    <col min="6" max="6" width="8" style="191" customWidth="1"/>
    <col min="7" max="7" width="3.6640625" style="43" customWidth="1"/>
    <col min="8" max="9" width="7.21875" style="43" customWidth="1"/>
    <col min="10" max="11" width="8.21875" style="43" customWidth="1"/>
    <col min="12" max="12" width="6.77734375" style="43" customWidth="1"/>
    <col min="13" max="13" width="8" style="43" customWidth="1"/>
    <col min="14" max="14" width="10" style="43" customWidth="1"/>
    <col min="15" max="15" width="10.77734375" style="43" customWidth="1"/>
    <col min="16" max="17" width="8" style="43" customWidth="1"/>
    <col min="18" max="18" width="24.77734375" style="43" customWidth="1"/>
    <col min="19" max="21" width="8" style="43" customWidth="1"/>
    <col min="22" max="22" width="1.21875" style="43" customWidth="1"/>
    <col min="23" max="72" width="8" style="43" customWidth="1"/>
    <col min="73" max="16384" width="9" style="43"/>
  </cols>
  <sheetData>
    <row r="1" spans="1:17" ht="12.75" customHeight="1">
      <c r="A1" s="18"/>
      <c r="B1" s="18"/>
      <c r="C1" s="205"/>
      <c r="D1" s="206"/>
      <c r="E1" s="206"/>
      <c r="F1" s="19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3.5" customHeight="1">
      <c r="B2" s="1622" t="s">
        <v>73</v>
      </c>
      <c r="C2" s="696" t="s">
        <v>158</v>
      </c>
      <c r="D2" s="696" t="s">
        <v>158</v>
      </c>
      <c r="E2" s="199"/>
      <c r="F2" s="19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12" customHeight="1">
      <c r="B3" s="1622" t="s">
        <v>24</v>
      </c>
      <c r="C3" s="388" t="s">
        <v>156</v>
      </c>
      <c r="D3" s="388" t="s">
        <v>157</v>
      </c>
      <c r="E3" s="388"/>
      <c r="F3" s="19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ht="13.2" customHeight="1">
      <c r="B4" s="389" t="s">
        <v>164</v>
      </c>
      <c r="C4" s="715" t="s">
        <v>2</v>
      </c>
      <c r="D4" s="715" t="s">
        <v>2</v>
      </c>
      <c r="E4" s="390" t="s">
        <v>3</v>
      </c>
      <c r="F4" s="19"/>
      <c r="G4" s="46"/>
      <c r="H4" s="47" t="s">
        <v>22</v>
      </c>
      <c r="I4" s="46"/>
      <c r="J4" s="47" t="s">
        <v>15</v>
      </c>
      <c r="K4" s="46"/>
      <c r="L4" s="46"/>
      <c r="M4" s="47" t="s">
        <v>58</v>
      </c>
      <c r="N4" s="46"/>
      <c r="O4" s="47"/>
      <c r="P4" s="47" t="s">
        <v>43</v>
      </c>
      <c r="Q4" s="46"/>
    </row>
    <row r="5" spans="1:17" ht="12" customHeight="1">
      <c r="B5" s="391" t="s">
        <v>179</v>
      </c>
      <c r="C5" s="487">
        <v>3940.999999999995</v>
      </c>
      <c r="D5" s="488">
        <v>3815</v>
      </c>
      <c r="E5" s="328">
        <v>3.3027522935779818</v>
      </c>
      <c r="F5" s="19"/>
      <c r="G5" s="46"/>
      <c r="H5" s="32">
        <f>IFERROR(ROUND(IF(C5&gt;0,100*(ROUND(C5,0)-ROUND(D5,0))/ROUND(D5,0),-100*(ROUND(C5,0)-ROUND(D5,0))/ROUND(D5,0)),0)-ROUND(E5,0),0)</f>
        <v>0</v>
      </c>
      <c r="I5" s="46"/>
      <c r="J5" s="47" t="e">
        <f>CQtr&amp;" YTD"</f>
        <v>#REF!</v>
      </c>
      <c r="K5" s="47" t="e">
        <f>PPPPQtr&amp;" YTD"</f>
        <v>#REF!</v>
      </c>
      <c r="L5" s="46"/>
      <c r="M5" s="46"/>
      <c r="N5" s="46"/>
      <c r="O5" s="47"/>
      <c r="P5" s="47" t="e">
        <f>CQtr&amp;" YTD"</f>
        <v>#REF!</v>
      </c>
      <c r="Q5" s="47" t="e">
        <f>PPPPQtr&amp;" YTD"</f>
        <v>#REF!</v>
      </c>
    </row>
    <row r="6" spans="1:17" ht="12" customHeight="1">
      <c r="B6" s="402" t="s">
        <v>203</v>
      </c>
      <c r="C6" s="400">
        <v>4198.9999999999991</v>
      </c>
      <c r="D6" s="489">
        <v>4450</v>
      </c>
      <c r="E6" s="331">
        <v>-5.6404494382022472</v>
      </c>
      <c r="F6" s="19"/>
      <c r="G6" s="46"/>
      <c r="H6" s="32">
        <f t="shared" ref="H6:H8" si="0">IFERROR(ROUND(IF(C6&gt;0,100*(ROUND(C6,0)-ROUND(D6,0))/ROUND(D6,0),-100*(ROUND(C6,0)-ROUND(D6,0))/ROUND(D6,0)),0)-ROUND(E6,0),0)</f>
        <v>0</v>
      </c>
      <c r="I6" s="46"/>
      <c r="J6" s="47"/>
      <c r="K6" s="47"/>
      <c r="L6" s="46"/>
      <c r="M6" s="46"/>
      <c r="N6" s="46"/>
      <c r="O6" s="46"/>
      <c r="P6" s="46"/>
      <c r="Q6" s="46"/>
    </row>
    <row r="7" spans="1:17" ht="13.5" customHeight="1">
      <c r="B7" s="392" t="s">
        <v>180</v>
      </c>
      <c r="C7" s="393">
        <v>6535</v>
      </c>
      <c r="D7" s="546">
        <v>5761</v>
      </c>
      <c r="E7" s="333">
        <v>13.435167505641381</v>
      </c>
      <c r="F7" s="19"/>
      <c r="G7" s="46"/>
      <c r="H7" s="32">
        <f t="shared" si="0"/>
        <v>0</v>
      </c>
      <c r="I7" s="46"/>
      <c r="J7" s="46"/>
      <c r="K7" s="46"/>
      <c r="L7" s="46"/>
      <c r="M7" s="46"/>
      <c r="N7" s="46"/>
      <c r="O7" s="46"/>
      <c r="P7" s="46"/>
      <c r="Q7" s="46"/>
    </row>
    <row r="8" spans="1:17" ht="12" customHeight="1">
      <c r="B8" s="395" t="s">
        <v>101</v>
      </c>
      <c r="C8" s="396">
        <v>14674.999999999987</v>
      </c>
      <c r="D8" s="397">
        <v>14026</v>
      </c>
      <c r="E8" s="334">
        <v>4.6271210608869247</v>
      </c>
      <c r="F8" s="19"/>
      <c r="G8" s="46"/>
      <c r="H8" s="32">
        <f t="shared" si="0"/>
        <v>0</v>
      </c>
      <c r="I8" s="46"/>
      <c r="J8" s="32">
        <f>ROUND(C5,0)+ROUND(C6,0)+ROUND(C7,0)-ROUND(C8,0)</f>
        <v>0</v>
      </c>
      <c r="K8" s="32">
        <f>ROUND(D5,0)+ROUND(D6,0)+ROUND(D7,0)-ROUND(D8,0)</f>
        <v>0</v>
      </c>
      <c r="L8" s="46"/>
      <c r="M8" s="32">
        <f t="shared" ref="M8:N10" si="1">ROUND(C62,0)+ROUND(C102,0)-ROUND(C8,0)</f>
        <v>0</v>
      </c>
      <c r="N8" s="32">
        <f t="shared" si="1"/>
        <v>0</v>
      </c>
      <c r="O8" s="46"/>
      <c r="P8" s="32">
        <f>C8-'CYYTD performance measures excl'!E10</f>
        <v>0</v>
      </c>
      <c r="Q8" s="32">
        <f>D8-'PYYTD performance measures'!E10</f>
        <v>0</v>
      </c>
    </row>
    <row r="9" spans="1:17" ht="12" customHeight="1">
      <c r="B9" s="392" t="s">
        <v>171</v>
      </c>
      <c r="C9" s="393">
        <v>-1173</v>
      </c>
      <c r="D9" s="546">
        <v>-658</v>
      </c>
      <c r="E9" s="333">
        <v>-78.267477203647417</v>
      </c>
      <c r="F9" s="19"/>
      <c r="G9" s="46"/>
      <c r="H9" s="32">
        <f t="shared" ref="H9:H17" si="2">IFERROR(ROUND(IF(C9&gt;0,100*(ROUND(C9,0)-ROUND(D9,0))/ROUND(D9,0),-100*(ROUND(C9,0)-ROUND(D9,0))/ROUND(D9,0)),0)-ROUND(E9,0),0)</f>
        <v>0</v>
      </c>
      <c r="I9" s="46"/>
      <c r="J9" s="46"/>
      <c r="K9" s="46"/>
      <c r="L9" s="46"/>
      <c r="M9" s="32">
        <f t="shared" si="1"/>
        <v>0</v>
      </c>
      <c r="N9" s="32">
        <f t="shared" si="1"/>
        <v>0</v>
      </c>
      <c r="O9" s="46"/>
      <c r="P9" s="46"/>
      <c r="Q9" s="46"/>
    </row>
    <row r="10" spans="1:17" ht="12" customHeight="1">
      <c r="B10" s="395" t="s">
        <v>172</v>
      </c>
      <c r="C10" s="396">
        <v>13501.999999999995</v>
      </c>
      <c r="D10" s="397">
        <v>13368</v>
      </c>
      <c r="E10" s="334">
        <v>1.002393776181927</v>
      </c>
      <c r="F10" s="19"/>
      <c r="G10" s="46"/>
      <c r="H10" s="32">
        <f>IFERROR(ROUND(IF(C10&gt;0,100*(ROUND(C10,0)-ROUND(D10,0))/ROUND(D10,0),-100*(ROUND(C10,0)-ROUND(D10,0))/ROUND(D10,0)),0)-ROUND(E10,0),0)</f>
        <v>0</v>
      </c>
      <c r="I10" s="46"/>
      <c r="J10" s="32">
        <f>ROUND(C8,0)+ROUND(C9,0)-ROUND(C10,0)</f>
        <v>0</v>
      </c>
      <c r="K10" s="32">
        <f>ROUND(D8,0)+ROUND(D9,0)-ROUND(D10,0)</f>
        <v>0</v>
      </c>
      <c r="L10" s="46"/>
      <c r="M10" s="32">
        <f t="shared" si="1"/>
        <v>0</v>
      </c>
      <c r="N10" s="32">
        <f t="shared" si="1"/>
        <v>0</v>
      </c>
      <c r="O10" s="46"/>
      <c r="P10" s="46"/>
      <c r="Q10" s="46"/>
    </row>
    <row r="11" spans="1:17" ht="12" customHeight="1">
      <c r="B11" s="399" t="s">
        <v>96</v>
      </c>
      <c r="C11" s="400">
        <v>-9162.8284489116377</v>
      </c>
      <c r="D11" s="489">
        <v>-9324</v>
      </c>
      <c r="E11" s="331">
        <v>1.7267267267267268</v>
      </c>
      <c r="F11" s="19"/>
      <c r="G11" s="46"/>
      <c r="H11" s="32">
        <f>IFERROR(ROUND(IF(C11&gt;0,100*(ROUND(C11,0)-ROUND(D11,0))/ROUND(D11,0),-100*(ROUND(C11,0)-ROUND(D11,0))/ROUND(D11,0)),0)-ROUND(E11,0),0)</f>
        <v>0</v>
      </c>
      <c r="I11" s="46"/>
      <c r="J11" s="46"/>
      <c r="K11" s="46"/>
      <c r="L11" s="46"/>
      <c r="M11" s="32">
        <f>ROUND(C65,0)+ROUND(C105,0)-ROUND(C15,0)+ROUND(C14,0)+ROUND(C12,0)</f>
        <v>0</v>
      </c>
      <c r="N11" s="32">
        <f>ROUND(D65,0)+ROUND(D105,0)-ROUND(D15,0)+ROUND(D14,0)+D12</f>
        <v>0</v>
      </c>
      <c r="O11" s="46"/>
      <c r="P11" s="32">
        <f>ROUND(C11,0)+ROUND(C12,0)-ROUND('CYYTD performance measures excl'!E8,0)</f>
        <v>0</v>
      </c>
      <c r="Q11" s="32">
        <f>D11+D12-'PYYTD performance measures'!E8</f>
        <v>0</v>
      </c>
    </row>
    <row r="12" spans="1:17" ht="12" customHeight="1">
      <c r="B12" s="392" t="s">
        <v>155</v>
      </c>
      <c r="C12" s="393">
        <v>-174.39999999999995</v>
      </c>
      <c r="D12" s="546">
        <v>-210</v>
      </c>
      <c r="E12" s="333">
        <v>17.142857142857142</v>
      </c>
      <c r="F12" s="19"/>
      <c r="G12" s="46"/>
      <c r="H12" s="32">
        <f>IFERROR(ROUND(IF(C12&gt;0,100*(ROUND(C12,0)-ROUND(D12,0))/ROUND(D12,0),-100*(ROUND(C12,0)-ROUND(D12,0))/ROUND(D12,0)),0)-ROUND(E12,0),0)</f>
        <v>0</v>
      </c>
      <c r="I12" s="46"/>
      <c r="J12" s="46"/>
      <c r="K12" s="46"/>
      <c r="L12" s="46"/>
      <c r="M12" s="32">
        <f>ROUND(C12,0)-ROUND(C66,0)-ROUND(C106,0)</f>
        <v>0</v>
      </c>
      <c r="N12" s="32">
        <f>D12-D66-D106</f>
        <v>0</v>
      </c>
      <c r="O12" s="46"/>
      <c r="P12" s="46"/>
      <c r="Q12" s="46"/>
    </row>
    <row r="13" spans="1:17" ht="12" customHeight="1">
      <c r="B13" s="395" t="s">
        <v>0</v>
      </c>
      <c r="C13" s="396">
        <v>-9337.2284489116373</v>
      </c>
      <c r="D13" s="397">
        <v>-9534</v>
      </c>
      <c r="E13" s="334">
        <v>2.0662890706943569</v>
      </c>
      <c r="F13" s="19"/>
      <c r="G13" s="46"/>
      <c r="H13" s="32">
        <f>IFERROR(ROUND(IF(C13&gt;0,100*(ROUND(C13,0)-ROUND(D13,0))/ROUND(D13,0),-100*(ROUND(C13,0)-ROUND(D13,0))/ROUND(D13,0)),0)-ROUND(E13,0),0)</f>
        <v>0</v>
      </c>
      <c r="I13" s="46"/>
      <c r="J13" s="32">
        <f>ROUND(C11,0)+ROUND(C12,0)-ROUND(C13,0)</f>
        <v>0</v>
      </c>
      <c r="K13" s="32">
        <f>ROUND(D11,0)+ROUND(D12,0)-ROUND(D13,0)</f>
        <v>0</v>
      </c>
      <c r="L13" s="46"/>
      <c r="M13" s="32">
        <f>ROUND(C13,0)-ROUND(C67,0)-ROUND(C107,0)</f>
        <v>0</v>
      </c>
      <c r="N13" s="32">
        <f>D13-D67-D107</f>
        <v>0</v>
      </c>
      <c r="O13" s="46"/>
      <c r="P13" s="32">
        <f>ROUND(C13,0)-ROUND('CYYTD performance measures excl'!E8,0)</f>
        <v>0</v>
      </c>
      <c r="Q13" s="32">
        <f>D13-'PYYTD performance measures'!E8</f>
        <v>0</v>
      </c>
    </row>
    <row r="14" spans="1:17" ht="12" customHeight="1">
      <c r="B14" s="392" t="s">
        <v>4</v>
      </c>
      <c r="C14" s="393">
        <v>-115.77155108836268</v>
      </c>
      <c r="D14" s="546">
        <v>-127</v>
      </c>
      <c r="E14" s="333">
        <v>8.6614173228346463</v>
      </c>
      <c r="F14" s="19"/>
      <c r="G14" s="46"/>
      <c r="H14" s="32">
        <f>IFERROR(ROUND(IF(C14&gt;0,100*(ROUND(C14,0)-ROUND(D14,0))/ROUND(D14,0),-100*(ROUND(C14,0)-ROUND(D14,0))/ROUND(D14,0)),0)-ROUND(E14,0),0)</f>
        <v>0</v>
      </c>
      <c r="I14" s="46"/>
      <c r="J14" s="46"/>
      <c r="K14" s="46"/>
      <c r="L14" s="46"/>
      <c r="M14" s="32">
        <f t="shared" ref="M14:N18" si="3">ROUND(C68,0)+ROUND(C108,0)-ROUND(C14,0)</f>
        <v>0</v>
      </c>
      <c r="N14" s="32">
        <f t="shared" si="3"/>
        <v>0</v>
      </c>
      <c r="O14" s="46"/>
      <c r="P14" s="46"/>
      <c r="Q14" s="46"/>
    </row>
    <row r="15" spans="1:17" ht="12" customHeight="1">
      <c r="B15" s="395" t="s">
        <v>5</v>
      </c>
      <c r="C15" s="396">
        <v>-9453</v>
      </c>
      <c r="D15" s="397">
        <v>-9661</v>
      </c>
      <c r="E15" s="334">
        <v>2.1529862333091812</v>
      </c>
      <c r="F15" s="19"/>
      <c r="G15" s="46"/>
      <c r="H15" s="32">
        <f t="shared" si="2"/>
        <v>0</v>
      </c>
      <c r="I15" s="46"/>
      <c r="J15" s="32">
        <f>+ROUND(C11,0)+ROUND(C14,0)+ROUND(C12,0)-ROUND(C15,0)</f>
        <v>0</v>
      </c>
      <c r="K15" s="32">
        <f>+ROUND(D11,0)+ROUND(D14,0)+ROUND(D12,0)-ROUND(D15,0)</f>
        <v>0</v>
      </c>
      <c r="L15" s="46"/>
      <c r="M15" s="32">
        <f t="shared" si="3"/>
        <v>0</v>
      </c>
      <c r="N15" s="32">
        <f t="shared" si="3"/>
        <v>0</v>
      </c>
      <c r="O15" s="46"/>
      <c r="P15" s="32">
        <f>C15-'CYYTD performance measures excl'!E6</f>
        <v>0</v>
      </c>
      <c r="Q15" s="32">
        <f>D15-'PYYTD performance measures'!E6</f>
        <v>0</v>
      </c>
    </row>
    <row r="16" spans="1:17" ht="12" customHeight="1">
      <c r="B16" s="598" t="s">
        <v>173</v>
      </c>
      <c r="C16" s="393">
        <v>68.999999999997414</v>
      </c>
      <c r="D16" s="546">
        <v>68</v>
      </c>
      <c r="E16" s="333">
        <v>1.4705882352941178</v>
      </c>
      <c r="F16" s="19"/>
      <c r="G16" s="46"/>
      <c r="H16" s="32">
        <f t="shared" si="2"/>
        <v>0</v>
      </c>
      <c r="I16" s="46"/>
      <c r="J16" s="46"/>
      <c r="K16" s="46"/>
      <c r="L16" s="46"/>
      <c r="M16" s="32">
        <f t="shared" si="3"/>
        <v>0</v>
      </c>
      <c r="N16" s="32">
        <f t="shared" si="3"/>
        <v>0</v>
      </c>
      <c r="O16" s="46"/>
      <c r="P16" s="46"/>
      <c r="Q16" s="46"/>
    </row>
    <row r="17" spans="2:25" ht="12" customHeight="1">
      <c r="B17" s="395" t="s">
        <v>102</v>
      </c>
      <c r="C17" s="396">
        <v>4117.9999999999909</v>
      </c>
      <c r="D17" s="397">
        <v>3775</v>
      </c>
      <c r="E17" s="334">
        <v>9.0860927152317874</v>
      </c>
      <c r="F17" s="19"/>
      <c r="G17" s="46"/>
      <c r="H17" s="32">
        <f t="shared" si="2"/>
        <v>0</v>
      </c>
      <c r="I17" s="46"/>
      <c r="J17" s="32">
        <f>ROUND(C10,0)+ROUND(C11,0)+ROUND(C14,0)+ROUND(C16,0)+ROUND(C12,0)-ROUND(C17,0)</f>
        <v>0</v>
      </c>
      <c r="K17" s="32">
        <f>ROUND(D10,0)+ROUND(D11,0)+ROUND(D14,0)+ROUND(D16,0)+ROUND(D12,0)-ROUND(D17,0)</f>
        <v>0</v>
      </c>
      <c r="L17" s="46"/>
      <c r="M17" s="32">
        <f t="shared" si="3"/>
        <v>0</v>
      </c>
      <c r="N17" s="32">
        <f t="shared" si="3"/>
        <v>0</v>
      </c>
      <c r="O17" s="46"/>
      <c r="P17" s="32">
        <f>C17-'CYYTD performance measures excl'!E15</f>
        <v>0</v>
      </c>
      <c r="Q17" s="32">
        <f>D17-'PYYTD performance measures'!E15</f>
        <v>0</v>
      </c>
    </row>
    <row r="18" spans="2:25" ht="12" customHeight="1">
      <c r="B18" s="402" t="s">
        <v>181</v>
      </c>
      <c r="C18" s="400">
        <v>2815.9999999999895</v>
      </c>
      <c r="D18" s="489">
        <v>2599</v>
      </c>
      <c r="E18" s="331">
        <v>8.3493651404386302</v>
      </c>
      <c r="F18" s="19"/>
      <c r="G18" s="46"/>
      <c r="H18" s="32">
        <f>IFERROR(ROUND(IF(C18&gt;0,100*(ROUND(C18,0)-ROUND(D18,0))/ROUND(D18,0),-100*(ROUND(C18,0)-ROUND(D18,0))/ROUND(D18,0)),0)-ROUND(E18,0),0)</f>
        <v>0</v>
      </c>
      <c r="I18" s="46"/>
      <c r="J18" s="46"/>
      <c r="K18" s="46"/>
      <c r="L18" s="46"/>
      <c r="M18" s="32">
        <f t="shared" si="3"/>
        <v>0</v>
      </c>
      <c r="N18" s="32">
        <f t="shared" si="3"/>
        <v>0</v>
      </c>
      <c r="O18" s="46"/>
      <c r="P18" s="32">
        <f>C18-'CYYTD performance measures excl'!E20</f>
        <v>0</v>
      </c>
      <c r="Q18" s="32">
        <f>D18-'PYYTD performance measures'!E20</f>
        <v>0</v>
      </c>
    </row>
    <row r="19" spans="2:25" ht="11.7" customHeight="1">
      <c r="B19" s="402"/>
      <c r="C19" s="489"/>
      <c r="D19" s="489"/>
      <c r="E19" s="335"/>
      <c r="F19" s="19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2:25" ht="11.7" customHeight="1">
      <c r="B20" s="404" t="s">
        <v>182</v>
      </c>
      <c r="C20" s="353" t="s">
        <v>150</v>
      </c>
      <c r="D20" s="353" t="s">
        <v>150</v>
      </c>
      <c r="E20" s="353"/>
      <c r="F20" s="19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2:25" s="75" customFormat="1" ht="12" customHeight="1">
      <c r="B21" s="490" t="s">
        <v>115</v>
      </c>
      <c r="C21" s="405">
        <v>132813.91300599993</v>
      </c>
      <c r="D21" s="406">
        <v>127214.91770040014</v>
      </c>
      <c r="E21" s="406"/>
      <c r="F21" s="19"/>
      <c r="G21" s="46"/>
      <c r="H21" s="46"/>
      <c r="I21" s="46"/>
      <c r="J21" s="46"/>
      <c r="K21" s="46"/>
      <c r="L21" s="46"/>
      <c r="M21" s="152">
        <f>ROUND(C75,-2)+ROUND(C115,-2)-ROUND(C21,-2)</f>
        <v>0</v>
      </c>
      <c r="N21" s="152">
        <f>ROUND(D75,-2)+ROUND(D115,-2)-(ROUND(D21,-2))</f>
        <v>0</v>
      </c>
      <c r="O21" s="152">
        <f>ROUND(E75,-2)+ROUND(E115,-2)-ROUND(E21,-2)</f>
        <v>0</v>
      </c>
      <c r="P21" s="46"/>
      <c r="Q21" s="46"/>
      <c r="R21" s="48" t="s">
        <v>23</v>
      </c>
      <c r="S21" s="257" t="e">
        <f>CQtr</f>
        <v>#REF!</v>
      </c>
      <c r="T21" s="257" t="s">
        <v>44</v>
      </c>
      <c r="U21" s="257" t="s">
        <v>38</v>
      </c>
      <c r="V21" s="43"/>
      <c r="W21" s="257" t="e">
        <f>CQtr</f>
        <v>#REF!</v>
      </c>
      <c r="X21" s="257" t="s">
        <v>44</v>
      </c>
      <c r="Y21" s="257" t="s">
        <v>38</v>
      </c>
    </row>
    <row r="22" spans="2:25" ht="13.95" customHeight="1">
      <c r="B22" s="486" t="s">
        <v>123</v>
      </c>
      <c r="C22" s="548">
        <v>113300</v>
      </c>
      <c r="D22" s="547">
        <v>104033</v>
      </c>
      <c r="E22" s="547"/>
      <c r="F22" s="19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250" t="s">
        <v>115</v>
      </c>
      <c r="S22" s="152">
        <f>ROUND(C21,-2)-ROUND(W22,-2)</f>
        <v>-34200</v>
      </c>
      <c r="T22" s="152">
        <f t="shared" ref="T22:T33" si="4">ROUND(D21,-2)-ROUND(X22,-2)</f>
        <v>-3700</v>
      </c>
      <c r="U22" s="152"/>
      <c r="W22" s="258">
        <f>'Barclays International Qrtly'!C21</f>
        <v>167042.61034857048</v>
      </c>
      <c r="X22" s="258">
        <f>'Barclays International Qrtly'!H21</f>
        <v>130931.97220735015</v>
      </c>
      <c r="Y22" s="258">
        <f>'Barclays International Qrtly'!J21</f>
        <v>127214.91770040014</v>
      </c>
    </row>
    <row r="23" spans="2:25" ht="12" customHeight="1">
      <c r="B23" s="486" t="s">
        <v>124</v>
      </c>
      <c r="C23" s="548">
        <v>228863.99999999959</v>
      </c>
      <c r="D23" s="547">
        <v>222099.00000000015</v>
      </c>
      <c r="E23" s="547"/>
      <c r="F23" s="19"/>
      <c r="G23" s="46"/>
      <c r="H23" s="46"/>
      <c r="I23" s="46"/>
      <c r="J23" s="46"/>
      <c r="K23" s="46"/>
      <c r="L23" s="46"/>
      <c r="M23" s="34" t="s">
        <v>98</v>
      </c>
      <c r="N23" s="46"/>
      <c r="O23" s="46"/>
      <c r="P23" s="46"/>
      <c r="Q23" s="46"/>
      <c r="R23" s="46" t="s">
        <v>117</v>
      </c>
      <c r="S23" s="152">
        <f t="shared" ref="S23:S33" si="5">ROUND(C22,-2)-ROUND(W23,-2)</f>
        <v>11700</v>
      </c>
      <c r="T23" s="152">
        <f t="shared" si="4"/>
        <v>-13200</v>
      </c>
      <c r="U23" s="152"/>
      <c r="W23" s="258">
        <f>'Barclays International Qrtly'!C22</f>
        <v>101595</v>
      </c>
      <c r="X23" s="258">
        <f>'Barclays International Qrtly'!H22</f>
        <v>117236</v>
      </c>
      <c r="Y23" s="258">
        <f>'Barclays International Qrtly'!J22</f>
        <v>104033</v>
      </c>
    </row>
    <row r="24" spans="2:25" ht="12" customHeight="1">
      <c r="B24" s="486" t="s">
        <v>119</v>
      </c>
      <c r="C24" s="548">
        <v>128383.28827738011</v>
      </c>
      <c r="D24" s="547">
        <v>144719.45480896006</v>
      </c>
      <c r="E24" s="547"/>
      <c r="F24" s="19"/>
      <c r="G24" s="46"/>
      <c r="H24" s="46"/>
      <c r="I24" s="46"/>
      <c r="J24" s="46"/>
      <c r="K24" s="46"/>
      <c r="L24" s="46"/>
      <c r="M24" s="152">
        <f>ROUND(C27,-2)-ROUND(C81,-2)-ROUND(C116,-2)</f>
        <v>0</v>
      </c>
      <c r="N24" s="152">
        <f>ROUND(D27,-2)-ROUND(D81,-2)-ROUND(D116,-2)</f>
        <v>0</v>
      </c>
      <c r="O24" s="152">
        <f>ROUND(E27,-2)-ROUND(E81,-2)-ROUND(E116,-2)</f>
        <v>0</v>
      </c>
      <c r="P24" s="46"/>
      <c r="Q24" s="46"/>
      <c r="R24" s="46" t="s">
        <v>118</v>
      </c>
      <c r="S24" s="152">
        <f t="shared" si="5"/>
        <v>-112600</v>
      </c>
      <c r="T24" s="152">
        <f t="shared" si="4"/>
        <v>4800</v>
      </c>
      <c r="U24" s="152"/>
      <c r="W24" s="258">
        <f>'Barclays International Qrtly'!C23</f>
        <v>341541.99999999959</v>
      </c>
      <c r="X24" s="258">
        <f>'Barclays International Qrtly'!H23</f>
        <v>217298.0000000002</v>
      </c>
      <c r="Y24" s="258">
        <f>'Barclays International Qrtly'!J23</f>
        <v>222099.00000000015</v>
      </c>
    </row>
    <row r="25" spans="2:25" ht="12" customHeight="1">
      <c r="B25" s="486" t="s">
        <v>116</v>
      </c>
      <c r="C25" s="548">
        <v>79379.067021339986</v>
      </c>
      <c r="D25" s="547">
        <v>74300</v>
      </c>
      <c r="E25" s="547"/>
      <c r="F25" s="19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 t="s">
        <v>119</v>
      </c>
      <c r="S25" s="152">
        <f t="shared" si="5"/>
        <v>-60000</v>
      </c>
      <c r="T25" s="152">
        <f t="shared" si="4"/>
        <v>-8800</v>
      </c>
      <c r="U25" s="152"/>
      <c r="W25" s="258">
        <f>'Barclays International Qrtly'!C24</f>
        <v>188407.75363888999</v>
      </c>
      <c r="X25" s="258">
        <f>'Barclays International Qrtly'!H24</f>
        <v>153482.59807947997</v>
      </c>
      <c r="Y25" s="258">
        <f>'Barclays International Qrtly'!J24</f>
        <v>144719.45480896006</v>
      </c>
    </row>
    <row r="26" spans="2:25" ht="11.4">
      <c r="B26" s="358" t="s">
        <v>120</v>
      </c>
      <c r="C26" s="724">
        <v>178600</v>
      </c>
      <c r="D26" s="336">
        <v>189800</v>
      </c>
      <c r="E26" s="336"/>
      <c r="F26" s="19"/>
      <c r="G26" s="46"/>
      <c r="H26" s="46" t="s">
        <v>15</v>
      </c>
      <c r="I26" s="46"/>
      <c r="J26" s="46"/>
      <c r="K26" s="46"/>
      <c r="L26" s="34"/>
      <c r="M26" s="47" t="s">
        <v>99</v>
      </c>
      <c r="N26" s="46"/>
      <c r="O26" s="46"/>
      <c r="P26" s="46"/>
      <c r="Q26" s="46"/>
      <c r="R26" s="46" t="s">
        <v>116</v>
      </c>
      <c r="S26" s="152">
        <f t="shared" si="5"/>
        <v>-73800</v>
      </c>
      <c r="T26" s="152">
        <f t="shared" si="4"/>
        <v>-23500</v>
      </c>
      <c r="U26" s="152"/>
      <c r="W26" s="258">
        <f>'Barclays International Qrtly'!C25</f>
        <v>153222.04710938997</v>
      </c>
      <c r="X26" s="258">
        <f>'Barclays International Qrtly'!H25</f>
        <v>97800</v>
      </c>
      <c r="Y26" s="258">
        <f>'Barclays International Qrtly'!J25</f>
        <v>74300</v>
      </c>
    </row>
    <row r="27" spans="2:25" ht="11.4">
      <c r="B27" s="395" t="s">
        <v>10</v>
      </c>
      <c r="C27" s="337">
        <v>861400</v>
      </c>
      <c r="D27" s="338">
        <v>862100</v>
      </c>
      <c r="E27" s="339"/>
      <c r="F27" s="19"/>
      <c r="G27" s="46"/>
      <c r="H27" s="152">
        <f>ROUND(C27,-2)-ROUND(SUM(C21),-2) -ROUND(C22,-2)-ROUND(C23,-2)-ROUND(C24,-2)-ROUND(C25,-2)-ROUND(C26,-2)</f>
        <v>0</v>
      </c>
      <c r="I27" s="152">
        <f>ROUND(D27,-2)-ROUND(SUM(D21),-2) -ROUND(D22,-2)-ROUND(D23,-2)-ROUND(D24,-2)-ROUND(D25,-2)-ROUND(D26,-2)</f>
        <v>0</v>
      </c>
      <c r="J27" s="152">
        <f>ROUND(E27,-2)-ROUND(SUM(E21),-2) -ROUND(E22,-2)-ROUND(E23,-2)-ROUND(E24,-2)-ROUND(E25,-2)-ROUND(E26,-2)</f>
        <v>0</v>
      </c>
      <c r="K27" s="46"/>
      <c r="L27" s="46"/>
      <c r="M27" s="32">
        <f>ROUND(C27,-2)-ROUND(C26,-2)-ROUND(C25,-2)-ROUND(C24,-2)-ROUND(C23,-2)-ROUND(C22,-2)-ROUND(C21,-2)</f>
        <v>0</v>
      </c>
      <c r="N27" s="32">
        <f>ROUND(D27,-2)-ROUND(D26,-2)-ROUND(D25,-2)-ROUND(D24,-2)-ROUND(D23,-2)-ROUND(D22,-2)-ROUND(D21,-2)</f>
        <v>0</v>
      </c>
      <c r="O27" s="32">
        <f t="shared" ref="O27" si="6">ROUND(E27,-2)-ROUND(E26,-2)-ROUND(E25,-2)-ROUND(E24,-2)-ROUND(E23,-2)-ROUND(E22,-2)-ROUND(E21,-2)</f>
        <v>0</v>
      </c>
      <c r="P27" s="46"/>
      <c r="Q27" s="46"/>
      <c r="R27" s="46" t="s">
        <v>120</v>
      </c>
      <c r="S27" s="152">
        <f t="shared" si="5"/>
        <v>-22900</v>
      </c>
      <c r="T27" s="152">
        <f t="shared" si="4"/>
        <v>-12500</v>
      </c>
      <c r="U27" s="152"/>
      <c r="W27" s="258">
        <f>'Barclays International Qrtly'!C26</f>
        <v>201500</v>
      </c>
      <c r="X27" s="258">
        <f>'Barclays International Qrtly'!H26</f>
        <v>202300</v>
      </c>
      <c r="Y27" s="258">
        <f>'Barclays International Qrtly'!J26</f>
        <v>189800</v>
      </c>
    </row>
    <row r="28" spans="2:25" ht="12" customHeight="1">
      <c r="B28" s="402" t="s">
        <v>122</v>
      </c>
      <c r="C28" s="340">
        <v>210000</v>
      </c>
      <c r="D28" s="341">
        <v>197219.43275432999</v>
      </c>
      <c r="E28" s="342"/>
      <c r="F28" s="19"/>
      <c r="G28" s="46"/>
      <c r="H28" s="46"/>
      <c r="I28" s="46"/>
      <c r="J28" s="46"/>
      <c r="K28" s="46"/>
      <c r="L28" s="46"/>
      <c r="M28" s="152">
        <f t="shared" ref="M28:O29" si="7">ROUND(C81,-2)+ROUND(C116,-2)-ROUND(C27,-2)</f>
        <v>0</v>
      </c>
      <c r="N28" s="152">
        <f t="shared" si="7"/>
        <v>0</v>
      </c>
      <c r="O28" s="152">
        <f t="shared" si="7"/>
        <v>0</v>
      </c>
      <c r="P28" s="46"/>
      <c r="Q28" s="46"/>
      <c r="R28" s="46" t="s">
        <v>111</v>
      </c>
      <c r="S28" s="152">
        <f t="shared" si="5"/>
        <v>-291800</v>
      </c>
      <c r="T28" s="152">
        <f t="shared" si="4"/>
        <v>-56900</v>
      </c>
      <c r="U28" s="152"/>
      <c r="W28" s="258">
        <f>'Barclays International Qrtly'!C27</f>
        <v>1153201</v>
      </c>
      <c r="X28" s="258">
        <f>'Barclays International Qrtly'!H27</f>
        <v>918950.00000000047</v>
      </c>
      <c r="Y28" s="258">
        <f>'Barclays International Qrtly'!J27</f>
        <v>862128.00000000023</v>
      </c>
    </row>
    <row r="29" spans="2:25" ht="12" customHeight="1">
      <c r="B29" s="486" t="s">
        <v>121</v>
      </c>
      <c r="C29" s="548">
        <v>228896.99999999994</v>
      </c>
      <c r="D29" s="547">
        <v>219576.99999999985</v>
      </c>
      <c r="E29" s="547"/>
      <c r="F29" s="19"/>
      <c r="G29" s="46"/>
      <c r="H29" s="46"/>
      <c r="I29" s="46"/>
      <c r="J29" s="48" t="s">
        <v>130</v>
      </c>
      <c r="K29" s="48"/>
      <c r="L29" s="46"/>
      <c r="M29" s="152">
        <f t="shared" si="7"/>
        <v>0</v>
      </c>
      <c r="N29" s="152">
        <f t="shared" si="7"/>
        <v>0</v>
      </c>
      <c r="O29" s="152">
        <f t="shared" si="7"/>
        <v>0</v>
      </c>
      <c r="P29" s="46"/>
      <c r="Q29" s="46"/>
      <c r="R29" s="46" t="s">
        <v>122</v>
      </c>
      <c r="S29" s="152">
        <f t="shared" si="5"/>
        <v>-53300</v>
      </c>
      <c r="T29" s="152">
        <f t="shared" si="4"/>
        <v>-18300</v>
      </c>
      <c r="U29" s="152"/>
      <c r="W29" s="258">
        <f>'Barclays International Qrtly'!C28</f>
        <v>263251.72216677992</v>
      </c>
      <c r="X29" s="258">
        <f>'Barclays International Qrtly'!H28</f>
        <v>215505.13425512018</v>
      </c>
      <c r="Y29" s="258">
        <f>'Barclays International Qrtly'!J28</f>
        <v>197219.43275432999</v>
      </c>
    </row>
    <row r="30" spans="2:25" ht="12" customHeight="1">
      <c r="B30" s="402" t="s">
        <v>109</v>
      </c>
      <c r="C30" s="343">
        <v>0.63</v>
      </c>
      <c r="D30" s="320">
        <v>0.65</v>
      </c>
      <c r="E30" s="320"/>
      <c r="F30" s="19"/>
      <c r="G30" s="46"/>
      <c r="H30" s="46"/>
      <c r="I30" s="46"/>
      <c r="J30" s="32">
        <f>C30-ROUND((C21/C28),2)</f>
        <v>0</v>
      </c>
      <c r="K30" s="32">
        <f>D30-ROUND((D21/D28),2)</f>
        <v>0</v>
      </c>
      <c r="L30" s="46"/>
      <c r="M30" s="46"/>
      <c r="N30" s="46"/>
      <c r="O30" s="46"/>
      <c r="P30" s="46"/>
      <c r="Q30" s="46"/>
      <c r="R30" s="46" t="s">
        <v>121</v>
      </c>
      <c r="S30" s="152">
        <f t="shared" si="5"/>
        <v>-109900</v>
      </c>
      <c r="T30" s="152">
        <f t="shared" si="4"/>
        <v>6100</v>
      </c>
      <c r="U30" s="152"/>
      <c r="W30" s="258">
        <f>'Barclays International Qrtly'!C29</f>
        <v>338775.99999999977</v>
      </c>
      <c r="X30" s="258">
        <f>'Barclays International Qrtly'!H29</f>
        <v>213489</v>
      </c>
      <c r="Y30" s="258">
        <f>'Barclays International Qrtly'!J29</f>
        <v>219576.99999999985</v>
      </c>
    </row>
    <row r="31" spans="2:25" ht="12" customHeight="1">
      <c r="B31" s="407" t="s">
        <v>113</v>
      </c>
      <c r="C31" s="548">
        <v>209243.29979673817</v>
      </c>
      <c r="D31" s="547">
        <v>210741.00000000006</v>
      </c>
      <c r="E31" s="547"/>
      <c r="F31" s="19"/>
      <c r="G31" s="46"/>
      <c r="H31" s="46"/>
      <c r="I31" s="46"/>
      <c r="J31" s="46"/>
      <c r="K31" s="46"/>
      <c r="L31" s="46"/>
      <c r="M31" s="32">
        <f>ROUND(C84,-2)+ROUND(C118,-2)-ROUND(C31,-2)</f>
        <v>0</v>
      </c>
      <c r="N31" s="32">
        <f>ROUND(D84,-2)+ROUND(D118,-2)-ROUND(D31,-2)</f>
        <v>0</v>
      </c>
      <c r="O31" s="32">
        <f>ROUND(E84,-2)+ROUND(E118,-2)-ROUND(E31,-2)</f>
        <v>0</v>
      </c>
      <c r="P31" s="46"/>
      <c r="Q31" s="46"/>
      <c r="R31" s="46" t="s">
        <v>109</v>
      </c>
      <c r="S31" s="152">
        <f t="shared" si="5"/>
        <v>0</v>
      </c>
      <c r="T31" s="152">
        <f t="shared" si="4"/>
        <v>0</v>
      </c>
      <c r="U31" s="152"/>
      <c r="W31" s="42">
        <f>'Barclays International Qrtly'!C30</f>
        <v>0.63</v>
      </c>
      <c r="X31" s="42">
        <f>'Barclays International Qrtly'!H30</f>
        <v>0.61</v>
      </c>
      <c r="Y31" s="42">
        <f>'Barclays International Qrtly'!J30</f>
        <v>0.65</v>
      </c>
    </row>
    <row r="32" spans="2:25" ht="12" customHeight="1">
      <c r="B32" s="407" t="s">
        <v>114</v>
      </c>
      <c r="C32" s="599">
        <v>29622.522133001308</v>
      </c>
      <c r="D32" s="600">
        <v>29900</v>
      </c>
      <c r="E32" s="600"/>
      <c r="F32" s="19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 t="s">
        <v>113</v>
      </c>
      <c r="S32" s="152">
        <f t="shared" si="5"/>
        <v>-28700</v>
      </c>
      <c r="T32" s="152">
        <f t="shared" si="4"/>
        <v>-5400</v>
      </c>
      <c r="U32" s="152"/>
      <c r="W32" s="258">
        <f>'Barclays International Qrtly'!C31</f>
        <v>237908.00000000006</v>
      </c>
      <c r="X32" s="258">
        <f>'Barclays International Qrtly'!H31</f>
        <v>216070.93822423398</v>
      </c>
      <c r="Y32" s="258">
        <f>'Barclays International Qrtly'!J31</f>
        <v>210741.00000000006</v>
      </c>
    </row>
    <row r="33" spans="1:25" ht="12" customHeight="1">
      <c r="B33" s="491"/>
      <c r="C33" s="344"/>
      <c r="D33" s="345"/>
      <c r="E33" s="345"/>
      <c r="F33" s="19"/>
      <c r="G33" s="46"/>
      <c r="H33" s="202"/>
      <c r="I33" s="35"/>
      <c r="J33" s="46"/>
      <c r="K33" s="46"/>
      <c r="L33" s="46"/>
      <c r="M33" s="46"/>
      <c r="N33" s="46"/>
      <c r="O33" s="46"/>
      <c r="P33" s="46"/>
      <c r="Q33" s="46"/>
      <c r="R33" s="46" t="s">
        <v>114</v>
      </c>
      <c r="S33" s="152">
        <f t="shared" si="5"/>
        <v>-4600</v>
      </c>
      <c r="T33" s="152">
        <f t="shared" si="4"/>
        <v>-700</v>
      </c>
      <c r="U33" s="152"/>
      <c r="W33" s="258">
        <f>'Barclays International Qrtly'!C32</f>
        <v>34241.552147438968</v>
      </c>
      <c r="X33" s="258">
        <f>'Barclays International Qrtly'!H32</f>
        <v>30620.902612931292</v>
      </c>
      <c r="Y33" s="258">
        <f>'Barclays International Qrtly'!J32</f>
        <v>29887.857070865113</v>
      </c>
    </row>
    <row r="34" spans="1:25" ht="14.4">
      <c r="B34" s="404" t="s">
        <v>175</v>
      </c>
      <c r="C34" s="332"/>
      <c r="D34" s="332"/>
      <c r="E34" s="347"/>
      <c r="F34" s="19"/>
      <c r="G34" s="46"/>
      <c r="H34" s="202" t="s">
        <v>14</v>
      </c>
      <c r="I34" s="35"/>
      <c r="J34" s="46"/>
      <c r="K34" s="46"/>
      <c r="L34" s="46"/>
      <c r="M34" s="46"/>
      <c r="N34" s="46"/>
      <c r="O34" s="46"/>
      <c r="P34" s="46"/>
      <c r="Q34" s="46"/>
    </row>
    <row r="35" spans="1:25" ht="10.199999999999999">
      <c r="B35" s="391" t="s">
        <v>35</v>
      </c>
      <c r="C35" s="321">
        <v>0.09</v>
      </c>
      <c r="D35" s="322">
        <v>8.4000000000000005E-2</v>
      </c>
      <c r="E35" s="348"/>
      <c r="F35" s="19"/>
      <c r="G35" s="46"/>
      <c r="H35" s="184">
        <f>ROUND(-ROUND(C15,0)/ROUND(C8,0),2)-ROUND(C37,2)</f>
        <v>0</v>
      </c>
      <c r="I35" s="184">
        <f>ROUND(-ROUND(D15,0)/ROUND(D8,0),2)-ROUND(D37,2)</f>
        <v>0</v>
      </c>
      <c r="J35" s="46"/>
      <c r="K35" s="46"/>
      <c r="L35" s="46"/>
      <c r="M35" s="46"/>
      <c r="N35" s="46"/>
      <c r="O35" s="46"/>
      <c r="P35" s="46"/>
      <c r="Q35" s="46"/>
    </row>
    <row r="36" spans="1:25" ht="10.199999999999999">
      <c r="A36" s="74"/>
      <c r="B36" s="402" t="s">
        <v>190</v>
      </c>
      <c r="C36" s="548">
        <v>31168.529426976376</v>
      </c>
      <c r="D36" s="409">
        <v>31000</v>
      </c>
      <c r="E36" s="409"/>
      <c r="F36" s="19"/>
      <c r="G36" s="46"/>
      <c r="H36" s="267">
        <f>ROUND((-ROUND(C15,0)/ROUND(C8,0)),2)</f>
        <v>0.64</v>
      </c>
      <c r="I36" s="267">
        <f>ROUND((-ROUND(D15,0)/ROUND(D8,0)),2)</f>
        <v>0.69</v>
      </c>
      <c r="J36" s="46"/>
      <c r="K36" s="46"/>
      <c r="L36" s="46"/>
      <c r="M36" s="46"/>
      <c r="N36" s="46"/>
      <c r="O36" s="46"/>
      <c r="P36" s="46"/>
      <c r="Q36" s="46"/>
    </row>
    <row r="37" spans="1:25" ht="12" customHeight="1">
      <c r="B37" s="486" t="s">
        <v>154</v>
      </c>
      <c r="C37" s="318">
        <v>0.64</v>
      </c>
      <c r="D37" s="319">
        <v>0.69</v>
      </c>
      <c r="E37" s="319"/>
      <c r="F37" s="19"/>
      <c r="G37" s="46"/>
      <c r="H37" s="46"/>
      <c r="I37" s="46"/>
      <c r="J37" s="46"/>
      <c r="K37" s="46"/>
      <c r="L37" s="46"/>
      <c r="M37" s="46"/>
      <c r="N37" s="46"/>
      <c r="O37" s="46"/>
      <c r="P37" s="152">
        <f>C36-'CYYTD performance measures excl'!E27</f>
        <v>0</v>
      </c>
      <c r="Q37" s="152">
        <f>ROUND(D36,-2)-ROUND('PYYTD performance measures'!E27,-2)</f>
        <v>0</v>
      </c>
    </row>
    <row r="38" spans="1:25" ht="12" customHeight="1" collapsed="1">
      <c r="B38" s="399" t="s">
        <v>177</v>
      </c>
      <c r="C38" s="400">
        <v>86.049635171612366</v>
      </c>
      <c r="D38" s="489">
        <v>50</v>
      </c>
      <c r="E38" s="489"/>
      <c r="F38" s="19"/>
      <c r="G38" s="46"/>
      <c r="H38" s="46"/>
      <c r="I38" s="46"/>
      <c r="J38" s="46"/>
      <c r="K38" s="46"/>
      <c r="L38" s="46"/>
      <c r="M38" s="152">
        <f>ROUND(C88,-2)+ROUND(C130,-2)-ROUND(C36,-2)</f>
        <v>0</v>
      </c>
      <c r="N38" s="152">
        <f>ROUND(D88,-2)+ROUND(D130,-2)-ROUND(D36,-2)</f>
        <v>0</v>
      </c>
      <c r="O38" s="46"/>
      <c r="P38" s="46"/>
      <c r="Q38" s="46"/>
    </row>
    <row r="39" spans="1:25" ht="12" customHeight="1">
      <c r="B39" s="399" t="s">
        <v>191</v>
      </c>
      <c r="C39" s="349">
        <v>4.07E-2</v>
      </c>
      <c r="D39" s="350">
        <v>4.1099999999999998E-2</v>
      </c>
      <c r="E39" s="351"/>
      <c r="F39" s="19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74"/>
    </row>
    <row r="40" spans="1:25" s="74" customFormat="1" ht="12" customHeight="1" collapsed="1">
      <c r="A40" s="75"/>
      <c r="B40" s="323"/>
      <c r="C40" s="324"/>
      <c r="D40" s="401"/>
      <c r="E40" s="325"/>
      <c r="F40" s="19"/>
      <c r="G40" s="46"/>
      <c r="H40" s="202" t="s">
        <v>14</v>
      </c>
      <c r="I40" s="35"/>
      <c r="J40" s="46"/>
      <c r="K40" s="46"/>
      <c r="L40" s="46"/>
      <c r="M40" s="46"/>
      <c r="N40" s="46"/>
      <c r="O40" s="46"/>
      <c r="P40" s="46"/>
      <c r="Q40" s="46"/>
    </row>
    <row r="41" spans="1:25" s="74" customFormat="1" ht="12" customHeight="1">
      <c r="A41" s="75"/>
      <c r="B41" s="404" t="s">
        <v>178</v>
      </c>
      <c r="C41" s="352" t="s">
        <v>2</v>
      </c>
      <c r="D41" s="353" t="s">
        <v>2</v>
      </c>
      <c r="E41" s="390"/>
      <c r="F41" s="19"/>
      <c r="G41" s="46"/>
      <c r="H41" s="256">
        <f>ROUND(C45,2)-ROUND(H42,2)</f>
        <v>0</v>
      </c>
      <c r="I41" s="256">
        <f>ROUND(D45,2)-ROUND(I42,2)</f>
        <v>0</v>
      </c>
      <c r="J41" s="46"/>
      <c r="K41" s="46"/>
      <c r="L41" s="46"/>
      <c r="M41" s="46"/>
      <c r="N41" s="46"/>
      <c r="O41" s="46"/>
      <c r="P41" s="46"/>
      <c r="Q41" s="46"/>
    </row>
    <row r="42" spans="1:25" s="74" customFormat="1" ht="12" customHeight="1">
      <c r="A42" s="75"/>
      <c r="B42" s="391" t="s">
        <v>102</v>
      </c>
      <c r="C42" s="326">
        <v>4233.7715510883536</v>
      </c>
      <c r="D42" s="327">
        <v>3902</v>
      </c>
      <c r="E42" s="354">
        <v>8.5084572014351618</v>
      </c>
      <c r="F42" s="19"/>
      <c r="G42" s="46"/>
      <c r="H42" s="203">
        <f>ROUND(((-ROUND(C15,0)+ROUND(C14,0))/ROUND(C8,0)),2)</f>
        <v>0.64</v>
      </c>
      <c r="I42" s="203">
        <f>ROUND(((-ROUND(D15,0)+ROUND(D14,0))/ROUND(D8,0)),2)</f>
        <v>0.68</v>
      </c>
      <c r="J42" s="46"/>
      <c r="K42" s="46"/>
      <c r="L42" s="46"/>
      <c r="M42" s="46"/>
      <c r="N42" s="46"/>
      <c r="O42" s="46"/>
      <c r="P42" s="46"/>
      <c r="Q42" s="46"/>
    </row>
    <row r="43" spans="1:25" s="74" customFormat="1" ht="10.199999999999999">
      <c r="A43" s="75"/>
      <c r="B43" s="402" t="s">
        <v>174</v>
      </c>
      <c r="C43" s="329">
        <v>2906.0372924350127</v>
      </c>
      <c r="D43" s="330">
        <v>2705</v>
      </c>
      <c r="E43" s="355">
        <v>7.4306839186691311</v>
      </c>
      <c r="F43" s="19"/>
      <c r="G43" s="46"/>
      <c r="H43" s="32">
        <f t="shared" ref="H43" si="8">IFERROR(ROUND(IF(C42&gt;0,100*(ROUND(C42,0)-ROUND(D42,0))/ROUND(D42,0),-100*(ROUND(C42,0)-ROUND(D42,0))/ROUND(D42,0)),0)-ROUND(E42,0),0)</f>
        <v>0</v>
      </c>
      <c r="I43" s="46"/>
      <c r="J43" s="46"/>
      <c r="K43" s="46"/>
      <c r="L43" s="46"/>
      <c r="M43" s="46"/>
      <c r="N43" s="46"/>
      <c r="O43" s="46"/>
      <c r="P43" s="152">
        <f>ROUND(C42,0)-ROUND('CYYTD performance measures excl'!E17,0)</f>
        <v>0</v>
      </c>
      <c r="Q43" s="152">
        <f>ROUND(D42,0)-ROUND('PYYTD performance measures'!E17,0)</f>
        <v>0</v>
      </c>
    </row>
    <row r="44" spans="1:25" s="74" customFormat="1" ht="12" customHeight="1">
      <c r="A44" s="75"/>
      <c r="B44" s="486" t="s">
        <v>35</v>
      </c>
      <c r="C44" s="356">
        <v>9.2999999999999999E-2</v>
      </c>
      <c r="D44" s="317">
        <v>8.6999999999999994E-2</v>
      </c>
      <c r="E44" s="357"/>
      <c r="F44" s="19"/>
      <c r="G44" s="46"/>
      <c r="H44" s="32">
        <f>IFERROR(ROUND(IF(C43&gt;0,100*(ROUND(C43,0)-ROUND(D43,0))/ROUND(D43,0),-100*(ROUND(C43,0)-ROUND(D43,0))/ROUND(D43,0)),0)-ROUND(E43,0),0)</f>
        <v>0</v>
      </c>
      <c r="I44" s="46"/>
      <c r="J44" s="32">
        <f>(ROUND(C17,0)-ROUND(C14,0))-ROUND(C42,0)</f>
        <v>0</v>
      </c>
      <c r="K44" s="32">
        <f>(ROUND(D17,0)-ROUND(D14,0))-ROUND(D42,0)</f>
        <v>0</v>
      </c>
      <c r="L44" s="46"/>
      <c r="M44" s="32">
        <f>ROUND(C135,0)+ROUND(C92,0)-ROUND(C42,0)</f>
        <v>0</v>
      </c>
      <c r="N44" s="32">
        <f>ROUND(D135,0)+ROUND(D92,0)-ROUND(D42,0)</f>
        <v>0</v>
      </c>
      <c r="O44" s="46"/>
      <c r="P44" s="152">
        <f>C43-'CYYTD performance measures excl'!E22</f>
        <v>0</v>
      </c>
      <c r="Q44" s="152">
        <f>ROUND(D43,0)-ROUND('PYYTD performance measures'!E22,0)</f>
        <v>0</v>
      </c>
    </row>
    <row r="45" spans="1:25" s="74" customFormat="1" ht="12" customHeight="1">
      <c r="A45" s="75"/>
      <c r="B45" s="399" t="s">
        <v>154</v>
      </c>
      <c r="C45" s="318">
        <v>0.64</v>
      </c>
      <c r="D45" s="319">
        <v>0.68</v>
      </c>
      <c r="E45" s="489"/>
      <c r="F45" s="19"/>
      <c r="G45" s="46"/>
      <c r="H45" s="46"/>
      <c r="I45" s="46"/>
      <c r="J45" s="46"/>
      <c r="K45" s="46"/>
      <c r="L45" s="46"/>
      <c r="M45" s="32">
        <f>ROUND(C136,0)+ROUND(C93,0)-ROUND(C43,0)</f>
        <v>0</v>
      </c>
      <c r="N45" s="32">
        <f>ROUND(D136,0)+ROUND(D93,0)-ROUND(D43,0)</f>
        <v>0</v>
      </c>
      <c r="O45" s="46"/>
      <c r="P45" s="254">
        <f>C44-'CYYTD performance measures excl'!E29</f>
        <v>0</v>
      </c>
      <c r="Q45" s="254">
        <f>D44-'PYYTD performance measures'!E29</f>
        <v>0</v>
      </c>
    </row>
    <row r="46" spans="1:25" s="74" customFormat="1" ht="12" customHeight="1">
      <c r="A46" s="75"/>
      <c r="B46" s="18"/>
      <c r="C46" s="18"/>
      <c r="D46" s="18"/>
      <c r="E46" s="207"/>
      <c r="F46" s="19"/>
      <c r="G46" s="46"/>
      <c r="H46" s="202" t="s">
        <v>128</v>
      </c>
      <c r="I46" s="46"/>
      <c r="J46" s="46"/>
      <c r="K46" s="46"/>
      <c r="L46" s="46"/>
      <c r="M46" s="46"/>
      <c r="N46" s="46"/>
      <c r="O46" s="46"/>
      <c r="P46" s="152">
        <f>ROUND(C45,0)-ROUND('CYYTD performance measures excl'!E12,0)</f>
        <v>0</v>
      </c>
      <c r="Q46" s="152">
        <f>ROUND(D45,0)-ROUND('PYYTD performance measures'!D12,0)</f>
        <v>0</v>
      </c>
    </row>
    <row r="47" spans="1:25" s="74" customFormat="1" ht="12" customHeight="1">
      <c r="A47" s="75"/>
      <c r="B47" s="272" t="s">
        <v>59</v>
      </c>
      <c r="C47" s="211"/>
      <c r="D47" s="211"/>
      <c r="E47" s="211"/>
      <c r="F47" s="19"/>
      <c r="G47" s="46"/>
      <c r="H47" s="169">
        <f>ROUND(C35,3)-ROUND((C18/C36),3)</f>
        <v>0</v>
      </c>
      <c r="I47" s="169">
        <f>ROUND(D35,3)-ROUND((D18/D36),3)</f>
        <v>0</v>
      </c>
      <c r="J47" s="46"/>
      <c r="K47" s="46"/>
      <c r="L47" s="46"/>
      <c r="M47" s="46"/>
      <c r="N47" s="46"/>
      <c r="O47" s="46"/>
      <c r="P47" s="46"/>
      <c r="Q47" s="46"/>
    </row>
    <row r="48" spans="1:25" s="74" customFormat="1" ht="12" customHeight="1">
      <c r="A48" s="75"/>
      <c r="B48" s="1623" t="s">
        <v>60</v>
      </c>
      <c r="C48" s="359" t="s">
        <v>158</v>
      </c>
      <c r="D48" s="359" t="s">
        <v>158</v>
      </c>
      <c r="E48" s="199"/>
      <c r="F48" s="191"/>
      <c r="G48" s="46" t="s">
        <v>129</v>
      </c>
      <c r="H48" s="169">
        <f>ROUND(C44,3)-ROUND((C43/C36),3)</f>
        <v>0</v>
      </c>
      <c r="I48" s="169">
        <f>ROUND(D44,3)-ROUND((D43/D36),3)</f>
        <v>0</v>
      </c>
      <c r="J48" s="46"/>
      <c r="K48" s="46"/>
      <c r="L48" s="46"/>
      <c r="M48" s="46"/>
      <c r="N48" s="46"/>
      <c r="O48" s="46"/>
      <c r="P48" s="46"/>
      <c r="Q48" s="46"/>
    </row>
    <row r="49" spans="1:18" s="74" customFormat="1" ht="15" customHeight="1">
      <c r="A49" s="43"/>
      <c r="B49" s="1623" t="s">
        <v>24</v>
      </c>
      <c r="C49" s="378" t="s">
        <v>156</v>
      </c>
      <c r="D49" s="378" t="s">
        <v>157</v>
      </c>
      <c r="E49" s="378"/>
      <c r="F49" s="20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3"/>
    </row>
    <row r="50" spans="1:18" ht="12.75" customHeight="1">
      <c r="B50" s="379" t="s">
        <v>164</v>
      </c>
      <c r="C50" s="380" t="s">
        <v>2</v>
      </c>
      <c r="D50" s="380" t="s">
        <v>2</v>
      </c>
      <c r="E50" s="380" t="s">
        <v>61</v>
      </c>
      <c r="F50" s="208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</row>
    <row r="51" spans="1:18" ht="12.75" customHeight="1">
      <c r="B51" s="360" t="s">
        <v>204</v>
      </c>
      <c r="C51" s="697">
        <v>3364</v>
      </c>
      <c r="D51" s="361">
        <v>2863</v>
      </c>
      <c r="E51" s="361">
        <v>17</v>
      </c>
      <c r="F51" s="208"/>
      <c r="G51" s="46"/>
      <c r="H51" s="47" t="s">
        <v>22</v>
      </c>
      <c r="I51" s="46"/>
      <c r="J51" s="47" t="s">
        <v>15</v>
      </c>
      <c r="K51" s="46"/>
      <c r="L51" s="46"/>
      <c r="M51" s="46"/>
      <c r="N51" s="46"/>
      <c r="O51" s="46"/>
      <c r="P51" s="46"/>
      <c r="Q51" s="46"/>
    </row>
    <row r="52" spans="1:18" ht="10.199999999999999">
      <c r="B52" s="431" t="s">
        <v>205</v>
      </c>
      <c r="C52" s="362">
        <v>1887</v>
      </c>
      <c r="D52" s="363">
        <v>2037</v>
      </c>
      <c r="E52" s="363">
        <v>-7.314678448699067</v>
      </c>
      <c r="F52" s="178"/>
      <c r="G52" s="46"/>
      <c r="H52" s="32">
        <f>IFERROR(ROUND(IF(C51&gt;0,100*(ROUND(C51,0)-ROUND(D51,0))/ROUND(D51,0),-100*(ROUND(C51,0)-ROUND(D51,0))/ROUND(D51,0)),0)-ROUND(E51,0),0)</f>
        <v>0</v>
      </c>
      <c r="I52" s="46"/>
      <c r="J52" s="46"/>
      <c r="K52" s="46"/>
      <c r="L52" s="46"/>
      <c r="M52" s="46"/>
      <c r="N52" s="46"/>
      <c r="O52" s="46"/>
      <c r="P52" s="46"/>
      <c r="Q52" s="46"/>
    </row>
    <row r="53" spans="1:18" ht="12" customHeight="1">
      <c r="B53" s="364" t="s">
        <v>206</v>
      </c>
      <c r="C53" s="365">
        <v>5251</v>
      </c>
      <c r="D53" s="366">
        <v>4900</v>
      </c>
      <c r="E53" s="366">
        <v>7.2244897959183669</v>
      </c>
      <c r="F53" s="73"/>
      <c r="G53" s="35"/>
      <c r="H53" s="32">
        <f>IFERROR(ROUND(IF(C52&gt;0,100*(ROUND(C52,0)-ROUND(D52,0))/ROUND(D52,0),-100*(ROUND(C52,0)-ROUND(D52,0))/ROUND(D52,0)),0)-ROUND(E52,0),0)</f>
        <v>0</v>
      </c>
      <c r="I53" s="35"/>
      <c r="J53" s="32">
        <f>ROUND(C51,0)+ROUND(C52,0)-ROUND(C53,0)</f>
        <v>0</v>
      </c>
      <c r="K53" s="32">
        <f>ROUND(D51,0)+ROUND(D52,0)-ROUND(D53,0)</f>
        <v>0</v>
      </c>
      <c r="L53" s="35"/>
      <c r="M53" s="35"/>
      <c r="N53" s="35"/>
      <c r="O53" s="35"/>
      <c r="P53" s="46"/>
      <c r="Q53" s="46"/>
      <c r="R53" s="18"/>
    </row>
    <row r="54" spans="1:18" ht="12" customHeight="1">
      <c r="B54" s="381" t="s">
        <v>208</v>
      </c>
      <c r="C54" s="367">
        <v>776</v>
      </c>
      <c r="D54" s="368">
        <v>708</v>
      </c>
      <c r="E54" s="368">
        <v>10</v>
      </c>
      <c r="F54" s="462"/>
      <c r="G54" s="35"/>
      <c r="H54" s="32">
        <f>IFERROR(ROUND(IF(C56&gt;0,100*(ROUND(C56,0)-ROUND(D56,0))/ROUND(D56,0),-100*(ROUND(C56,0)-ROUND(D56,0))/ROUND(D56,0)),0)-ROUND(E56,0),0)</f>
        <v>0</v>
      </c>
      <c r="I54" s="35"/>
      <c r="J54" s="35"/>
      <c r="K54" s="35"/>
      <c r="L54" s="35"/>
      <c r="M54" s="35"/>
      <c r="N54" s="35"/>
      <c r="O54" s="35"/>
      <c r="P54" s="46"/>
      <c r="Q54" s="46"/>
      <c r="R54" s="18"/>
    </row>
    <row r="55" spans="1:18" ht="12" customHeight="1">
      <c r="B55" s="381" t="s">
        <v>209</v>
      </c>
      <c r="C55" s="367">
        <v>329</v>
      </c>
      <c r="D55" s="368">
        <v>300</v>
      </c>
      <c r="E55" s="368">
        <v>9.6666666666666661</v>
      </c>
      <c r="F55" s="462"/>
      <c r="G55" s="35"/>
      <c r="H55" s="32">
        <f t="shared" ref="H55" si="9">IFERROR(ROUND(IF(C54&gt;0,100*(ROUND(C54,0)-ROUND(D54,0))/ROUND(D54,0),-100*(ROUND(C54,0)-ROUND(D54,0))/ROUND(D54,0)),0)-ROUND(E54,0),0)</f>
        <v>0</v>
      </c>
      <c r="I55" s="35"/>
      <c r="J55" s="35"/>
      <c r="K55" s="35"/>
      <c r="L55" s="35"/>
      <c r="M55" s="35"/>
      <c r="N55" s="35"/>
      <c r="O55" s="35"/>
      <c r="P55" s="46"/>
      <c r="Q55" s="46"/>
      <c r="R55" s="18"/>
    </row>
    <row r="56" spans="1:18" ht="12" customHeight="1">
      <c r="B56" s="381" t="s">
        <v>207</v>
      </c>
      <c r="C56" s="367">
        <v>1430</v>
      </c>
      <c r="D56" s="368">
        <v>1523</v>
      </c>
      <c r="E56" s="368">
        <v>-6.0407091267235717</v>
      </c>
      <c r="F56" s="462"/>
      <c r="G56" s="35"/>
      <c r="H56" s="32">
        <f>IFERROR(ROUND(IF(C53&gt;0,100*(ROUND(C53,0)-ROUND(D53,0))/ROUND(D53,0),-100*(ROUND(C53,0)-ROUND(D53,0))/ROUND(D53,0)),0)-ROUND(E53,0),0)</f>
        <v>0</v>
      </c>
      <c r="I56" s="35"/>
      <c r="J56" s="35"/>
      <c r="K56" s="35"/>
      <c r="L56" s="35"/>
      <c r="M56" s="35"/>
      <c r="N56" s="35"/>
      <c r="O56" s="35"/>
      <c r="P56" s="46"/>
      <c r="Q56" s="46"/>
      <c r="R56" s="18"/>
    </row>
    <row r="57" spans="1:18" s="18" customFormat="1" ht="12" customHeight="1">
      <c r="B57" s="364" t="s">
        <v>210</v>
      </c>
      <c r="C57" s="365">
        <v>2535</v>
      </c>
      <c r="D57" s="366">
        <v>2531</v>
      </c>
      <c r="E57" s="366" t="s">
        <v>151</v>
      </c>
      <c r="F57" s="69"/>
      <c r="G57" s="46"/>
      <c r="H57" s="32">
        <f>IFERROR(ROUND(IF(C53&gt;0,100*(ROUND(C53,0)-ROUND(D53,0))/ROUND(D53,0),-100*(ROUND(C53,0)-ROUND(D53,0))/ROUND(D53,0)),0)-ROUND(E53,0),0)</f>
        <v>0</v>
      </c>
      <c r="I57" s="46"/>
      <c r="J57" s="32">
        <f>ROUND(C54,0)+ROUND(C55,0)-ROUND(C57,0)+ROUND(C56,0)</f>
        <v>0</v>
      </c>
      <c r="K57" s="32">
        <f>ROUND(D54,0)+ROUND(D55,0)-ROUND(D57,0)+ROUND(D56,0)</f>
        <v>0</v>
      </c>
      <c r="L57" s="46"/>
      <c r="M57" s="46"/>
      <c r="N57" s="46"/>
      <c r="O57" s="46"/>
      <c r="P57" s="46"/>
      <c r="Q57" s="46"/>
      <c r="R57" s="43"/>
    </row>
    <row r="58" spans="1:18" ht="12" customHeight="1">
      <c r="B58" s="381" t="s">
        <v>211</v>
      </c>
      <c r="C58" s="367">
        <v>765</v>
      </c>
      <c r="D58" s="368">
        <v>878</v>
      </c>
      <c r="E58" s="368">
        <v>-12.75626423690205</v>
      </c>
      <c r="F58" s="73"/>
      <c r="G58" s="46"/>
      <c r="H58" s="32">
        <f t="shared" ref="H58:H73" si="10">IFERROR(ROUND(IF(C57&gt;0,100*(ROUND(C57,0)-ROUND(D57,0))/ROUND(D57,0),-100*(ROUND(C57,0)-ROUND(D57,0))/ROUND(D57,0)),0)-ROUND(E57,0),0)</f>
        <v>0</v>
      </c>
      <c r="I58" s="46"/>
      <c r="J58" s="46"/>
      <c r="K58" s="46"/>
      <c r="L58" s="46"/>
      <c r="M58" s="46"/>
      <c r="N58" s="46"/>
      <c r="O58" s="46"/>
      <c r="P58" s="46"/>
      <c r="Q58" s="46"/>
    </row>
    <row r="59" spans="1:18" ht="12" customHeight="1">
      <c r="B59" s="431" t="s">
        <v>212</v>
      </c>
      <c r="C59" s="362">
        <v>1680</v>
      </c>
      <c r="D59" s="363">
        <v>1627</v>
      </c>
      <c r="E59" s="363">
        <v>3.2575291948371237</v>
      </c>
      <c r="F59" s="72"/>
      <c r="G59" s="46"/>
      <c r="H59" s="32">
        <f t="shared" si="10"/>
        <v>0</v>
      </c>
      <c r="I59" s="46"/>
      <c r="J59" s="46"/>
      <c r="K59" s="46"/>
      <c r="L59" s="46"/>
      <c r="M59" s="46"/>
      <c r="N59" s="46"/>
      <c r="O59" s="46"/>
      <c r="P59" s="46"/>
      <c r="Q59" s="46"/>
    </row>
    <row r="60" spans="1:18" ht="12" customHeight="1">
      <c r="B60" s="364" t="s">
        <v>213</v>
      </c>
      <c r="C60" s="365">
        <v>2445</v>
      </c>
      <c r="D60" s="366">
        <v>2505</v>
      </c>
      <c r="E60" s="366">
        <v>-2.3552894211576847</v>
      </c>
      <c r="F60" s="186"/>
      <c r="G60" s="46"/>
      <c r="H60" s="32">
        <f t="shared" si="10"/>
        <v>0</v>
      </c>
      <c r="I60" s="46"/>
      <c r="J60" s="46"/>
      <c r="K60" s="46"/>
      <c r="L60" s="46"/>
      <c r="M60" s="46"/>
      <c r="N60" s="46"/>
      <c r="O60" s="46"/>
      <c r="P60" s="46"/>
      <c r="Q60" s="46"/>
    </row>
    <row r="61" spans="1:18" ht="12" customHeight="1">
      <c r="B61" s="431" t="s">
        <v>214</v>
      </c>
      <c r="C61" s="362">
        <v>0</v>
      </c>
      <c r="D61" s="363">
        <v>-171</v>
      </c>
      <c r="E61" s="363" t="s">
        <v>1</v>
      </c>
      <c r="F61" s="72"/>
      <c r="G61" s="46"/>
      <c r="H61" s="32">
        <f t="shared" si="10"/>
        <v>0</v>
      </c>
      <c r="I61" s="46"/>
      <c r="J61" s="32">
        <f>ROUND(C58,0)+ROUND(C59,0)-ROUND(C60,0)</f>
        <v>0</v>
      </c>
      <c r="K61" s="32">
        <f>ROUND(D58,0)+ROUND(D59,0)-ROUND(D60,0)</f>
        <v>0</v>
      </c>
      <c r="L61" s="46"/>
      <c r="M61" s="46"/>
      <c r="N61" s="46"/>
      <c r="O61" s="46"/>
      <c r="P61" s="46"/>
      <c r="Q61" s="46"/>
    </row>
    <row r="62" spans="1:18" ht="12" customHeight="1">
      <c r="B62" s="442" t="s">
        <v>101</v>
      </c>
      <c r="C62" s="443">
        <v>10230.999999999996</v>
      </c>
      <c r="D62" s="444">
        <v>9765</v>
      </c>
      <c r="E62" s="366">
        <v>4.7721454173067075</v>
      </c>
      <c r="F62" s="72"/>
      <c r="G62" s="46"/>
      <c r="H62" s="32">
        <f t="shared" si="10"/>
        <v>0</v>
      </c>
      <c r="I62" s="46"/>
      <c r="J62" s="46"/>
      <c r="K62" s="46"/>
      <c r="L62" s="46"/>
      <c r="M62" s="46"/>
      <c r="N62" s="46"/>
      <c r="O62" s="46"/>
      <c r="P62" s="46"/>
      <c r="Q62" s="46"/>
    </row>
    <row r="63" spans="1:18" ht="12" customHeight="1">
      <c r="B63" s="392" t="s">
        <v>215</v>
      </c>
      <c r="C63" s="445">
        <v>-157.00000000000009</v>
      </c>
      <c r="D63" s="446">
        <v>150</v>
      </c>
      <c r="E63" s="363" t="s">
        <v>1</v>
      </c>
      <c r="F63" s="72"/>
      <c r="G63" s="46"/>
      <c r="H63" s="32">
        <f t="shared" si="10"/>
        <v>0</v>
      </c>
      <c r="I63" s="46"/>
      <c r="J63" s="32">
        <f>ROUND(C53,0)+ROUND(C60,0)+ROUND(C61,0)+ROUND(C57,0)-ROUND(C62,0)</f>
        <v>0</v>
      </c>
      <c r="K63" s="32">
        <f>ROUND(D53,0)+ROUND(D60,0)+ROUND(D61,0)+ROUND(D57,0)-ROUND(D62,0)</f>
        <v>0</v>
      </c>
      <c r="L63" s="46"/>
      <c r="M63" s="46"/>
      <c r="N63" s="46"/>
      <c r="O63" s="46"/>
      <c r="P63" s="46"/>
      <c r="Q63" s="46"/>
    </row>
    <row r="64" spans="1:18" ht="12" customHeight="1">
      <c r="B64" s="442" t="s">
        <v>172</v>
      </c>
      <c r="C64" s="443">
        <v>10073.999999999993</v>
      </c>
      <c r="D64" s="444">
        <v>9915</v>
      </c>
      <c r="E64" s="366">
        <v>1.6036308623298032</v>
      </c>
      <c r="F64" s="67"/>
      <c r="G64" s="46"/>
      <c r="H64" s="32">
        <f t="shared" si="10"/>
        <v>0</v>
      </c>
      <c r="I64" s="46"/>
      <c r="J64" s="46"/>
      <c r="K64" s="46"/>
      <c r="L64" s="46"/>
      <c r="M64" s="46"/>
      <c r="N64" s="46"/>
      <c r="O64" s="46"/>
      <c r="P64" s="46"/>
      <c r="Q64" s="46"/>
    </row>
    <row r="65" spans="2:25" ht="12" customHeight="1">
      <c r="B65" s="461" t="s">
        <v>96</v>
      </c>
      <c r="C65" s="757">
        <v>-6882</v>
      </c>
      <c r="D65" s="448">
        <v>-7093</v>
      </c>
      <c r="E65" s="368">
        <v>2.9747638516847594</v>
      </c>
      <c r="F65" s="67"/>
      <c r="G65" s="46"/>
      <c r="H65" s="32">
        <f t="shared" si="10"/>
        <v>0</v>
      </c>
      <c r="I65" s="46"/>
      <c r="J65" s="32">
        <f>ROUND(C62,0)+ROUND(C63,0)-ROUND(C64,0)</f>
        <v>0</v>
      </c>
      <c r="K65" s="32">
        <f>ROUND(D62,0)+ROUND(D63,0)-ROUND(D64,0)</f>
        <v>0</v>
      </c>
      <c r="L65" s="46"/>
      <c r="M65" s="46"/>
      <c r="N65" s="46"/>
      <c r="O65" s="46"/>
      <c r="P65" s="46"/>
      <c r="Q65" s="46"/>
    </row>
    <row r="66" spans="2:25" ht="12" customHeight="1">
      <c r="B66" s="460" t="s">
        <v>155</v>
      </c>
      <c r="C66" s="445">
        <v>-156</v>
      </c>
      <c r="D66" s="446">
        <v>-188</v>
      </c>
      <c r="E66" s="363">
        <v>17.021276595744681</v>
      </c>
      <c r="F66" s="67"/>
      <c r="G66" s="46"/>
      <c r="H66" s="32">
        <f t="shared" si="10"/>
        <v>0</v>
      </c>
      <c r="I66" s="46"/>
      <c r="J66" s="46"/>
      <c r="K66" s="46"/>
      <c r="L66" s="46"/>
      <c r="M66" s="46"/>
      <c r="N66" s="46"/>
      <c r="O66" s="46"/>
      <c r="P66" s="46"/>
      <c r="Q66" s="46"/>
    </row>
    <row r="67" spans="2:25" ht="12" customHeight="1">
      <c r="B67" s="442" t="s">
        <v>0</v>
      </c>
      <c r="C67" s="756">
        <v>-7038</v>
      </c>
      <c r="D67" s="444">
        <v>-7281</v>
      </c>
      <c r="E67" s="366">
        <v>3.3374536464771323</v>
      </c>
      <c r="F67" s="67"/>
      <c r="G67" s="46"/>
      <c r="H67" s="32">
        <f t="shared" si="10"/>
        <v>0</v>
      </c>
      <c r="I67" s="46"/>
      <c r="J67" s="32">
        <f>ROUND(C65,0)+ROUND(C66,0)-ROUND(C67,0)</f>
        <v>0</v>
      </c>
      <c r="K67" s="32">
        <f>ROUND(D65,0)+ROUND(D66,0)-ROUND(D67,0)</f>
        <v>0</v>
      </c>
      <c r="L67" s="46"/>
      <c r="M67" s="46"/>
      <c r="N67" s="46"/>
      <c r="O67" s="46"/>
      <c r="P67" s="46"/>
      <c r="Q67" s="46"/>
    </row>
    <row r="68" spans="2:25" ht="12" customHeight="1">
      <c r="B68" s="460" t="s">
        <v>4</v>
      </c>
      <c r="C68" s="755">
        <v>-109.36276639836269</v>
      </c>
      <c r="D68" s="446">
        <v>-68</v>
      </c>
      <c r="E68" s="758">
        <v>-60.294117647058826</v>
      </c>
      <c r="F68" s="67"/>
      <c r="G68" s="46"/>
      <c r="H68" s="32">
        <f>IFERROR(ROUND(IF(C65&gt;0,100*(ROUND(C65,0)-ROUND(D65,0))/ROUND(D65,0),-100*(ROUND(C65,0)-ROUND(D65,0))/ROUND(D65,0)),0)-ROUND(E65,0),0)</f>
        <v>0</v>
      </c>
      <c r="I68" s="46"/>
      <c r="J68" s="46"/>
      <c r="K68" s="46"/>
      <c r="L68" s="46"/>
      <c r="M68" s="46"/>
      <c r="N68" s="46"/>
      <c r="O68" s="46"/>
      <c r="P68" s="46"/>
      <c r="Q68" s="46"/>
    </row>
    <row r="69" spans="2:25" ht="12" customHeight="1">
      <c r="B69" s="442" t="s">
        <v>5</v>
      </c>
      <c r="C69" s="443">
        <v>-7147.0000000000009</v>
      </c>
      <c r="D69" s="444">
        <v>-7349</v>
      </c>
      <c r="E69" s="366">
        <v>2.7486732888828413</v>
      </c>
      <c r="F69" s="67"/>
      <c r="G69" s="46"/>
      <c r="H69" s="32">
        <f>IFERROR(ROUND(IF(C68&gt;0,100*(ROUND(C68,0)-ROUND(D68,0))/ROUND(D68,0),-100*(ROUND(C68,0)-ROUND(D68,0))/ROUND(D68,0)),0)-ROUND(E68,0),0)</f>
        <v>0</v>
      </c>
      <c r="I69" s="46"/>
      <c r="J69" s="46"/>
      <c r="K69" s="46"/>
      <c r="L69" s="46"/>
      <c r="M69" s="46"/>
      <c r="N69" s="46"/>
      <c r="O69" s="46"/>
      <c r="P69" s="46"/>
      <c r="Q69" s="46"/>
    </row>
    <row r="70" spans="2:25" ht="12" customHeight="1">
      <c r="B70" s="460" t="s">
        <v>173</v>
      </c>
      <c r="C70" s="445">
        <v>27.99999999999709</v>
      </c>
      <c r="D70" s="446">
        <v>27</v>
      </c>
      <c r="E70" s="363">
        <v>3.7037037037037037</v>
      </c>
      <c r="F70" s="67"/>
      <c r="G70" s="46"/>
      <c r="H70" s="32">
        <f t="shared" si="10"/>
        <v>0</v>
      </c>
      <c r="I70" s="46"/>
      <c r="J70" s="32">
        <f>ROUND(C65,0)+ROUND(C68,0)-ROUND(C69,0)+C66</f>
        <v>0</v>
      </c>
      <c r="K70" s="32">
        <f>ROUND(D65,0)+ROUND(D68,0)-ROUND(D69,0)+D66</f>
        <v>0</v>
      </c>
      <c r="L70" s="46"/>
      <c r="M70" s="46"/>
      <c r="N70" s="46"/>
      <c r="O70" s="46"/>
      <c r="P70" s="46"/>
      <c r="Q70" s="46"/>
    </row>
    <row r="71" spans="2:25" ht="12" customHeight="1">
      <c r="B71" s="442" t="s">
        <v>102</v>
      </c>
      <c r="C71" s="443">
        <v>2954.9999999999918</v>
      </c>
      <c r="D71" s="444">
        <v>2593</v>
      </c>
      <c r="E71" s="366">
        <v>13.960663324334748</v>
      </c>
      <c r="F71" s="67"/>
      <c r="G71" s="46"/>
      <c r="H71" s="32">
        <f t="shared" si="10"/>
        <v>0</v>
      </c>
      <c r="I71" s="46"/>
      <c r="J71" s="46"/>
      <c r="K71" s="46"/>
      <c r="L71" s="46"/>
      <c r="M71" s="46"/>
      <c r="N71" s="46"/>
      <c r="O71" s="46"/>
      <c r="P71" s="46" t="s">
        <v>108</v>
      </c>
      <c r="Q71" s="46"/>
    </row>
    <row r="72" spans="2:25" ht="12" customHeight="1">
      <c r="B72" s="461" t="s">
        <v>216</v>
      </c>
      <c r="C72" s="447">
        <v>1979.9999999999882</v>
      </c>
      <c r="D72" s="448">
        <v>1781</v>
      </c>
      <c r="E72" s="368">
        <v>11.173498034811903</v>
      </c>
      <c r="F72" s="67"/>
      <c r="G72" s="46"/>
      <c r="H72" s="32">
        <f t="shared" si="10"/>
        <v>0</v>
      </c>
      <c r="I72" s="46"/>
      <c r="J72" s="32">
        <f>ROUND(C62,0)+ROUND(C63,0)+ROUND(C69,0)+ROUND(C70,0)-ROUND(C71,0)</f>
        <v>0</v>
      </c>
      <c r="K72" s="32">
        <f>ROUND(D62,0)+ROUND(D63,0)+ROUND(D69,0)+ROUND(D70,0)-ROUND(D71,0)</f>
        <v>0</v>
      </c>
      <c r="L72" s="46"/>
      <c r="M72" s="46"/>
      <c r="N72" s="46"/>
      <c r="O72" s="46"/>
      <c r="P72" s="152">
        <f>C71-'CYYTD performance measures excl'!C15</f>
        <v>0</v>
      </c>
      <c r="Q72" s="152">
        <f>D71-'PYYTD performance measures'!C15</f>
        <v>0</v>
      </c>
    </row>
    <row r="73" spans="2:25" ht="12" customHeight="1">
      <c r="B73" s="461"/>
      <c r="C73" s="601"/>
      <c r="D73" s="601"/>
      <c r="E73" s="602"/>
      <c r="F73" s="67"/>
      <c r="G73" s="46"/>
      <c r="H73" s="32">
        <f t="shared" si="10"/>
        <v>0</v>
      </c>
      <c r="I73" s="229"/>
      <c r="J73" s="46"/>
      <c r="K73" s="46"/>
      <c r="L73" s="46"/>
      <c r="M73" s="46"/>
      <c r="N73" s="46"/>
      <c r="O73" s="229" t="s">
        <v>90</v>
      </c>
      <c r="P73" s="152">
        <f>C72-'CYYTD performance measures excl'!C20</f>
        <v>0</v>
      </c>
      <c r="Q73" s="152">
        <f>D72-'PYYTD performance measures'!C20</f>
        <v>0</v>
      </c>
    </row>
    <row r="74" spans="2:25" ht="12" customHeight="1">
      <c r="B74" s="604" t="s">
        <v>182</v>
      </c>
      <c r="C74" s="380" t="s">
        <v>150</v>
      </c>
      <c r="D74" s="380" t="s">
        <v>150</v>
      </c>
      <c r="E74" s="380"/>
      <c r="F74" s="72"/>
      <c r="G74" s="46"/>
      <c r="H74" s="46"/>
      <c r="I74" s="229" t="s">
        <v>90</v>
      </c>
      <c r="J74" s="46"/>
      <c r="K74" s="46"/>
      <c r="L74" s="46"/>
      <c r="M74" s="46"/>
      <c r="N74" s="46"/>
      <c r="O74" s="46"/>
      <c r="P74" s="46"/>
      <c r="Q74" s="46"/>
    </row>
    <row r="75" spans="2:25" ht="12" customHeight="1">
      <c r="B75" s="605" t="s">
        <v>115</v>
      </c>
      <c r="C75" s="606">
        <v>92042.316142109907</v>
      </c>
      <c r="D75" s="369">
        <v>86400</v>
      </c>
      <c r="E75" s="369"/>
      <c r="F75" s="18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spans="2:25" ht="12" customHeight="1">
      <c r="B76" s="607" t="s">
        <v>123</v>
      </c>
      <c r="C76" s="608">
        <v>113300</v>
      </c>
      <c r="D76" s="609">
        <v>104000</v>
      </c>
      <c r="E76" s="610"/>
      <c r="F76" s="209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W76" s="47" t="s">
        <v>125</v>
      </c>
    </row>
    <row r="77" spans="2:25" ht="12" customHeight="1">
      <c r="B77" s="607" t="s">
        <v>124</v>
      </c>
      <c r="C77" s="608">
        <v>228825.99999999997</v>
      </c>
      <c r="D77" s="609">
        <v>222100</v>
      </c>
      <c r="E77" s="610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8" t="s">
        <v>23</v>
      </c>
      <c r="S77" s="257" t="e">
        <f>CQtr</f>
        <v>#REF!</v>
      </c>
      <c r="T77" s="257" t="s">
        <v>44</v>
      </c>
      <c r="U77" s="257" t="s">
        <v>41</v>
      </c>
      <c r="W77" s="257" t="e">
        <f>CQtr</f>
        <v>#REF!</v>
      </c>
      <c r="X77" s="257" t="s">
        <v>44</v>
      </c>
      <c r="Y77" s="257" t="s">
        <v>41</v>
      </c>
    </row>
    <row r="78" spans="2:25" ht="13.2">
      <c r="B78" s="607" t="s">
        <v>119</v>
      </c>
      <c r="C78" s="608">
        <v>127676.90971541002</v>
      </c>
      <c r="D78" s="609">
        <v>144200</v>
      </c>
      <c r="E78" s="610"/>
      <c r="F78" s="227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250" t="s">
        <v>115</v>
      </c>
      <c r="S78" s="152">
        <f>ROUND(C75,-2)-ROUND(W78,-2)</f>
        <v>-36200</v>
      </c>
      <c r="T78" s="152">
        <f t="shared" ref="T78:T87" si="11">ROUND(D75,-2)-ROUND(X78,-2)</f>
        <v>-4200</v>
      </c>
      <c r="U78" s="152"/>
      <c r="W78" s="155">
        <f>'Barclays International Qrtly'!C77</f>
        <v>128173.97596493</v>
      </c>
      <c r="X78" s="155">
        <f>'Barclays International Qrtly'!H77</f>
        <v>90629.572899349907</v>
      </c>
      <c r="Y78" s="155">
        <f>'Barclays International Qrtly'!J77</f>
        <v>86369.046190870111</v>
      </c>
    </row>
    <row r="79" spans="2:25" ht="13.2">
      <c r="B79" s="607" t="s">
        <v>116</v>
      </c>
      <c r="C79" s="608">
        <v>78508.938921480003</v>
      </c>
      <c r="D79" s="609">
        <v>73400</v>
      </c>
      <c r="E79" s="610"/>
      <c r="F79" s="227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 t="s">
        <v>123</v>
      </c>
      <c r="S79" s="152">
        <f t="shared" ref="S79:S87" si="12">ROUND(C76,-2)-ROUND(W79,-2)</f>
        <v>11800</v>
      </c>
      <c r="T79" s="152">
        <f t="shared" si="11"/>
        <v>-13200</v>
      </c>
      <c r="U79" s="152"/>
      <c r="W79" s="155">
        <f>'Barclays International Qrtly'!C78</f>
        <v>101487</v>
      </c>
      <c r="X79" s="155">
        <f>'Barclays International Qrtly'!H78</f>
        <v>117200</v>
      </c>
      <c r="Y79" s="155">
        <f>'Barclays International Qrtly'!J78</f>
        <v>104000</v>
      </c>
    </row>
    <row r="80" spans="2:25" ht="13.2">
      <c r="B80" s="611" t="s">
        <v>120</v>
      </c>
      <c r="C80" s="737">
        <v>155300</v>
      </c>
      <c r="D80" s="612">
        <v>160400</v>
      </c>
      <c r="E80" s="612"/>
      <c r="F80" s="227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 t="s">
        <v>124</v>
      </c>
      <c r="S80" s="152">
        <f t="shared" si="12"/>
        <v>-112600</v>
      </c>
      <c r="T80" s="152">
        <f t="shared" si="11"/>
        <v>4800</v>
      </c>
      <c r="U80" s="152"/>
      <c r="W80" s="155">
        <f>'Barclays International Qrtly'!C79</f>
        <v>341438.99999999948</v>
      </c>
      <c r="X80" s="155">
        <f>'Barclays International Qrtly'!H79</f>
        <v>217300</v>
      </c>
      <c r="Y80" s="155">
        <f>'Barclays International Qrtly'!J79</f>
        <v>222100</v>
      </c>
    </row>
    <row r="81" spans="2:25" ht="13.2">
      <c r="B81" s="442" t="s">
        <v>10</v>
      </c>
      <c r="C81" s="738">
        <v>795600</v>
      </c>
      <c r="D81" s="370">
        <v>790500</v>
      </c>
      <c r="E81" s="613"/>
      <c r="F81" s="227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 t="s">
        <v>119</v>
      </c>
      <c r="S81" s="152">
        <f t="shared" si="12"/>
        <v>-60100</v>
      </c>
      <c r="T81" s="152">
        <f t="shared" si="11"/>
        <v>-8700</v>
      </c>
      <c r="U81" s="152"/>
      <c r="W81" s="155">
        <f>'Barclays International Qrtly'!C80</f>
        <v>187772.95500085995</v>
      </c>
      <c r="X81" s="155">
        <f>'Barclays International Qrtly'!H80</f>
        <v>152900</v>
      </c>
      <c r="Y81" s="155">
        <f>'Barclays International Qrtly'!J80</f>
        <v>144200</v>
      </c>
    </row>
    <row r="82" spans="2:25" ht="13.2">
      <c r="B82" s="461" t="s">
        <v>122</v>
      </c>
      <c r="C82" s="608">
        <v>146200</v>
      </c>
      <c r="D82" s="432">
        <v>136300</v>
      </c>
      <c r="E82" s="614"/>
      <c r="F82" s="227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 t="s">
        <v>116</v>
      </c>
      <c r="S82" s="195">
        <f>ROUND(C79,-2)-ROUND(W82,-2)</f>
        <v>-73700</v>
      </c>
      <c r="T82" s="152">
        <f t="shared" si="11"/>
        <v>-23500</v>
      </c>
      <c r="U82" s="152"/>
      <c r="W82" s="155">
        <f>'Barclays International Qrtly'!C81</f>
        <v>152246.80845167997</v>
      </c>
      <c r="X82" s="155">
        <f>'Barclays International Qrtly'!H81</f>
        <v>96900</v>
      </c>
      <c r="Y82" s="155">
        <f>'Barclays International Qrtly'!J81</f>
        <v>73400</v>
      </c>
    </row>
    <row r="83" spans="2:25" ht="13.2">
      <c r="B83" s="615" t="s">
        <v>121</v>
      </c>
      <c r="C83" s="608">
        <v>228866.99999999971</v>
      </c>
      <c r="D83" s="609">
        <v>219600</v>
      </c>
      <c r="E83" s="610"/>
      <c r="F83" s="227"/>
      <c r="G83" s="46"/>
      <c r="H83" s="46"/>
      <c r="I83" s="46"/>
      <c r="J83" s="152">
        <f>ROUND(C81,-2)-ROUND(C80,-2)-ROUND(C79,-2)-ROUND(C78,-2)-ROUND(C77,-2)-ROUND(C76,-2)-ROUND(C75,-2)</f>
        <v>0</v>
      </c>
      <c r="K83" s="152">
        <f>ROUND(D81,-2)-ROUND(D80,-2)-ROUND(D79,-2)-ROUND(D78,-2)-ROUND(D77,-2)-ROUND(D76,-2)-ROUND(D75,-2)</f>
        <v>0</v>
      </c>
      <c r="L83" s="152">
        <f>ROUND(E81,-2)-ROUND(E80,-2)-ROUND(E79,-2)-ROUND(E78,-2)-ROUND(E77,-2)-ROUND(E76,-2)-ROUND(E75,-2)</f>
        <v>0</v>
      </c>
      <c r="M83" s="46"/>
      <c r="N83" s="46"/>
      <c r="O83" s="46"/>
      <c r="P83" s="46"/>
      <c r="Q83" s="46"/>
      <c r="R83" s="46" t="s">
        <v>120</v>
      </c>
      <c r="S83" s="152">
        <f t="shared" si="12"/>
        <v>-16100</v>
      </c>
      <c r="T83" s="152">
        <f t="shared" si="11"/>
        <v>-2800</v>
      </c>
      <c r="U83" s="152"/>
      <c r="W83" s="155">
        <f>'Barclays International Qrtly'!C82</f>
        <v>171400</v>
      </c>
      <c r="X83" s="155">
        <f>'Barclays International Qrtly'!H82</f>
        <v>163200</v>
      </c>
      <c r="Y83" s="155">
        <f>'Barclays International Qrtly'!J82</f>
        <v>160400</v>
      </c>
    </row>
    <row r="84" spans="2:25" ht="13.2">
      <c r="B84" s="603" t="s">
        <v>113</v>
      </c>
      <c r="C84" s="768">
        <v>171452.98988368199</v>
      </c>
      <c r="D84" s="616">
        <v>170900</v>
      </c>
      <c r="E84" s="371"/>
      <c r="F84" s="227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 t="s">
        <v>10</v>
      </c>
      <c r="S84" s="152">
        <f t="shared" si="12"/>
        <v>-286900</v>
      </c>
      <c r="T84" s="152">
        <f t="shared" si="11"/>
        <v>-47600</v>
      </c>
      <c r="U84" s="152"/>
      <c r="W84" s="155">
        <f>'Barclays International Qrtly'!C83</f>
        <v>1082486</v>
      </c>
      <c r="X84" s="155">
        <f>'Barclays International Qrtly'!H83</f>
        <v>838100</v>
      </c>
      <c r="Y84" s="155">
        <f>'Barclays International Qrtly'!J83</f>
        <v>790500</v>
      </c>
    </row>
    <row r="85" spans="2:25" ht="13.2">
      <c r="B85" s="603"/>
      <c r="C85" s="359"/>
      <c r="D85" s="359"/>
      <c r="E85" s="372"/>
      <c r="F85" s="227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 t="s">
        <v>122</v>
      </c>
      <c r="S85" s="152">
        <f t="shared" si="12"/>
        <v>-52200</v>
      </c>
      <c r="T85" s="152">
        <f t="shared" si="11"/>
        <v>-15100</v>
      </c>
      <c r="U85" s="152"/>
      <c r="W85" s="155">
        <f>'Barclays International Qrtly'!C84</f>
        <v>198413.721617859</v>
      </c>
      <c r="X85" s="155">
        <f>'Barclays International Qrtly'!H84</f>
        <v>151408.62508740014</v>
      </c>
      <c r="Y85" s="155">
        <f>'Barclays International Qrtly'!J84</f>
        <v>136278.73094252005</v>
      </c>
    </row>
    <row r="86" spans="2:25" ht="12" customHeight="1">
      <c r="B86" s="604" t="s">
        <v>175</v>
      </c>
      <c r="C86" s="382"/>
      <c r="D86" s="382"/>
      <c r="E86" s="358"/>
      <c r="F86" s="73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 t="s">
        <v>121</v>
      </c>
      <c r="S86" s="152">
        <f t="shared" si="12"/>
        <v>-109800</v>
      </c>
      <c r="T86" s="152">
        <f t="shared" si="11"/>
        <v>6100</v>
      </c>
      <c r="U86" s="152"/>
      <c r="W86" s="155">
        <f>'Barclays International Qrtly'!C85</f>
        <v>338703.00000000006</v>
      </c>
      <c r="X86" s="155">
        <f>'Barclays International Qrtly'!H85</f>
        <v>213500</v>
      </c>
      <c r="Y86" s="155">
        <f>'Barclays International Qrtly'!J85</f>
        <v>219600</v>
      </c>
    </row>
    <row r="87" spans="2:25" ht="12" customHeight="1">
      <c r="B87" s="605" t="s">
        <v>35</v>
      </c>
      <c r="C87" s="449">
        <v>7.5999999999999998E-2</v>
      </c>
      <c r="D87" s="450">
        <v>6.9000000000000006E-2</v>
      </c>
      <c r="E87" s="450"/>
      <c r="F87" s="73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 t="s">
        <v>12</v>
      </c>
      <c r="S87" s="152">
        <f t="shared" si="12"/>
        <v>-30200</v>
      </c>
      <c r="T87" s="152">
        <f t="shared" si="11"/>
        <v>-5700</v>
      </c>
      <c r="U87" s="152"/>
      <c r="W87" s="155">
        <f>'Barclays International Qrtly'!C86</f>
        <v>201747.00000000003</v>
      </c>
      <c r="X87" s="155">
        <f>'Barclays International Qrtly'!H86</f>
        <v>176589.56171244648</v>
      </c>
      <c r="Y87" s="155">
        <f>'Barclays International Qrtly'!J86</f>
        <v>170902.00000000006</v>
      </c>
    </row>
    <row r="88" spans="2:25" ht="12" customHeight="1">
      <c r="B88" s="603" t="s">
        <v>190</v>
      </c>
      <c r="C88" s="608">
        <v>25886.815093654146</v>
      </c>
      <c r="D88" s="616">
        <v>26000</v>
      </c>
      <c r="E88" s="451"/>
      <c r="F88" s="73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</row>
    <row r="89" spans="2:25" ht="11.25" customHeight="1">
      <c r="B89" s="603" t="s">
        <v>154</v>
      </c>
      <c r="C89" s="617">
        <v>0.7</v>
      </c>
      <c r="D89" s="373">
        <v>0.75</v>
      </c>
      <c r="E89" s="381"/>
      <c r="F89" s="73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2:25" ht="12" customHeight="1">
      <c r="B90" s="603"/>
      <c r="C90" s="433"/>
      <c r="D90" s="433"/>
      <c r="E90" s="433"/>
      <c r="F90" s="73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2:25" ht="12" customHeight="1">
      <c r="B91" s="604" t="s">
        <v>192</v>
      </c>
      <c r="C91" s="439" t="s">
        <v>2</v>
      </c>
      <c r="D91" s="439" t="s">
        <v>2</v>
      </c>
      <c r="E91" s="380"/>
      <c r="F91" s="73"/>
      <c r="G91" s="46"/>
      <c r="H91" s="202" t="s">
        <v>14</v>
      </c>
      <c r="I91" s="46"/>
      <c r="J91" s="46"/>
      <c r="K91" s="47" t="s">
        <v>126</v>
      </c>
      <c r="L91" s="46"/>
      <c r="M91" s="46"/>
      <c r="N91" s="46"/>
      <c r="O91" s="46"/>
      <c r="P91" s="46"/>
      <c r="Q91" s="46"/>
    </row>
    <row r="92" spans="2:25" ht="12" customHeight="1">
      <c r="B92" s="605" t="s">
        <v>102</v>
      </c>
      <c r="C92" s="753">
        <v>3064.3627663983543</v>
      </c>
      <c r="D92" s="374">
        <v>2661</v>
      </c>
      <c r="E92" s="452">
        <v>15.144682450206689</v>
      </c>
      <c r="F92" s="73"/>
      <c r="G92" s="46"/>
      <c r="H92" s="256">
        <f>ROUND(H93,2)-ROUND(C89,2)</f>
        <v>0</v>
      </c>
      <c r="I92" s="256">
        <f>ROUND(I93,2)-ROUND(D89,2)</f>
        <v>0</v>
      </c>
      <c r="J92" s="46"/>
      <c r="K92" s="169">
        <f>ROUND(C87,3)-ROUND((ROUND(C72,0)/ROUND(C88,-2)),3)</f>
        <v>0</v>
      </c>
      <c r="L92" s="169">
        <f>ROUND(D87,3)-ROUND((ROUND(D72,0)/ROUND(D88,-2)),3)</f>
        <v>0</v>
      </c>
      <c r="M92" s="46"/>
      <c r="N92" s="46"/>
      <c r="O92" s="46"/>
      <c r="P92" s="46"/>
      <c r="Q92" s="46"/>
    </row>
    <row r="93" spans="2:25" ht="12" customHeight="1">
      <c r="B93" s="603" t="s">
        <v>174</v>
      </c>
      <c r="C93" s="754">
        <v>2063.5162600801118</v>
      </c>
      <c r="D93" s="739">
        <v>1843</v>
      </c>
      <c r="E93" s="448">
        <v>11.991318502441672</v>
      </c>
      <c r="F93" s="73"/>
      <c r="G93" s="46"/>
      <c r="H93" s="255">
        <f>-1*(ROUND(C69,0))/ROUND(C62,0)</f>
        <v>0.69856319030397807</v>
      </c>
      <c r="I93" s="255">
        <f>-1*(ROUND(D69,0))/D62</f>
        <v>0.75258576548899125</v>
      </c>
      <c r="J93" s="229" t="s">
        <v>127</v>
      </c>
      <c r="K93" s="169">
        <f>ROUND(C94,3)-ROUND((ROUND(C93,0)/ROUND(C88,-2)),3)</f>
        <v>0</v>
      </c>
      <c r="L93" s="169">
        <f>ROUND(D94,3)-ROUND((ROUND(D93,0)/ROUND(D88,-2)),3)</f>
        <v>0</v>
      </c>
      <c r="M93" s="46"/>
      <c r="N93" s="46"/>
      <c r="O93" s="46"/>
      <c r="P93" s="46"/>
      <c r="Q93" s="46"/>
    </row>
    <row r="94" spans="2:25" ht="12" customHeight="1">
      <c r="B94" s="603" t="s">
        <v>35</v>
      </c>
      <c r="C94" s="429">
        <v>0.08</v>
      </c>
      <c r="D94" s="433">
        <v>7.0999999999999994E-2</v>
      </c>
      <c r="E94" s="375"/>
      <c r="F94" s="73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 spans="2:25" ht="14.25" customHeight="1">
      <c r="B95" s="603" t="s">
        <v>154</v>
      </c>
      <c r="C95" s="617">
        <v>0.69</v>
      </c>
      <c r="D95" s="618">
        <v>0.75</v>
      </c>
      <c r="E95" s="376"/>
      <c r="F95" s="73"/>
      <c r="G95" s="46"/>
      <c r="H95" s="32">
        <f>IFERROR(ROUND(IF(C92&gt;0,100*(ROUND(C92,0)-ROUND(D92,0))/ROUND(D92,0),-100*(ROUND(C92,0)-ROUND(D92,0))/ROUND(D92,0)),0)-ROUND(E92,0),0)</f>
        <v>0</v>
      </c>
      <c r="I95" s="46"/>
      <c r="J95" s="46"/>
      <c r="K95" s="32">
        <f>ROUND(C92,0)-SUM('BI performance measures excl'!B44:F44)</f>
        <v>-357.22717325835765</v>
      </c>
      <c r="L95" s="49">
        <f>ROUND(D92,-1)-ROUND(SUM('BI performance measures excl'!G44:K44),-1)</f>
        <v>340</v>
      </c>
      <c r="M95" s="46"/>
      <c r="N95" s="46"/>
      <c r="O95" s="46"/>
      <c r="P95" s="152">
        <f>ROUND(C92,0)-ROUND('CYYTD performance measures excl'!C17,0)</f>
        <v>0</v>
      </c>
      <c r="Q95" s="152">
        <f>ROUND(D92,0)-ROUND('PYYTD performance measures'!C17,0)</f>
        <v>0</v>
      </c>
    </row>
    <row r="96" spans="2:25" ht="12" customHeight="1">
      <c r="B96" s="161"/>
      <c r="C96" s="210"/>
      <c r="D96" s="210"/>
      <c r="E96" s="73"/>
      <c r="F96" s="73"/>
      <c r="G96" s="46"/>
      <c r="H96" s="32">
        <f>IFERROR(ROUND(IF(C93&gt;0,100*(ROUND(C93,0)-ROUND(D93,0))/ROUND(D93,0),-100*(ROUND(C93,0)-ROUND(D93,0))/ROUND(D93,0)),0)-ROUND(E93,0),0)</f>
        <v>0</v>
      </c>
      <c r="I96" s="46"/>
      <c r="J96" s="46"/>
      <c r="K96" s="46"/>
      <c r="L96" s="46"/>
      <c r="M96" s="46"/>
      <c r="N96" s="46"/>
      <c r="O96" s="46"/>
      <c r="P96" s="152">
        <f>C93-'CYYTD performance measures excl'!C22</f>
        <v>0</v>
      </c>
      <c r="Q96" s="152">
        <f>ROUND(D93,0)-ROUND('PYYTD performance measures'!C22,0)</f>
        <v>0</v>
      </c>
    </row>
    <row r="97" spans="2:17" ht="12" customHeight="1">
      <c r="B97" s="1624" t="s">
        <v>76</v>
      </c>
      <c r="C97" s="359" t="s">
        <v>158</v>
      </c>
      <c r="D97" s="359" t="s">
        <v>158</v>
      </c>
      <c r="E97" s="199"/>
      <c r="F97" s="73"/>
      <c r="G97" s="46"/>
      <c r="H97" s="46"/>
      <c r="I97" s="46"/>
      <c r="J97" s="46"/>
      <c r="K97" s="46"/>
      <c r="L97" s="46"/>
      <c r="M97" s="46"/>
      <c r="N97" s="46"/>
      <c r="O97" s="46"/>
      <c r="P97" s="254">
        <f>C94-'CYYTD performance measures excl'!C29</f>
        <v>0</v>
      </c>
      <c r="Q97" s="254">
        <f>D94-'PYYTD performance measures'!C29</f>
        <v>0</v>
      </c>
    </row>
    <row r="98" spans="2:17" ht="12" customHeight="1">
      <c r="B98" s="1624" t="s">
        <v>24</v>
      </c>
      <c r="C98" s="378" t="s">
        <v>156</v>
      </c>
      <c r="D98" s="378" t="s">
        <v>157</v>
      </c>
      <c r="E98" s="378"/>
      <c r="F98" s="73"/>
      <c r="G98" s="46"/>
      <c r="H98" s="202" t="s">
        <v>92</v>
      </c>
      <c r="I98" s="46"/>
      <c r="J98" s="46"/>
      <c r="K98" s="46"/>
      <c r="L98" s="46"/>
      <c r="M98" s="46"/>
      <c r="N98" s="46"/>
      <c r="O98" s="46"/>
      <c r="P98" s="152">
        <f>ROUND(C95,0)-ROUND('CYYTD performance measures excl'!C12,0)</f>
        <v>0</v>
      </c>
      <c r="Q98" s="152">
        <f>ROUND(D95,0)-ROUND('PYYTD performance measures'!C12,0)</f>
        <v>0</v>
      </c>
    </row>
    <row r="99" spans="2:17" ht="12" customHeight="1">
      <c r="B99" s="379" t="s">
        <v>164</v>
      </c>
      <c r="C99" s="380" t="s">
        <v>2</v>
      </c>
      <c r="D99" s="380" t="s">
        <v>2</v>
      </c>
      <c r="E99" s="380" t="s">
        <v>61</v>
      </c>
      <c r="G99" s="46"/>
      <c r="H99" s="256">
        <f>ROUND(C95,2)-ROUND(H100,2)</f>
        <v>0</v>
      </c>
      <c r="I99" s="256">
        <f>ROUND(D95,2)-ROUND(I100,2)</f>
        <v>0</v>
      </c>
      <c r="J99" s="46"/>
      <c r="K99" s="46"/>
      <c r="L99" s="46"/>
      <c r="M99" s="46"/>
      <c r="N99" s="46"/>
      <c r="O99" s="46"/>
      <c r="P99" s="46"/>
      <c r="Q99" s="46"/>
    </row>
    <row r="100" spans="2:17" ht="12" customHeight="1">
      <c r="B100" s="463" t="s">
        <v>179</v>
      </c>
      <c r="C100" s="453">
        <v>2822.0000000000005</v>
      </c>
      <c r="D100" s="452">
        <v>2731</v>
      </c>
      <c r="E100" s="452">
        <v>3.3321127792017577</v>
      </c>
      <c r="F100" s="695"/>
      <c r="G100" s="46"/>
      <c r="H100" s="255">
        <f>-1*(ROUND(C69,0)-ROUND(C68,0))/ROUND(C62,0)</f>
        <v>0.68790929527905387</v>
      </c>
      <c r="I100" s="269">
        <f>-1*(ROUND(D69,0)-ROUND(D68,0))/ROUND(D62,0)</f>
        <v>0.74562211981566817</v>
      </c>
      <c r="J100" s="46"/>
      <c r="K100" s="46"/>
      <c r="L100" s="46"/>
      <c r="M100" s="46"/>
      <c r="N100" s="46"/>
      <c r="O100" s="46"/>
      <c r="P100" s="46"/>
      <c r="Q100" s="46"/>
    </row>
    <row r="101" spans="2:17" ht="13.5" customHeight="1">
      <c r="B101" s="460" t="s">
        <v>233</v>
      </c>
      <c r="C101" s="445">
        <v>1622</v>
      </c>
      <c r="D101" s="446">
        <v>1530</v>
      </c>
      <c r="E101" s="446">
        <v>6.0130718954248366</v>
      </c>
      <c r="F101" s="695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</row>
    <row r="102" spans="2:17" ht="13.5" customHeight="1">
      <c r="B102" s="442" t="s">
        <v>101</v>
      </c>
      <c r="C102" s="443">
        <v>4443.9999999999991</v>
      </c>
      <c r="D102" s="444">
        <v>4261</v>
      </c>
      <c r="E102" s="444">
        <v>4.294766486740202</v>
      </c>
      <c r="G102" s="46"/>
      <c r="H102" s="47" t="s">
        <v>22</v>
      </c>
      <c r="I102" s="47"/>
      <c r="J102" s="47" t="s">
        <v>15</v>
      </c>
      <c r="K102" s="46"/>
      <c r="L102" s="46"/>
      <c r="M102" s="46"/>
      <c r="N102" s="46"/>
      <c r="O102" s="46"/>
      <c r="P102" s="46"/>
      <c r="Q102" s="46"/>
    </row>
    <row r="103" spans="2:17" ht="11.4">
      <c r="B103" s="460" t="s">
        <v>171</v>
      </c>
      <c r="C103" s="445">
        <v>-1016</v>
      </c>
      <c r="D103" s="446">
        <v>-808</v>
      </c>
      <c r="E103" s="446">
        <v>-25.742574257425744</v>
      </c>
      <c r="F103" s="43"/>
      <c r="G103" s="46"/>
      <c r="H103" s="32">
        <f>IFERROR(ROUND(IF(C100&gt;0,100*(ROUND(C100,0)-ROUND(D100,0))/ROUND(D100,0),-100*(ROUND(C100,0)-ROUND(D100,0))/ROUND(D100,0)),0)-ROUND(E100,0),0)</f>
        <v>0</v>
      </c>
      <c r="I103" s="47"/>
      <c r="J103" s="33">
        <f>ROUND(C100,0)+ROUND(C101,0)-ROUND(C102,0)</f>
        <v>0</v>
      </c>
      <c r="K103" s="33">
        <f>ROUND(D100,0)+ROUND(D101,0)-ROUND(D102,0)</f>
        <v>0</v>
      </c>
      <c r="L103" s="46"/>
      <c r="M103" s="46"/>
      <c r="N103" s="46"/>
      <c r="O103" s="46"/>
      <c r="P103" s="46"/>
      <c r="Q103" s="46"/>
    </row>
    <row r="104" spans="2:17" ht="13.2">
      <c r="B104" s="442" t="s">
        <v>172</v>
      </c>
      <c r="C104" s="443">
        <v>3427.9999999999995</v>
      </c>
      <c r="D104" s="444">
        <v>3453</v>
      </c>
      <c r="E104" s="444">
        <v>-0.72400810889081957</v>
      </c>
      <c r="F104" s="208"/>
      <c r="G104" s="46"/>
      <c r="H104" s="32">
        <f>IFERROR(ROUND(IF(C101&gt;0,100*(ROUND(C101,0)-ROUND(D101,0))/ROUND(D101,0),-100*(ROUND(C101,0)-ROUND(D101,0))/ROUND(D101,0)),0)-ROUND(E101,0),0)</f>
        <v>0</v>
      </c>
      <c r="I104" s="47"/>
      <c r="J104" s="47"/>
      <c r="K104" s="46"/>
      <c r="L104" s="46"/>
      <c r="M104" s="46"/>
      <c r="N104" s="46"/>
      <c r="O104" s="46"/>
      <c r="P104" s="46"/>
      <c r="Q104" s="46"/>
    </row>
    <row r="105" spans="2:17" ht="12" customHeight="1">
      <c r="B105" s="461" t="s">
        <v>96</v>
      </c>
      <c r="C105" s="447">
        <v>-2281</v>
      </c>
      <c r="D105" s="448">
        <v>-2231</v>
      </c>
      <c r="E105" s="448">
        <v>-2.2411474675033616</v>
      </c>
      <c r="G105" s="46"/>
      <c r="H105" s="32">
        <f>IFERROR(ROUND(IF(C102&gt;0,100*(ROUND(C102,0)-ROUND(D102,0))/ROUND(D102,0),-100*(ROUND(C102,0)-ROUND(D102,0))/ROUND(D102,0)),0)-ROUND(E102,0),0)</f>
        <v>0</v>
      </c>
      <c r="I105" s="46"/>
      <c r="J105" s="46"/>
      <c r="K105" s="46"/>
      <c r="L105" s="46"/>
      <c r="M105" s="46"/>
      <c r="N105" s="46"/>
      <c r="O105" s="46"/>
      <c r="P105" s="46"/>
      <c r="Q105" s="46"/>
    </row>
    <row r="106" spans="2:17" ht="12" customHeight="1">
      <c r="B106" s="460" t="s">
        <v>155</v>
      </c>
      <c r="C106" s="445">
        <v>-18.399999999999981</v>
      </c>
      <c r="D106" s="446">
        <v>-22</v>
      </c>
      <c r="E106" s="446">
        <v>18.181818181818183</v>
      </c>
      <c r="F106" s="695"/>
      <c r="G106" s="46"/>
      <c r="H106" s="32">
        <f>IFERROR(ROUND(IF(C103&gt;0,100*(ROUND(C103,0)-ROUND(D103,0))/ROUND(D103,0),-100*(ROUND(C103,0)-ROUND(D103,0))/ROUND(D103,0)),0)-ROUND(E103,0),0)</f>
        <v>0</v>
      </c>
      <c r="I106" s="46"/>
      <c r="J106" s="46"/>
      <c r="K106" s="46"/>
      <c r="L106" s="46"/>
      <c r="M106" s="46"/>
      <c r="N106" s="46"/>
      <c r="O106" s="46"/>
      <c r="P106" s="46"/>
      <c r="Q106" s="46"/>
    </row>
    <row r="107" spans="2:17" ht="12" customHeight="1">
      <c r="B107" s="442" t="s">
        <v>0</v>
      </c>
      <c r="C107" s="443">
        <v>-2299.4</v>
      </c>
      <c r="D107" s="444">
        <v>-2253</v>
      </c>
      <c r="E107" s="444">
        <v>-2.041722148246782</v>
      </c>
      <c r="F107" s="695"/>
      <c r="G107" s="46"/>
      <c r="H107" s="32">
        <f>IFERROR(ROUND(IF(C104&gt;0,100*(ROUND(C104,0)-ROUND(D104,0))/ROUND(D104,0),-100*(ROUND(C104,0)-ROUND(D104,0))/ROUND(D104,0)),0)-ROUND(E104,0),0)</f>
        <v>0</v>
      </c>
      <c r="I107" s="46"/>
      <c r="J107" s="33">
        <f>ROUND(C105,0)+ROUND(C106,0)-ROUND(C107,0)</f>
        <v>0</v>
      </c>
      <c r="K107" s="33">
        <f t="shared" ref="K107" si="13">ROUND(D105,0)+ROUND(D106,0)-ROUND(D107,0)</f>
        <v>0</v>
      </c>
      <c r="L107" s="46"/>
      <c r="M107" s="46"/>
      <c r="N107" s="46"/>
      <c r="O107" s="46"/>
      <c r="P107" s="46"/>
      <c r="Q107" s="46"/>
    </row>
    <row r="108" spans="2:17" ht="12" customHeight="1">
      <c r="B108" s="460" t="s">
        <v>4</v>
      </c>
      <c r="C108" s="445">
        <v>-7.4087846900000001</v>
      </c>
      <c r="D108" s="446">
        <v>-59</v>
      </c>
      <c r="E108" s="446">
        <v>88.13559322033899</v>
      </c>
      <c r="G108" s="46"/>
      <c r="H108" s="32">
        <f>IFERROR(ROUND(IF(C103&gt;0,100*(ROUND(C103,0)-ROUND(D103,0))/ROUND(D103,0),-100*(ROUND(C103,0)-ROUND(D103,0))/ROUND(D103,0)),0)-ROUND(E103,0),0)</f>
        <v>0</v>
      </c>
      <c r="I108" s="46"/>
      <c r="J108" s="46"/>
      <c r="K108" s="46"/>
      <c r="L108" s="46"/>
      <c r="M108" s="46"/>
      <c r="N108" s="46"/>
      <c r="O108" s="46"/>
      <c r="P108" s="46"/>
      <c r="Q108" s="46"/>
    </row>
    <row r="109" spans="2:17" ht="12" customHeight="1">
      <c r="B109" s="442" t="s">
        <v>5</v>
      </c>
      <c r="C109" s="443">
        <v>-2306</v>
      </c>
      <c r="D109" s="444">
        <v>-2312</v>
      </c>
      <c r="E109" s="438" t="s">
        <v>151</v>
      </c>
      <c r="G109" s="46"/>
      <c r="H109" s="32">
        <f>IFERROR(ROUND(IF(C104&gt;0,100*(ROUND(C104,0)-ROUND(D104,0))/ROUND(D104,0),-100*(ROUND(C104,0)-ROUND(D104,0))/ROUND(D104,0)),0)-ROUND(E104,0),0)</f>
        <v>0</v>
      </c>
      <c r="I109" s="46"/>
      <c r="J109" s="33">
        <f>ROUND(C102,0)+ROUND(C103,0)-ROUND(C104,0)</f>
        <v>0</v>
      </c>
      <c r="K109" s="33">
        <f>ROUND(D102,0)+ROUND(D103,0)-ROUND(D104,0)</f>
        <v>0</v>
      </c>
      <c r="L109" s="46"/>
      <c r="M109" s="46"/>
      <c r="N109" s="46"/>
      <c r="O109" s="46"/>
      <c r="P109" s="46"/>
      <c r="Q109" s="46"/>
    </row>
    <row r="110" spans="2:17" ht="12" customHeight="1">
      <c r="B110" s="460" t="s">
        <v>173</v>
      </c>
      <c r="C110" s="445">
        <v>41.000000000000327</v>
      </c>
      <c r="D110" s="446">
        <v>41</v>
      </c>
      <c r="E110" s="446">
        <v>0</v>
      </c>
      <c r="G110" s="46"/>
      <c r="H110" s="32">
        <f>IFERROR(ROUND(IF(C105&gt;0,100*(ROUND(C105,0)-ROUND(D105,0))/ROUND(D105,0),-100*(ROUND(C105,0)-ROUND(D105,0))/ROUND(D105,0)),0)-ROUND(E105,0),0)</f>
        <v>0</v>
      </c>
      <c r="I110" s="46"/>
      <c r="J110" s="46"/>
      <c r="K110" s="46"/>
      <c r="L110" s="46"/>
      <c r="M110" s="46"/>
      <c r="N110" s="46"/>
      <c r="O110" s="46"/>
      <c r="P110" s="46"/>
      <c r="Q110" s="46"/>
    </row>
    <row r="111" spans="2:17" ht="12" customHeight="1">
      <c r="B111" s="442" t="s">
        <v>102</v>
      </c>
      <c r="C111" s="443">
        <v>1163.0000000000002</v>
      </c>
      <c r="D111" s="444">
        <v>1182</v>
      </c>
      <c r="E111" s="444">
        <v>-1.607445008460237</v>
      </c>
      <c r="G111" s="46"/>
      <c r="H111" s="32">
        <f t="shared" ref="H111:H116" si="14">IFERROR(ROUND(IF(C108&gt;0,100*(ROUND(C108,0)-ROUND(D108,0))/ROUND(D108,0),-100*(ROUND(C108,0)-ROUND(D108,0))/ROUND(D108,0)),0)-ROUND(E108,0),0)</f>
        <v>0</v>
      </c>
      <c r="I111" s="46"/>
      <c r="J111" s="46"/>
      <c r="K111" s="46"/>
      <c r="L111" s="46"/>
      <c r="M111" s="46"/>
      <c r="N111" s="46"/>
      <c r="O111" s="46"/>
      <c r="P111" s="46"/>
      <c r="Q111" s="46"/>
    </row>
    <row r="112" spans="2:17" ht="12" customHeight="1">
      <c r="B112" s="461" t="s">
        <v>181</v>
      </c>
      <c r="C112" s="740">
        <v>836.00000000000034</v>
      </c>
      <c r="D112" s="461">
        <v>818</v>
      </c>
      <c r="E112" s="448">
        <v>2.2004889975550124</v>
      </c>
      <c r="G112" s="46"/>
      <c r="H112" s="32">
        <f t="shared" si="14"/>
        <v>0</v>
      </c>
      <c r="I112" s="46"/>
      <c r="J112" s="33">
        <f>ROUND(C105,0)+ROUND(C108,0)-ROUND(C109,0)+ROUND(C106,0)</f>
        <v>0</v>
      </c>
      <c r="K112" s="33">
        <f>ROUND(D105,0)+ROUND(D108,0)-ROUND(D109,0)+ROUND(D106,0)</f>
        <v>0</v>
      </c>
      <c r="L112" s="46"/>
      <c r="M112" s="46"/>
      <c r="N112" s="46"/>
      <c r="O112" s="46"/>
      <c r="P112" s="46"/>
      <c r="Q112" s="46"/>
    </row>
    <row r="113" spans="2:25" ht="12" customHeight="1">
      <c r="B113" s="464"/>
      <c r="C113" s="434"/>
      <c r="D113" s="434"/>
      <c r="E113" s="434"/>
      <c r="G113" s="46"/>
      <c r="H113" s="32">
        <f t="shared" si="14"/>
        <v>0</v>
      </c>
      <c r="I113" s="46"/>
      <c r="J113" s="36"/>
      <c r="K113" s="36"/>
      <c r="L113" s="46"/>
      <c r="M113" s="46"/>
      <c r="N113" s="46"/>
      <c r="O113" s="46"/>
      <c r="P113" s="46"/>
      <c r="Q113" s="46"/>
    </row>
    <row r="114" spans="2:25" ht="12" customHeight="1">
      <c r="B114" s="604" t="s">
        <v>182</v>
      </c>
      <c r="C114" s="619" t="s">
        <v>150</v>
      </c>
      <c r="D114" s="619" t="s">
        <v>150</v>
      </c>
      <c r="E114" s="619"/>
      <c r="G114" s="46"/>
      <c r="H114" s="32">
        <f t="shared" si="14"/>
        <v>0</v>
      </c>
      <c r="I114" s="46"/>
      <c r="J114" s="33">
        <f>ROUND(C102,0)+ROUND(C103,0)+ROUND(C109,0)+ROUND(C110,0)-ROUND(C111,0)</f>
        <v>0</v>
      </c>
      <c r="K114" s="33">
        <f>ROUND(D102,0)+ROUND(D103,0)+ROUND(D109,0)+ROUND(D110,0)-ROUND(D111,0)</f>
        <v>0</v>
      </c>
      <c r="L114" s="46"/>
      <c r="M114" s="46"/>
      <c r="N114" s="46"/>
      <c r="O114" s="46"/>
      <c r="P114" s="152">
        <f>C111-'CYYTD performance measures excl'!D15</f>
        <v>0</v>
      </c>
      <c r="Q114" s="152">
        <f>D111-'PYYTD performance measures'!D15</f>
        <v>0</v>
      </c>
    </row>
    <row r="115" spans="2:25" ht="12" customHeight="1">
      <c r="B115" s="463" t="s">
        <v>115</v>
      </c>
      <c r="C115" s="606">
        <v>40771.596863889994</v>
      </c>
      <c r="D115" s="620">
        <v>40800</v>
      </c>
      <c r="E115" s="383"/>
      <c r="G115" s="46"/>
      <c r="H115" s="32">
        <f t="shared" si="14"/>
        <v>0</v>
      </c>
      <c r="I115" s="46"/>
      <c r="J115" s="46"/>
      <c r="K115" s="46"/>
      <c r="L115" s="46"/>
      <c r="M115" s="46"/>
      <c r="N115" s="46"/>
      <c r="O115" s="46"/>
      <c r="P115" s="46"/>
      <c r="Q115" s="46"/>
    </row>
    <row r="116" spans="2:25" ht="12" customHeight="1">
      <c r="B116" s="461" t="s">
        <v>10</v>
      </c>
      <c r="C116" s="608">
        <v>65800</v>
      </c>
      <c r="D116" s="601">
        <v>71600</v>
      </c>
      <c r="E116" s="384"/>
      <c r="G116" s="46"/>
      <c r="H116" s="32">
        <f t="shared" si="14"/>
        <v>0</v>
      </c>
      <c r="I116" s="46"/>
      <c r="J116" s="33"/>
      <c r="K116" s="33"/>
      <c r="L116" s="46"/>
      <c r="M116" s="46"/>
      <c r="N116" s="46"/>
      <c r="O116" s="46"/>
      <c r="P116" s="152">
        <f>ROUND(C112,0)-ROUND('CYYTD performance measures excl'!D20,0)</f>
        <v>0</v>
      </c>
      <c r="Q116" s="152">
        <f>ROUND(D112,0)-ROUND('PYYTD performance measures'!D20,0)</f>
        <v>0</v>
      </c>
    </row>
    <row r="117" spans="2:25" ht="12" customHeight="1">
      <c r="B117" s="461" t="s">
        <v>122</v>
      </c>
      <c r="C117" s="608">
        <v>63800</v>
      </c>
      <c r="D117" s="601">
        <v>60900</v>
      </c>
      <c r="E117" s="384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</row>
    <row r="118" spans="2:25" ht="12" customHeight="1">
      <c r="B118" s="461" t="s">
        <v>113</v>
      </c>
      <c r="C118" s="608">
        <v>37690.309913056321</v>
      </c>
      <c r="D118" s="601">
        <v>39800</v>
      </c>
      <c r="E118" s="384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W118" s="47" t="s">
        <v>125</v>
      </c>
    </row>
    <row r="119" spans="2:25" ht="12" customHeight="1">
      <c r="B119" s="461"/>
      <c r="C119" s="601"/>
      <c r="D119" s="601"/>
      <c r="E119" s="384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8" t="s">
        <v>23</v>
      </c>
      <c r="S119" s="257" t="e">
        <f>CQtr</f>
        <v>#REF!</v>
      </c>
      <c r="T119" s="257" t="s">
        <v>44</v>
      </c>
      <c r="U119" s="257" t="s">
        <v>38</v>
      </c>
      <c r="W119" s="257" t="e">
        <f>CQtr</f>
        <v>#REF!</v>
      </c>
      <c r="X119" s="257" t="s">
        <v>44</v>
      </c>
      <c r="Y119" s="257" t="s">
        <v>38</v>
      </c>
    </row>
    <row r="120" spans="2:25" ht="12" customHeight="1">
      <c r="B120" s="604" t="s">
        <v>183</v>
      </c>
      <c r="C120" s="619"/>
      <c r="D120" s="619"/>
      <c r="E120" s="619"/>
      <c r="F120" s="695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 t="s">
        <v>115</v>
      </c>
      <c r="S120" s="152">
        <f t="shared" ref="S120:T122" si="15">ROUND(C115,-2)-ROUND(W120,-2)</f>
        <v>2000</v>
      </c>
      <c r="T120" s="152">
        <f t="shared" si="15"/>
        <v>500</v>
      </c>
      <c r="U120" s="152"/>
      <c r="W120" s="155">
        <f>'Barclays International Qrtly'!C118</f>
        <v>38768.634383639997</v>
      </c>
      <c r="X120" s="155">
        <f>'Barclays International Qrtly'!H118</f>
        <v>40302.399308</v>
      </c>
      <c r="Y120" s="155">
        <f>'Barclays International Qrtly'!J118</f>
        <v>40845.871509529999</v>
      </c>
    </row>
    <row r="121" spans="2:25" ht="12" customHeight="1">
      <c r="B121" s="463" t="s">
        <v>217</v>
      </c>
      <c r="C121" s="746">
        <v>2.7E-2</v>
      </c>
      <c r="D121" s="450">
        <v>2.7E-2</v>
      </c>
      <c r="E121" s="383"/>
      <c r="F121" s="695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 t="s">
        <v>10</v>
      </c>
      <c r="S121" s="152">
        <f t="shared" si="15"/>
        <v>-4900</v>
      </c>
      <c r="T121" s="152">
        <f t="shared" si="15"/>
        <v>-9300</v>
      </c>
      <c r="U121" s="152"/>
      <c r="W121" s="155">
        <f>'Barclays International Qrtly'!C119</f>
        <v>70715</v>
      </c>
      <c r="X121" s="155">
        <f>'Barclays International Qrtly'!H119</f>
        <v>80900</v>
      </c>
      <c r="Y121" s="155">
        <f>'Barclays International Qrtly'!J119</f>
        <v>71600</v>
      </c>
    </row>
    <row r="122" spans="2:25" ht="12" customHeight="1">
      <c r="B122" s="461" t="s">
        <v>237</v>
      </c>
      <c r="C122" s="462"/>
      <c r="D122" s="462"/>
      <c r="E122" s="384"/>
      <c r="F122" s="695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 t="s">
        <v>122</v>
      </c>
      <c r="S122" s="152">
        <f t="shared" si="15"/>
        <v>-1100</v>
      </c>
      <c r="T122" s="152">
        <f t="shared" si="15"/>
        <v>-3200</v>
      </c>
      <c r="U122" s="152"/>
      <c r="W122" s="155">
        <f>'Barclays International Qrtly'!C120</f>
        <v>64938.000548919998</v>
      </c>
      <c r="X122" s="155">
        <f>'Barclays International Qrtly'!H120</f>
        <v>64096.509167719996</v>
      </c>
      <c r="Y122" s="155">
        <f>'Barclays International Qrtly'!J120</f>
        <v>60940.701811809995</v>
      </c>
    </row>
    <row r="123" spans="2:25" ht="12" customHeight="1">
      <c r="B123" s="461" t="s">
        <v>238</v>
      </c>
      <c r="C123" s="668">
        <v>0.14000000000000001</v>
      </c>
      <c r="D123" s="771">
        <v>0.14000000000000001</v>
      </c>
      <c r="E123" s="384"/>
      <c r="F123" s="69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 t="s">
        <v>12</v>
      </c>
      <c r="S123" s="152">
        <f>ROUND(C118,-2)-ROUND(W123,-2)</f>
        <v>1500</v>
      </c>
      <c r="T123" s="152">
        <f>ROUND(D118,-2)-ROUND(X123,-2)</f>
        <v>300</v>
      </c>
      <c r="U123" s="152"/>
      <c r="W123" s="155">
        <f>'Barclays International Qrtly'!C121</f>
        <v>36161.000000000036</v>
      </c>
      <c r="X123" s="155">
        <f>'Barclays International Qrtly'!H121</f>
        <v>39481.376511787486</v>
      </c>
      <c r="Y123" s="155">
        <f>'Barclays International Qrtly'!J121</f>
        <v>39839</v>
      </c>
    </row>
    <row r="124" spans="2:25" ht="12" customHeight="1">
      <c r="B124" s="461" t="s">
        <v>239</v>
      </c>
      <c r="C124" s="668">
        <v>0.86</v>
      </c>
      <c r="D124" s="771">
        <v>0.86</v>
      </c>
      <c r="E124" s="384"/>
      <c r="F124" s="695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152"/>
      <c r="T124" s="152"/>
      <c r="U124" s="152"/>
      <c r="W124" s="155"/>
      <c r="X124" s="155"/>
      <c r="Y124" s="155"/>
    </row>
    <row r="125" spans="2:25" ht="11.7" customHeight="1">
      <c r="B125" s="461" t="s">
        <v>236</v>
      </c>
      <c r="C125" s="594" t="s">
        <v>234</v>
      </c>
      <c r="D125" s="51" t="s">
        <v>235</v>
      </c>
      <c r="E125" s="384"/>
      <c r="F125" s="695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</row>
    <row r="126" spans="2:25" ht="11.7" customHeight="1">
      <c r="B126" s="461" t="s">
        <v>218</v>
      </c>
      <c r="C126" s="747">
        <v>354000</v>
      </c>
      <c r="D126" s="623">
        <v>344</v>
      </c>
      <c r="E126" s="384"/>
      <c r="F126" s="695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201"/>
      <c r="S126" s="201"/>
      <c r="T126" s="201"/>
      <c r="U126" s="201"/>
      <c r="V126" s="201"/>
      <c r="W126" s="201"/>
      <c r="X126" s="201"/>
      <c r="Y126" s="201"/>
    </row>
    <row r="127" spans="2:25" ht="12" customHeight="1">
      <c r="B127" s="461"/>
      <c r="C127" s="378"/>
      <c r="D127" s="378"/>
      <c r="E127" s="601"/>
      <c r="F127" s="695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S127" s="201"/>
      <c r="T127" s="201"/>
      <c r="U127" s="201"/>
      <c r="V127" s="201"/>
      <c r="W127" s="201"/>
      <c r="X127" s="201"/>
      <c r="Y127" s="201"/>
    </row>
    <row r="128" spans="2:25" ht="12" customHeight="1">
      <c r="B128" s="621" t="s">
        <v>175</v>
      </c>
      <c r="C128" s="378"/>
      <c r="D128" s="378"/>
      <c r="E128" s="719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Y128" s="708"/>
    </row>
    <row r="129" spans="1:28" s="201" customFormat="1" ht="12" customHeight="1">
      <c r="A129" s="43"/>
      <c r="B129" s="605" t="s">
        <v>35</v>
      </c>
      <c r="C129" s="449">
        <v>0.158</v>
      </c>
      <c r="D129" s="450">
        <v>0.16500000000000001</v>
      </c>
      <c r="E129" s="450"/>
      <c r="F129" s="191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spans="1:28" s="201" customFormat="1" ht="12" customHeight="1">
      <c r="A130" s="43"/>
      <c r="B130" s="603" t="s">
        <v>190</v>
      </c>
      <c r="C130" s="608">
        <v>5281.7143333222311</v>
      </c>
      <c r="D130" s="616">
        <v>5000</v>
      </c>
      <c r="E130" s="451"/>
      <c r="F130" s="191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 ht="12" customHeight="1">
      <c r="B131" s="607" t="s">
        <v>154</v>
      </c>
      <c r="C131" s="617">
        <v>0.52</v>
      </c>
      <c r="D131" s="622">
        <v>0.54</v>
      </c>
      <c r="E131" s="451"/>
      <c r="F131" s="201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Z131" s="201"/>
      <c r="AA131" s="201"/>
      <c r="AB131" s="201"/>
    </row>
    <row r="132" spans="1:28" ht="13.2">
      <c r="A132" s="201"/>
      <c r="B132" s="607" t="s">
        <v>177</v>
      </c>
      <c r="C132" s="594">
        <v>234.16241227878106</v>
      </c>
      <c r="D132" s="623">
        <v>185</v>
      </c>
      <c r="E132" s="451"/>
      <c r="F132" s="201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Z132" s="201"/>
      <c r="AA132" s="201"/>
      <c r="AB132" s="201"/>
    </row>
    <row r="133" spans="1:28" ht="12" customHeight="1">
      <c r="A133" s="201"/>
      <c r="B133" s="603"/>
      <c r="C133" s="616"/>
      <c r="D133" s="616"/>
      <c r="E133" s="451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 spans="1:28" ht="12" customHeight="1">
      <c r="B134" s="624" t="s">
        <v>178</v>
      </c>
      <c r="C134" s="671" t="s">
        <v>2</v>
      </c>
      <c r="D134" s="720" t="s">
        <v>2</v>
      </c>
      <c r="E134" s="459"/>
      <c r="G134" s="46"/>
      <c r="H134" s="202" t="s">
        <v>14</v>
      </c>
      <c r="I134" s="46"/>
      <c r="J134" s="46"/>
      <c r="K134" s="47" t="s">
        <v>126</v>
      </c>
      <c r="L134" s="46"/>
      <c r="M134" s="46"/>
      <c r="N134" s="46"/>
      <c r="O134" s="46"/>
      <c r="P134" s="46"/>
      <c r="Q134" s="46"/>
    </row>
    <row r="135" spans="1:28" ht="12" customHeight="1">
      <c r="B135" s="605" t="s">
        <v>102</v>
      </c>
      <c r="C135" s="593">
        <v>1170.4087846900002</v>
      </c>
      <c r="D135" s="625">
        <v>1241</v>
      </c>
      <c r="E135" s="385">
        <v>-5.7211925866236903</v>
      </c>
      <c r="G135" s="46"/>
      <c r="H135" s="256">
        <f>ROUND(H136,2)-ROUND(C131,2)</f>
        <v>0</v>
      </c>
      <c r="I135" s="256">
        <f>ROUND(I136,2)-ROUND(D131,2)</f>
        <v>0</v>
      </c>
      <c r="J135" s="46"/>
      <c r="K135" s="169">
        <f>ROUND(C129,3)-ROUND((ROUND(C112,0)/ROUND(C130,-2)),3)</f>
        <v>0</v>
      </c>
      <c r="L135" s="169">
        <f>ROUND(D129,3)-ROUND((ROUND(D112,0)/ROUND(D130,-2)),3)</f>
        <v>1.0000000000000009E-3</v>
      </c>
      <c r="M135" s="46"/>
      <c r="N135" s="46"/>
      <c r="O135" s="46"/>
      <c r="P135" s="46"/>
      <c r="Q135" s="46"/>
    </row>
    <row r="136" spans="1:28" ht="12" customHeight="1">
      <c r="B136" s="603" t="s">
        <v>174</v>
      </c>
      <c r="C136" s="594">
        <v>841.52103235490029</v>
      </c>
      <c r="D136" s="626">
        <v>862</v>
      </c>
      <c r="E136" s="627">
        <v>-2.3201856148491879</v>
      </c>
      <c r="G136" s="46"/>
      <c r="H136" s="269">
        <f>ROUND((-1*(ROUND(C109,0))/ROUND(C102,0)),2)</f>
        <v>0.52</v>
      </c>
      <c r="I136" s="269">
        <f>ROUND((-1*(ROUND(D109,0))/ROUND(D102,0)),2)</f>
        <v>0.54</v>
      </c>
      <c r="J136" s="229" t="s">
        <v>127</v>
      </c>
      <c r="K136" s="169">
        <f>ROUND(C137,3)-ROUND((ROUND(C136,0)/ROUND(C130,-2)),3)</f>
        <v>0</v>
      </c>
      <c r="L136" s="169">
        <f>ROUND(D137,3)-ROUND((ROUND(D136,0)/ROUND(D130,-2)),3)</f>
        <v>1.0000000000000009E-3</v>
      </c>
      <c r="M136" s="46"/>
      <c r="N136" s="46"/>
      <c r="O136" s="46"/>
      <c r="P136" s="46"/>
      <c r="Q136" s="46"/>
    </row>
    <row r="137" spans="1:28" ht="15" customHeight="1">
      <c r="B137" s="607" t="s">
        <v>35</v>
      </c>
      <c r="C137" s="628">
        <v>0.159</v>
      </c>
      <c r="D137" s="629">
        <v>0.17299999999999999</v>
      </c>
      <c r="E137" s="451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</row>
    <row r="138" spans="1:28" ht="12" customHeight="1">
      <c r="B138" s="607" t="s">
        <v>154</v>
      </c>
      <c r="C138" s="617">
        <v>0.52</v>
      </c>
      <c r="D138" s="622">
        <v>0.53</v>
      </c>
      <c r="E138" s="451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</row>
    <row r="139" spans="1:28" ht="12" customHeight="1">
      <c r="C139" s="43"/>
      <c r="D139" s="43"/>
      <c r="E139" s="43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</row>
    <row r="140" spans="1:28" ht="12" customHeight="1">
      <c r="C140" s="43"/>
      <c r="D140" s="43"/>
      <c r="E140" s="43"/>
      <c r="F140" s="43"/>
      <c r="G140" s="46"/>
      <c r="H140" s="32">
        <f>IFERROR(ROUND(IF(C135&gt;0,100*(ROUND(C135,0)-ROUND(D135,0))/ROUND(D135,0),-100*(ROUND(C135,0)-ROUND(D135,0))/ROUND(D135,0)),0)-ROUND(E135,0),0)</f>
        <v>0</v>
      </c>
      <c r="I140" s="46"/>
      <c r="J140" s="46"/>
      <c r="K140" s="46"/>
      <c r="L140" s="46"/>
      <c r="M140" s="46"/>
      <c r="N140" s="46"/>
      <c r="O140" s="46"/>
      <c r="P140" s="33">
        <f>ROUND(C135,0)-ROUND('CYYTD performance measures excl'!D17,0)</f>
        <v>0</v>
      </c>
      <c r="Q140" s="33">
        <f>D135-ROUND('PYYTD performance measures'!D17,0)</f>
        <v>0</v>
      </c>
    </row>
    <row r="141" spans="1:28" ht="12" customHeight="1">
      <c r="C141" s="270"/>
      <c r="D141" s="43"/>
      <c r="E141" s="43"/>
      <c r="F141" s="43"/>
      <c r="G141" s="46"/>
      <c r="H141" s="32">
        <f>IFERROR(ROUND(IF(C136&gt;0,100*(ROUND(C136,0)-ROUND(D136,0))/ROUND(D136,0),-100*(ROUND(C136,0)-ROUND(D136,0))/ROUND(D136,0)),0)-ROUND(E136,0),0)</f>
        <v>0</v>
      </c>
      <c r="I141" s="46"/>
      <c r="J141" s="46"/>
      <c r="K141" s="46"/>
      <c r="L141" s="46"/>
      <c r="M141" s="46"/>
      <c r="N141" s="46"/>
      <c r="O141" s="46"/>
      <c r="P141" s="33">
        <f>ROUND(C136,0)-ROUND('CYYTD performance measures excl'!D22,0)</f>
        <v>0</v>
      </c>
      <c r="Q141" s="33">
        <f>D136-ROUND('PYYTD performance measures'!D22,0)</f>
        <v>0</v>
      </c>
    </row>
    <row r="142" spans="1:28" ht="12" customHeight="1">
      <c r="C142" s="271"/>
      <c r="D142" s="43"/>
      <c r="E142" s="43"/>
      <c r="F142" s="43"/>
      <c r="G142" s="46"/>
      <c r="H142" s="46"/>
      <c r="I142" s="46"/>
      <c r="J142" s="46"/>
      <c r="K142" s="46"/>
      <c r="L142" s="46"/>
      <c r="M142" s="46"/>
      <c r="N142" s="46"/>
      <c r="O142" s="46"/>
      <c r="P142" s="254">
        <f>C137-'CYYTD performance measures excl'!D29</f>
        <v>0</v>
      </c>
      <c r="Q142" s="254">
        <f>D137-'PYYTD performance measures'!D29</f>
        <v>0</v>
      </c>
    </row>
    <row r="143" spans="1:28" ht="12" customHeight="1">
      <c r="C143" s="43"/>
      <c r="D143" s="43"/>
      <c r="E143" s="43"/>
      <c r="F143" s="43"/>
      <c r="G143" s="46"/>
      <c r="H143" s="202" t="s">
        <v>92</v>
      </c>
      <c r="I143" s="46"/>
      <c r="J143" s="46"/>
      <c r="K143" s="46"/>
      <c r="L143" s="46"/>
      <c r="M143" s="46"/>
      <c r="N143" s="46"/>
      <c r="O143" s="46"/>
      <c r="P143" s="33">
        <f>ROUND(C138,0)-ROUND('CYYTD performance measures excl'!D12,0)</f>
        <v>0</v>
      </c>
      <c r="Q143" s="33">
        <f>ROUND(D138,0)-ROUND('PYYTD performance measures'!D12,0)</f>
        <v>0</v>
      </c>
    </row>
    <row r="144" spans="1:28" ht="12" customHeight="1">
      <c r="C144" s="43"/>
      <c r="D144" s="43"/>
      <c r="E144" s="43"/>
      <c r="F144" s="43"/>
      <c r="G144" s="46"/>
      <c r="H144" s="256">
        <f>ROUND(C138,2)-ROUND(H145,2)</f>
        <v>0</v>
      </c>
      <c r="I144" s="256">
        <f>ROUND(D138,2)-ROUND(I145,2)</f>
        <v>0</v>
      </c>
      <c r="J144" s="46"/>
      <c r="K144" s="46"/>
      <c r="L144" s="46"/>
      <c r="M144" s="46"/>
      <c r="N144" s="46"/>
      <c r="O144" s="46"/>
      <c r="P144" s="46"/>
      <c r="Q144" s="46"/>
    </row>
    <row r="145" spans="3:17" ht="12" customHeight="1">
      <c r="C145" s="43"/>
      <c r="D145" s="43"/>
      <c r="E145" s="43"/>
      <c r="F145" s="43"/>
      <c r="G145" s="46"/>
      <c r="H145" s="268">
        <f>-1*(ROUND(C109,0)-ROUND(C108,0))/ROUND(C102,0)</f>
        <v>0.51732673267326734</v>
      </c>
      <c r="I145" s="255">
        <f>-1*(ROUND(D109,0)-ROUND(D108,0))/ROUND(D102,0)</f>
        <v>0.52874911992490026</v>
      </c>
      <c r="J145" s="46"/>
      <c r="K145" s="46"/>
      <c r="L145" s="46"/>
      <c r="M145" s="46"/>
      <c r="N145" s="46"/>
      <c r="O145" s="46"/>
      <c r="P145" s="46"/>
      <c r="Q145" s="46"/>
    </row>
    <row r="146" spans="3:17" ht="12" customHeight="1">
      <c r="C146" s="43"/>
      <c r="D146" s="43"/>
      <c r="E146" s="43"/>
      <c r="F146" s="43"/>
    </row>
    <row r="147" spans="3:17" ht="12" customHeight="1">
      <c r="C147" s="43"/>
      <c r="D147" s="43"/>
      <c r="E147" s="43"/>
      <c r="F147" s="43"/>
    </row>
    <row r="148" spans="3:17" ht="12" customHeight="1">
      <c r="C148" s="43"/>
      <c r="D148" s="43"/>
      <c r="E148" s="43"/>
      <c r="F148" s="43"/>
    </row>
    <row r="149" spans="3:17" ht="12" customHeight="1">
      <c r="C149" s="43"/>
      <c r="D149" s="43"/>
      <c r="E149" s="43"/>
      <c r="F149" s="43"/>
    </row>
    <row r="150" spans="3:17" ht="12" customHeight="1">
      <c r="C150" s="43"/>
      <c r="D150" s="43"/>
      <c r="E150" s="43"/>
      <c r="F150" s="43"/>
    </row>
    <row r="151" spans="3:17" ht="12" customHeight="1">
      <c r="C151" s="43"/>
      <c r="D151" s="43"/>
      <c r="E151" s="43"/>
      <c r="F151" s="43"/>
    </row>
    <row r="152" spans="3:17" ht="12" customHeight="1">
      <c r="C152" s="43"/>
      <c r="D152" s="43"/>
      <c r="E152" s="43"/>
      <c r="F152" s="43"/>
    </row>
    <row r="153" spans="3:17" ht="12" customHeight="1">
      <c r="F153" s="43"/>
    </row>
    <row r="154" spans="3:17" ht="12" customHeight="1">
      <c r="F154" s="43"/>
    </row>
    <row r="155" spans="3:17" ht="12" customHeight="1">
      <c r="C155" s="43"/>
      <c r="D155" s="43"/>
      <c r="E155" s="43"/>
      <c r="F155" s="43"/>
    </row>
    <row r="156" spans="3:17" ht="12" customHeight="1">
      <c r="C156" s="43"/>
      <c r="D156" s="43"/>
      <c r="E156" s="43"/>
      <c r="F156" s="43"/>
    </row>
    <row r="157" spans="3:17" ht="12" customHeight="1">
      <c r="C157" s="43"/>
      <c r="D157" s="43"/>
      <c r="E157" s="43"/>
      <c r="F157" s="43"/>
    </row>
    <row r="158" spans="3:17" ht="12" customHeight="1">
      <c r="C158" s="43"/>
      <c r="D158" s="43"/>
      <c r="E158" s="43"/>
      <c r="F158" s="43"/>
    </row>
    <row r="159" spans="3:17" ht="12" customHeight="1">
      <c r="C159" s="43"/>
      <c r="D159" s="43"/>
      <c r="E159" s="43"/>
    </row>
    <row r="161" spans="3:6" ht="12" customHeight="1">
      <c r="C161" s="43"/>
      <c r="D161" s="43"/>
      <c r="E161" s="43"/>
      <c r="F161" s="43"/>
    </row>
    <row r="162" spans="3:6" ht="12" customHeight="1">
      <c r="C162" s="43"/>
      <c r="D162" s="43"/>
      <c r="E162" s="43"/>
      <c r="F162" s="43"/>
    </row>
    <row r="163" spans="3:6" ht="12" customHeight="1">
      <c r="C163" s="43"/>
      <c r="D163" s="43"/>
      <c r="E163" s="43"/>
      <c r="F163" s="43"/>
    </row>
    <row r="164" spans="3:6" ht="12" customHeight="1">
      <c r="C164" s="43"/>
      <c r="D164" s="43"/>
      <c r="E164" s="43"/>
      <c r="F164" s="43"/>
    </row>
    <row r="165" spans="3:6" ht="12" customHeight="1">
      <c r="C165" s="43"/>
      <c r="D165" s="43"/>
      <c r="E165" s="43"/>
      <c r="F165" s="43"/>
    </row>
    <row r="167" spans="3:6" ht="12" customHeight="1">
      <c r="F167" s="43"/>
    </row>
    <row r="168" spans="3:6" ht="12" customHeight="1">
      <c r="C168" s="43"/>
      <c r="D168" s="43"/>
      <c r="E168" s="43"/>
      <c r="F168" s="43"/>
    </row>
    <row r="169" spans="3:6" ht="12" customHeight="1">
      <c r="C169" s="43"/>
      <c r="D169" s="43"/>
      <c r="E169" s="43"/>
      <c r="F169" s="43"/>
    </row>
    <row r="170" spans="3:6" ht="12" customHeight="1">
      <c r="C170" s="43"/>
      <c r="D170" s="43"/>
      <c r="E170" s="43"/>
      <c r="F170" s="43"/>
    </row>
    <row r="171" spans="3:6" ht="12" customHeight="1">
      <c r="C171" s="43"/>
      <c r="D171" s="43"/>
      <c r="E171" s="43"/>
      <c r="F171" s="43"/>
    </row>
    <row r="172" spans="3:6" ht="12" customHeight="1">
      <c r="C172" s="43"/>
      <c r="D172" s="43"/>
      <c r="E172" s="43"/>
    </row>
    <row r="173" spans="3:6" ht="12" customHeight="1">
      <c r="C173" s="43"/>
      <c r="D173" s="43"/>
      <c r="E173" s="43"/>
    </row>
    <row r="174" spans="3:6" ht="12" customHeight="1">
      <c r="C174" s="43"/>
      <c r="D174" s="43"/>
      <c r="E174" s="43"/>
      <c r="F174" s="43"/>
    </row>
    <row r="175" spans="3:6" ht="12" customHeight="1">
      <c r="C175" s="43"/>
      <c r="D175" s="43"/>
      <c r="E175" s="43"/>
      <c r="F175" s="43"/>
    </row>
    <row r="176" spans="3:6" ht="12" customHeight="1">
      <c r="C176" s="43"/>
      <c r="D176" s="43"/>
      <c r="E176" s="43"/>
      <c r="F176" s="43"/>
    </row>
    <row r="177" spans="3:6" ht="12" customHeight="1">
      <c r="C177" s="43"/>
      <c r="D177" s="43"/>
      <c r="E177" s="43"/>
      <c r="F177" s="43"/>
    </row>
    <row r="178" spans="3:6" ht="12" customHeight="1">
      <c r="C178" s="43"/>
      <c r="D178" s="43"/>
      <c r="E178" s="43"/>
      <c r="F178" s="43"/>
    </row>
    <row r="179" spans="3:6" ht="12" customHeight="1">
      <c r="C179" s="43"/>
      <c r="D179" s="43"/>
      <c r="E179" s="43"/>
      <c r="F179" s="43"/>
    </row>
    <row r="180" spans="3:6" ht="12" customHeight="1">
      <c r="C180" s="43"/>
      <c r="D180" s="43"/>
      <c r="E180" s="43"/>
      <c r="F180" s="43"/>
    </row>
    <row r="181" spans="3:6" ht="12" customHeight="1">
      <c r="C181" s="43"/>
      <c r="D181" s="43"/>
      <c r="E181" s="43"/>
      <c r="F181" s="43"/>
    </row>
    <row r="182" spans="3:6" ht="12" customHeight="1">
      <c r="C182" s="43"/>
      <c r="D182" s="43"/>
      <c r="E182" s="43"/>
      <c r="F182" s="43"/>
    </row>
    <row r="183" spans="3:6" ht="12" customHeight="1">
      <c r="C183" s="43"/>
      <c r="D183" s="43"/>
      <c r="E183" s="43"/>
      <c r="F183" s="43"/>
    </row>
    <row r="184" spans="3:6" ht="12" customHeight="1">
      <c r="C184" s="43"/>
      <c r="D184" s="43"/>
      <c r="E184" s="43"/>
      <c r="F184" s="43"/>
    </row>
    <row r="185" spans="3:6" ht="12" customHeight="1">
      <c r="C185" s="43"/>
      <c r="D185" s="43"/>
      <c r="E185" s="43"/>
      <c r="F185" s="43"/>
    </row>
    <row r="186" spans="3:6" ht="12" customHeight="1">
      <c r="C186" s="43"/>
      <c r="D186" s="43"/>
      <c r="E186" s="43"/>
      <c r="F186" s="43"/>
    </row>
    <row r="187" spans="3:6" ht="12" customHeight="1">
      <c r="C187" s="43"/>
      <c r="D187" s="43"/>
      <c r="E187" s="43"/>
      <c r="F187" s="43"/>
    </row>
    <row r="188" spans="3:6" ht="12" customHeight="1">
      <c r="C188" s="43"/>
      <c r="D188" s="43"/>
      <c r="E188" s="43"/>
      <c r="F188" s="43"/>
    </row>
    <row r="189" spans="3:6" ht="12" customHeight="1">
      <c r="C189" s="43"/>
      <c r="D189" s="43"/>
      <c r="E189" s="43"/>
      <c r="F189" s="43"/>
    </row>
    <row r="190" spans="3:6" ht="12" customHeight="1">
      <c r="C190" s="43"/>
      <c r="D190" s="43"/>
      <c r="E190" s="43"/>
      <c r="F190" s="43"/>
    </row>
    <row r="191" spans="3:6" ht="12" customHeight="1">
      <c r="C191" s="43"/>
      <c r="D191" s="43"/>
      <c r="E191" s="43"/>
      <c r="F191" s="43"/>
    </row>
    <row r="192" spans="3:6" ht="12" customHeight="1">
      <c r="C192" s="43"/>
      <c r="D192" s="43"/>
      <c r="E192" s="43"/>
      <c r="F192" s="43"/>
    </row>
    <row r="193" spans="3:6" ht="12" customHeight="1">
      <c r="C193" s="43"/>
      <c r="D193" s="43"/>
      <c r="E193" s="43"/>
      <c r="F193" s="43"/>
    </row>
    <row r="194" spans="3:6" ht="12" customHeight="1">
      <c r="C194" s="43"/>
      <c r="D194" s="43"/>
      <c r="E194" s="43"/>
      <c r="F194" s="43"/>
    </row>
    <row r="195" spans="3:6" ht="12" customHeight="1">
      <c r="C195" s="43"/>
      <c r="D195" s="43"/>
      <c r="E195" s="43"/>
      <c r="F195" s="43"/>
    </row>
    <row r="196" spans="3:6" ht="12" customHeight="1">
      <c r="C196" s="43"/>
      <c r="D196" s="43"/>
      <c r="E196" s="43"/>
      <c r="F196" s="43"/>
    </row>
    <row r="197" spans="3:6" ht="12" customHeight="1">
      <c r="C197" s="43"/>
      <c r="D197" s="43"/>
      <c r="E197" s="43"/>
      <c r="F197" s="43"/>
    </row>
    <row r="198" spans="3:6" ht="12" customHeight="1">
      <c r="F198" s="43"/>
    </row>
    <row r="199" spans="3:6" ht="12" customHeight="1">
      <c r="C199" s="43"/>
      <c r="D199" s="43"/>
      <c r="E199" s="43"/>
      <c r="F199" s="43"/>
    </row>
    <row r="200" spans="3:6" ht="12" customHeight="1">
      <c r="C200" s="43"/>
      <c r="D200" s="43"/>
      <c r="E200" s="43"/>
      <c r="F200" s="43"/>
    </row>
    <row r="201" spans="3:6" ht="12" customHeight="1">
      <c r="C201" s="43"/>
      <c r="D201" s="43"/>
      <c r="E201" s="43"/>
      <c r="F201" s="43"/>
    </row>
    <row r="202" spans="3:6" ht="12" customHeight="1">
      <c r="C202" s="43"/>
      <c r="D202" s="43"/>
      <c r="E202" s="43"/>
      <c r="F202" s="43"/>
    </row>
    <row r="203" spans="3:6" ht="12" customHeight="1">
      <c r="C203" s="43"/>
      <c r="D203" s="43"/>
      <c r="E203" s="43"/>
      <c r="F203" s="43"/>
    </row>
    <row r="204" spans="3:6" ht="12" customHeight="1">
      <c r="C204" s="43"/>
      <c r="D204" s="43"/>
      <c r="E204" s="43"/>
    </row>
    <row r="205" spans="3:6" ht="12" customHeight="1">
      <c r="C205" s="43"/>
      <c r="D205" s="43"/>
      <c r="E205" s="43"/>
      <c r="F205" s="43"/>
    </row>
    <row r="206" spans="3:6" ht="12" customHeight="1">
      <c r="C206" s="43"/>
      <c r="D206" s="43"/>
      <c r="E206" s="43"/>
      <c r="F206" s="43"/>
    </row>
    <row r="207" spans="3:6" ht="12" customHeight="1">
      <c r="C207" s="43"/>
      <c r="D207" s="43"/>
      <c r="E207" s="43"/>
      <c r="F207" s="43"/>
    </row>
    <row r="208" spans="3:6" ht="12" customHeight="1">
      <c r="F208" s="43"/>
    </row>
    <row r="209" spans="3:6" ht="12" customHeight="1">
      <c r="F209" s="43"/>
    </row>
    <row r="210" spans="3:6" ht="12" customHeight="1">
      <c r="C210" s="43"/>
      <c r="D210" s="43"/>
      <c r="E210" s="43"/>
      <c r="F210" s="43"/>
    </row>
    <row r="211" spans="3:6" ht="12" customHeight="1">
      <c r="C211" s="43"/>
      <c r="D211" s="43"/>
      <c r="E211" s="43"/>
      <c r="F211" s="43"/>
    </row>
    <row r="212" spans="3:6" ht="12" customHeight="1">
      <c r="C212" s="43"/>
      <c r="D212" s="43"/>
      <c r="E212" s="43"/>
      <c r="F212" s="43"/>
    </row>
    <row r="213" spans="3:6" ht="12" customHeight="1">
      <c r="F213" s="43"/>
    </row>
    <row r="214" spans="3:6" ht="12" customHeight="1">
      <c r="C214" s="43"/>
      <c r="D214" s="43"/>
      <c r="E214" s="43"/>
    </row>
    <row r="216" spans="3:6" ht="12" customHeight="1">
      <c r="F216" s="43"/>
    </row>
    <row r="217" spans="3:6" ht="12" customHeight="1">
      <c r="F217" s="43"/>
    </row>
    <row r="218" spans="3:6" ht="12" customHeight="1">
      <c r="F218" s="43"/>
    </row>
    <row r="220" spans="3:6" ht="12" customHeight="1">
      <c r="F220" s="43"/>
    </row>
  </sheetData>
  <mergeCells count="3">
    <mergeCell ref="B2:B3"/>
    <mergeCell ref="B48:B49"/>
    <mergeCell ref="B97:B98"/>
  </mergeCells>
  <conditionalFormatting sqref="J10:K10 M8:N9 J8:K8 M31:O31 M29 H35:I35 M15:N15 H5:H18 H103:H116 M11:N13 H52:H73 S123:U124">
    <cfRule type="cellIs" dxfId="236" priority="99" operator="notEqual">
      <formula>0</formula>
    </cfRule>
  </conditionalFormatting>
  <conditionalFormatting sqref="J114:K114 J116:K116">
    <cfRule type="cellIs" dxfId="235" priority="98" operator="notEqual">
      <formula>0</formula>
    </cfRule>
  </conditionalFormatting>
  <conditionalFormatting sqref="J17:K17">
    <cfRule type="cellIs" dxfId="234" priority="97" operator="notEqual">
      <formula>0</formula>
    </cfRule>
  </conditionalFormatting>
  <conditionalFormatting sqref="J15:K15">
    <cfRule type="cellIs" dxfId="233" priority="96" operator="notEqual">
      <formula>0</formula>
    </cfRule>
  </conditionalFormatting>
  <conditionalFormatting sqref="J57:K57">
    <cfRule type="cellIs" dxfId="232" priority="94" operator="notEqual">
      <formula>0</formula>
    </cfRule>
  </conditionalFormatting>
  <conditionalFormatting sqref="J61:K61">
    <cfRule type="cellIs" dxfId="231" priority="93" operator="notEqual">
      <formula>0</formula>
    </cfRule>
  </conditionalFormatting>
  <conditionalFormatting sqref="J63:K63">
    <cfRule type="cellIs" dxfId="230" priority="92" operator="notEqual">
      <formula>0</formula>
    </cfRule>
  </conditionalFormatting>
  <conditionalFormatting sqref="J72:K72">
    <cfRule type="cellIs" dxfId="229" priority="91" operator="notEqual">
      <formula>0</formula>
    </cfRule>
  </conditionalFormatting>
  <conditionalFormatting sqref="M17:N17">
    <cfRule type="cellIs" dxfId="228" priority="90" operator="notEqual">
      <formula>0</formula>
    </cfRule>
  </conditionalFormatting>
  <conditionalFormatting sqref="M38:N38">
    <cfRule type="cellIs" dxfId="227" priority="89" operator="notEqual">
      <formula>0</formula>
    </cfRule>
  </conditionalFormatting>
  <conditionalFormatting sqref="H41:I41">
    <cfRule type="cellIs" dxfId="226" priority="88" operator="notEqual">
      <formula>0</formula>
    </cfRule>
  </conditionalFormatting>
  <conditionalFormatting sqref="J44:K44">
    <cfRule type="cellIs" dxfId="225" priority="87" operator="notEqual">
      <formula>0</formula>
    </cfRule>
  </conditionalFormatting>
  <conditionalFormatting sqref="J70:K70">
    <cfRule type="cellIs" dxfId="224" priority="86" operator="notEqual">
      <formula>0</formula>
    </cfRule>
  </conditionalFormatting>
  <conditionalFormatting sqref="J112:K112">
    <cfRule type="cellIs" dxfId="223" priority="85" operator="notEqual">
      <formula>0</formula>
    </cfRule>
  </conditionalFormatting>
  <conditionalFormatting sqref="M44:N45">
    <cfRule type="cellIs" dxfId="222" priority="82" operator="notEqual">
      <formula>0</formula>
    </cfRule>
  </conditionalFormatting>
  <conditionalFormatting sqref="H140:H141">
    <cfRule type="cellIs" dxfId="221" priority="84" operator="notEqual">
      <formula>0</formula>
    </cfRule>
  </conditionalFormatting>
  <conditionalFormatting sqref="H95:H96">
    <cfRule type="cellIs" dxfId="220" priority="83" operator="notEqual">
      <formula>0</formula>
    </cfRule>
  </conditionalFormatting>
  <conditionalFormatting sqref="J65:K65 J67:K67">
    <cfRule type="cellIs" dxfId="219" priority="81" operator="notEqual">
      <formula>0</formula>
    </cfRule>
  </conditionalFormatting>
  <conditionalFormatting sqref="J109:K109">
    <cfRule type="cellIs" dxfId="218" priority="80" operator="notEqual">
      <formula>0</formula>
    </cfRule>
  </conditionalFormatting>
  <conditionalFormatting sqref="Q114 Q116">
    <cfRule type="cellIs" dxfId="217" priority="66" operator="notEqual">
      <formula>0</formula>
    </cfRule>
  </conditionalFormatting>
  <conditionalFormatting sqref="P17">
    <cfRule type="cellIs" dxfId="216" priority="79" operator="notEqual">
      <formula>0</formula>
    </cfRule>
  </conditionalFormatting>
  <conditionalFormatting sqref="Q17">
    <cfRule type="cellIs" dxfId="215" priority="78" operator="notEqual">
      <formula>0</formula>
    </cfRule>
  </conditionalFormatting>
  <conditionalFormatting sqref="P18">
    <cfRule type="cellIs" dxfId="214" priority="77" operator="notEqual">
      <formula>0</formula>
    </cfRule>
  </conditionalFormatting>
  <conditionalFormatting sqref="Q18">
    <cfRule type="cellIs" dxfId="213" priority="76" operator="notEqual">
      <formula>0</formula>
    </cfRule>
  </conditionalFormatting>
  <conditionalFormatting sqref="P43">
    <cfRule type="cellIs" dxfId="212" priority="75" operator="notEqual">
      <formula>0</formula>
    </cfRule>
  </conditionalFormatting>
  <conditionalFormatting sqref="Q43">
    <cfRule type="cellIs" dxfId="211" priority="74" operator="notEqual">
      <formula>0</formula>
    </cfRule>
  </conditionalFormatting>
  <conditionalFormatting sqref="P44">
    <cfRule type="cellIs" dxfId="210" priority="73" operator="notEqual">
      <formula>0</formula>
    </cfRule>
  </conditionalFormatting>
  <conditionalFormatting sqref="Q44">
    <cfRule type="cellIs" dxfId="209" priority="72" operator="notEqual">
      <formula>0</formula>
    </cfRule>
  </conditionalFormatting>
  <conditionalFormatting sqref="P72:P73">
    <cfRule type="cellIs" dxfId="208" priority="71" operator="notEqual">
      <formula>0</formula>
    </cfRule>
  </conditionalFormatting>
  <conditionalFormatting sqref="Q72:Q73">
    <cfRule type="cellIs" dxfId="207" priority="70" operator="notEqual">
      <formula>0</formula>
    </cfRule>
  </conditionalFormatting>
  <conditionalFormatting sqref="P95:P96">
    <cfRule type="cellIs" dxfId="206" priority="69" operator="notEqual">
      <formula>0</formula>
    </cfRule>
  </conditionalFormatting>
  <conditionalFormatting sqref="Q95:Q96">
    <cfRule type="cellIs" dxfId="205" priority="68" operator="notEqual">
      <formula>0</formula>
    </cfRule>
  </conditionalFormatting>
  <conditionalFormatting sqref="P114 P116">
    <cfRule type="cellIs" dxfId="204" priority="67" operator="notEqual">
      <formula>0</formula>
    </cfRule>
  </conditionalFormatting>
  <conditionalFormatting sqref="P140:P141">
    <cfRule type="cellIs" dxfId="203" priority="65" operator="notEqual">
      <formula>0</formula>
    </cfRule>
  </conditionalFormatting>
  <conditionalFormatting sqref="Q140:Q141">
    <cfRule type="cellIs" dxfId="202" priority="64" operator="notEqual">
      <formula>0</formula>
    </cfRule>
  </conditionalFormatting>
  <conditionalFormatting sqref="P8">
    <cfRule type="cellIs" dxfId="201" priority="63" operator="notEqual">
      <formula>0</formula>
    </cfRule>
  </conditionalFormatting>
  <conditionalFormatting sqref="Q8">
    <cfRule type="cellIs" dxfId="200" priority="62" operator="notEqual">
      <formula>0</formula>
    </cfRule>
  </conditionalFormatting>
  <conditionalFormatting sqref="P11:Q13">
    <cfRule type="cellIs" dxfId="199" priority="61" operator="notEqual">
      <formula>0</formula>
    </cfRule>
  </conditionalFormatting>
  <conditionalFormatting sqref="P15">
    <cfRule type="cellIs" dxfId="198" priority="60" operator="notEqual">
      <formula>0</formula>
    </cfRule>
  </conditionalFormatting>
  <conditionalFormatting sqref="Q15">
    <cfRule type="cellIs" dxfId="197" priority="59" operator="notEqual">
      <formula>0</formula>
    </cfRule>
  </conditionalFormatting>
  <conditionalFormatting sqref="P37">
    <cfRule type="cellIs" dxfId="196" priority="58" operator="notEqual">
      <formula>0</formula>
    </cfRule>
  </conditionalFormatting>
  <conditionalFormatting sqref="Q37">
    <cfRule type="cellIs" dxfId="195" priority="57" operator="notEqual">
      <formula>0</formula>
    </cfRule>
  </conditionalFormatting>
  <conditionalFormatting sqref="M21">
    <cfRule type="cellIs" dxfId="194" priority="56" operator="notEqual">
      <formula>0</formula>
    </cfRule>
  </conditionalFormatting>
  <conditionalFormatting sqref="M16:N16">
    <cfRule type="cellIs" dxfId="193" priority="55" operator="notEqual">
      <formula>0</formula>
    </cfRule>
  </conditionalFormatting>
  <conditionalFormatting sqref="M10:N10">
    <cfRule type="cellIs" dxfId="192" priority="54" operator="notEqual">
      <formula>0</formula>
    </cfRule>
  </conditionalFormatting>
  <conditionalFormatting sqref="H43:H44">
    <cfRule type="cellIs" dxfId="191" priority="53" operator="notEqual">
      <formula>0</formula>
    </cfRule>
  </conditionalFormatting>
  <conditionalFormatting sqref="J83:L83">
    <cfRule type="cellIs" dxfId="190" priority="52" operator="notEqual">
      <formula>0</formula>
    </cfRule>
  </conditionalFormatting>
  <conditionalFormatting sqref="N21">
    <cfRule type="cellIs" dxfId="189" priority="51" operator="notEqual">
      <formula>0</formula>
    </cfRule>
  </conditionalFormatting>
  <conditionalFormatting sqref="H27:J27">
    <cfRule type="cellIs" dxfId="188" priority="48" operator="notEqual">
      <formula>0</formula>
    </cfRule>
  </conditionalFormatting>
  <conditionalFormatting sqref="P46">
    <cfRule type="cellIs" dxfId="187" priority="47" operator="notEqual">
      <formula>0</formula>
    </cfRule>
  </conditionalFormatting>
  <conditionalFormatting sqref="Q46">
    <cfRule type="cellIs" dxfId="186" priority="46" operator="notEqual">
      <formula>0</formula>
    </cfRule>
  </conditionalFormatting>
  <conditionalFormatting sqref="P98">
    <cfRule type="cellIs" dxfId="185" priority="45" operator="notEqual">
      <formula>0</formula>
    </cfRule>
  </conditionalFormatting>
  <conditionalFormatting sqref="Q98">
    <cfRule type="cellIs" dxfId="184" priority="44" operator="notEqual">
      <formula>0</formula>
    </cfRule>
  </conditionalFormatting>
  <conditionalFormatting sqref="P143">
    <cfRule type="cellIs" dxfId="183" priority="43" operator="notEqual">
      <formula>0</formula>
    </cfRule>
  </conditionalFormatting>
  <conditionalFormatting sqref="Q143">
    <cfRule type="cellIs" dxfId="182" priority="42" operator="notEqual">
      <formula>0</formula>
    </cfRule>
  </conditionalFormatting>
  <conditionalFormatting sqref="M27:O27">
    <cfRule type="cellIs" dxfId="181" priority="41" operator="notEqual">
      <formula>0</formula>
    </cfRule>
  </conditionalFormatting>
  <conditionalFormatting sqref="M24:O24">
    <cfRule type="cellIs" dxfId="180" priority="40" operator="notEqual">
      <formula>0</formula>
    </cfRule>
  </conditionalFormatting>
  <conditionalFormatting sqref="O21">
    <cfRule type="cellIs" dxfId="179" priority="39" operator="notEqual">
      <formula>0</formula>
    </cfRule>
  </conditionalFormatting>
  <conditionalFormatting sqref="H92:I92">
    <cfRule type="cellIs" dxfId="178" priority="37" operator="notEqual">
      <formula>0</formula>
    </cfRule>
  </conditionalFormatting>
  <conditionalFormatting sqref="H99:I99">
    <cfRule type="cellIs" dxfId="177" priority="36" operator="notEqual">
      <formula>0</formula>
    </cfRule>
  </conditionalFormatting>
  <conditionalFormatting sqref="H144:I144">
    <cfRule type="cellIs" dxfId="176" priority="34" operator="notEqual">
      <formula>0</formula>
    </cfRule>
  </conditionalFormatting>
  <conditionalFormatting sqref="H135:I135">
    <cfRule type="cellIs" dxfId="175" priority="33" operator="notEqual">
      <formula>0</formula>
    </cfRule>
  </conditionalFormatting>
  <conditionalFormatting sqref="S31:S33 T31:U31 S22:U30">
    <cfRule type="cellIs" dxfId="174" priority="32" operator="notEqual">
      <formula>0</formula>
    </cfRule>
  </conditionalFormatting>
  <conditionalFormatting sqref="T32:T33">
    <cfRule type="cellIs" dxfId="173" priority="31" operator="notEqual">
      <formula>0</formula>
    </cfRule>
  </conditionalFormatting>
  <conditionalFormatting sqref="U32:U33">
    <cfRule type="cellIs" dxfId="172" priority="30" operator="notEqual">
      <formula>0</formula>
    </cfRule>
  </conditionalFormatting>
  <conditionalFormatting sqref="S78:S87">
    <cfRule type="cellIs" dxfId="171" priority="29" operator="notEqual">
      <formula>0</formula>
    </cfRule>
  </conditionalFormatting>
  <conditionalFormatting sqref="T78:T87">
    <cfRule type="cellIs" dxfId="170" priority="28" operator="notEqual">
      <formula>0</formula>
    </cfRule>
  </conditionalFormatting>
  <conditionalFormatting sqref="U78:U87">
    <cfRule type="cellIs" dxfId="169" priority="27" operator="notEqual">
      <formula>0</formula>
    </cfRule>
  </conditionalFormatting>
  <conditionalFormatting sqref="S120:S122">
    <cfRule type="cellIs" dxfId="168" priority="20" operator="notEqual">
      <formula>0</formula>
    </cfRule>
  </conditionalFormatting>
  <conditionalFormatting sqref="T120:T122">
    <cfRule type="cellIs" dxfId="167" priority="19" operator="notEqual">
      <formula>0</formula>
    </cfRule>
  </conditionalFormatting>
  <conditionalFormatting sqref="U120:U122">
    <cfRule type="cellIs" dxfId="166" priority="18" operator="notEqual">
      <formula>0</formula>
    </cfRule>
  </conditionalFormatting>
  <conditionalFormatting sqref="H47:I48">
    <cfRule type="cellIs" dxfId="165" priority="17" operator="notEqual">
      <formula>0</formula>
    </cfRule>
  </conditionalFormatting>
  <conditionalFormatting sqref="J30:K30">
    <cfRule type="cellIs" dxfId="164" priority="16" operator="notEqual">
      <formula>0</formula>
    </cfRule>
  </conditionalFormatting>
  <conditionalFormatting sqref="N29:O29">
    <cfRule type="cellIs" dxfId="163" priority="15" operator="notEqual">
      <formula>0</formula>
    </cfRule>
  </conditionalFormatting>
  <conditionalFormatting sqref="M14">
    <cfRule type="cellIs" dxfId="162" priority="14" operator="notEqual">
      <formula>0</formula>
    </cfRule>
  </conditionalFormatting>
  <conditionalFormatting sqref="N14">
    <cfRule type="cellIs" dxfId="161" priority="13" operator="notEqual">
      <formula>0</formula>
    </cfRule>
  </conditionalFormatting>
  <conditionalFormatting sqref="K92:L93">
    <cfRule type="cellIs" dxfId="160" priority="12" operator="notEqual">
      <formula>0</formula>
    </cfRule>
  </conditionalFormatting>
  <conditionalFormatting sqref="K135:L136">
    <cfRule type="cellIs" dxfId="159" priority="11" operator="notEqual">
      <formula>0</formula>
    </cfRule>
  </conditionalFormatting>
  <conditionalFormatting sqref="M18:N18">
    <cfRule type="cellIs" dxfId="158" priority="10" operator="notEqual">
      <formula>0</formula>
    </cfRule>
  </conditionalFormatting>
  <conditionalFormatting sqref="K95">
    <cfRule type="cellIs" dxfId="157" priority="9" operator="notEqual">
      <formula>0</formula>
    </cfRule>
  </conditionalFormatting>
  <conditionalFormatting sqref="L95">
    <cfRule type="cellIs" dxfId="156" priority="8" operator="notEqual">
      <formula>0</formula>
    </cfRule>
  </conditionalFormatting>
  <conditionalFormatting sqref="M28">
    <cfRule type="cellIs" dxfId="155" priority="6" operator="notEqual">
      <formula>0</formula>
    </cfRule>
  </conditionalFormatting>
  <conditionalFormatting sqref="N28:O28">
    <cfRule type="cellIs" dxfId="154" priority="5" operator="notEqual">
      <formula>0</formula>
    </cfRule>
  </conditionalFormatting>
  <conditionalFormatting sqref="J53:K53">
    <cfRule type="cellIs" dxfId="153" priority="4" operator="notEqual">
      <formula>0</formula>
    </cfRule>
  </conditionalFormatting>
  <conditionalFormatting sqref="J103:K103">
    <cfRule type="cellIs" dxfId="152" priority="3" operator="notEqual">
      <formula>0</formula>
    </cfRule>
  </conditionalFormatting>
  <conditionalFormatting sqref="J13:K13">
    <cfRule type="cellIs" dxfId="151" priority="2" operator="notEqual">
      <formula>0</formula>
    </cfRule>
  </conditionalFormatting>
  <conditionalFormatting sqref="J107:K107">
    <cfRule type="cellIs" dxfId="150" priority="1" operator="notEqual">
      <formula>0</formula>
    </cfRule>
  </conditionalFormatting>
  <pageMargins left="0.75" right="0.75" top="1" bottom="1" header="0.5" footer="0.5"/>
  <pageSetup paperSize="9"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  <pageSetUpPr fitToPage="1"/>
  </sheetPr>
  <dimension ref="A1:M166"/>
  <sheetViews>
    <sheetView showGridLines="0" workbookViewId="0">
      <selection activeCell="E8" sqref="E8"/>
    </sheetView>
  </sheetViews>
  <sheetFormatPr defaultColWidth="9" defaultRowHeight="12" customHeight="1"/>
  <cols>
    <col min="1" max="1" width="5" style="43" customWidth="1"/>
    <col min="2" max="2" width="49" style="43" bestFit="1" customWidth="1"/>
    <col min="3" max="3" width="15" style="198" customWidth="1"/>
    <col min="4" max="4" width="14.77734375" style="74" customWidth="1"/>
    <col min="5" max="5" width="12" style="74" customWidth="1"/>
    <col min="6" max="6" width="8" style="191" customWidth="1"/>
    <col min="7" max="7" width="2" style="43" customWidth="1"/>
    <col min="8" max="8" width="9.77734375" style="43" customWidth="1"/>
    <col min="9" max="9" width="8" style="43" customWidth="1"/>
    <col min="10" max="13" width="11" style="43" customWidth="1"/>
    <col min="14" max="70" width="8" style="43" customWidth="1"/>
    <col min="71" max="16384" width="9" style="43"/>
  </cols>
  <sheetData>
    <row r="1" spans="2:13" ht="12.75" customHeight="1">
      <c r="D1" s="206"/>
      <c r="E1" s="206"/>
      <c r="F1" s="19"/>
      <c r="G1" s="46"/>
      <c r="H1" s="46"/>
      <c r="I1" s="46"/>
      <c r="J1" s="46"/>
      <c r="K1" s="46"/>
      <c r="L1" s="46"/>
      <c r="M1" s="46"/>
    </row>
    <row r="2" spans="2:13" ht="13.5" customHeight="1">
      <c r="B2" s="1622" t="s">
        <v>77</v>
      </c>
      <c r="C2" s="388" t="s">
        <v>158</v>
      </c>
      <c r="D2" s="388" t="s">
        <v>158</v>
      </c>
      <c r="E2" s="211"/>
      <c r="F2" s="19"/>
      <c r="G2" s="46"/>
      <c r="H2" s="46"/>
      <c r="I2" s="46"/>
      <c r="J2" s="46"/>
      <c r="K2" s="46"/>
      <c r="L2" s="46"/>
      <c r="M2" s="46"/>
    </row>
    <row r="3" spans="2:13" ht="12" customHeight="1">
      <c r="B3" s="1622" t="s">
        <v>24</v>
      </c>
      <c r="C3" s="388" t="s">
        <v>156</v>
      </c>
      <c r="D3" s="388" t="s">
        <v>157</v>
      </c>
      <c r="E3" s="388"/>
      <c r="F3" s="19"/>
      <c r="G3" s="46"/>
      <c r="H3" s="46"/>
      <c r="I3" s="46"/>
      <c r="J3" s="46"/>
      <c r="K3" s="46"/>
      <c r="L3" s="46"/>
      <c r="M3" s="46"/>
    </row>
    <row r="4" spans="2:13" ht="12" customHeight="1">
      <c r="B4" s="389" t="s">
        <v>164</v>
      </c>
      <c r="C4" s="715" t="s">
        <v>2</v>
      </c>
      <c r="D4" s="715" t="s">
        <v>2</v>
      </c>
      <c r="E4" s="390" t="s">
        <v>3</v>
      </c>
      <c r="F4" s="19"/>
      <c r="G4" s="46"/>
      <c r="H4" s="47" t="s">
        <v>22</v>
      </c>
      <c r="I4" s="46"/>
      <c r="J4" s="47" t="s">
        <v>15</v>
      </c>
      <c r="K4" s="46"/>
      <c r="L4" s="47" t="s">
        <v>43</v>
      </c>
      <c r="M4" s="46"/>
    </row>
    <row r="5" spans="2:13" ht="12" customHeight="1">
      <c r="B5" s="410" t="s">
        <v>179</v>
      </c>
      <c r="C5" s="487">
        <v>-422.00000000000415</v>
      </c>
      <c r="D5" s="488">
        <v>-781</v>
      </c>
      <c r="E5" s="555">
        <v>45.966709346991038</v>
      </c>
      <c r="F5" s="19"/>
      <c r="G5" s="46"/>
      <c r="H5" s="32">
        <f>IFERROR(ROUND(IF(C5&gt;0,100*(ROUND(C5,0)-ROUND(D5,0))/ROUND(D5,0),-100*(ROUND(C5,0)-ROUND(D5,0))/ROUND(D5,0)),0)-ROUND(E5,0),0)</f>
        <v>0</v>
      </c>
      <c r="I5" s="46"/>
      <c r="J5" s="47" t="e">
        <f>CQtr&amp;" YTD"</f>
        <v>#REF!</v>
      </c>
      <c r="K5" s="47" t="e">
        <f>PPPPQtr&amp;" YTD"</f>
        <v>#REF!</v>
      </c>
      <c r="L5" s="47" t="e">
        <f>CQtr&amp;" YTD"</f>
        <v>#REF!</v>
      </c>
      <c r="M5" s="47" t="e">
        <f>PPPPQtr&amp;" YTD"</f>
        <v>#REF!</v>
      </c>
    </row>
    <row r="6" spans="2:13" ht="12" customHeight="1">
      <c r="B6" s="411" t="s">
        <v>180</v>
      </c>
      <c r="C6" s="393">
        <v>26.000000000000313</v>
      </c>
      <c r="D6" s="546">
        <v>508</v>
      </c>
      <c r="E6" s="566">
        <v>-94.881889763779526</v>
      </c>
      <c r="F6" s="19"/>
      <c r="G6" s="46"/>
      <c r="H6" s="32">
        <f>IFERROR(ROUND(IF(C6&gt;0,100*(ROUND(C6,0)-ROUND(D6,0))/ROUND(D6,0),-100*(ROUND(C6,0)-ROUND(D6,0))/ROUND(D6,0)),0)-ROUND(E6,0),0)</f>
        <v>0</v>
      </c>
      <c r="I6" s="46"/>
      <c r="J6" s="47"/>
      <c r="K6" s="46"/>
      <c r="L6" s="46"/>
      <c r="M6" s="46"/>
    </row>
    <row r="7" spans="2:13" ht="12" customHeight="1">
      <c r="B7" s="395" t="s">
        <v>101</v>
      </c>
      <c r="C7" s="396">
        <v>-396.00000000000801</v>
      </c>
      <c r="D7" s="397">
        <v>-273</v>
      </c>
      <c r="E7" s="741">
        <v>-45.054945054945058</v>
      </c>
      <c r="F7" s="19"/>
      <c r="G7" s="46"/>
      <c r="H7" s="32">
        <f>IFERROR(ROUND(IF(C7&gt;0,100*(ROUND(C7,0)-ROUND(D7,0))/ROUND(D7,0),-100*(ROUND(C7,0)-ROUND(D7,0))/ROUND(D7,0)),0)-ROUND(E7,0),0)</f>
        <v>0</v>
      </c>
      <c r="I7" s="46"/>
      <c r="J7" s="32">
        <f>ROUND(C5,0)+ROUND(C6,0)-ROUND(C7,0)</f>
        <v>0</v>
      </c>
      <c r="K7" s="33">
        <f>ROUND(D5,0)+ROUND(D6,0)-ROUND(D7,0)</f>
        <v>0</v>
      </c>
      <c r="L7" s="32">
        <f>C7-'CYYTD performance measures excl'!F10</f>
        <v>0</v>
      </c>
      <c r="M7" s="32">
        <f>D7-'PYYTD performance measures'!F10</f>
        <v>0</v>
      </c>
    </row>
    <row r="8" spans="2:13" ht="12" customHeight="1">
      <c r="B8" s="392" t="s">
        <v>215</v>
      </c>
      <c r="C8" s="750">
        <v>-26.999999999999829</v>
      </c>
      <c r="D8" s="546">
        <v>16</v>
      </c>
      <c r="E8" s="566" t="s">
        <v>1</v>
      </c>
      <c r="F8" s="19"/>
      <c r="G8" s="46"/>
      <c r="H8" s="32">
        <f t="shared" ref="H8" si="0">IFERROR(ROUND(IF(C8&gt;0,100*(ROUND(C8,0)-ROUND(D8,0))/ROUND(D8,0),-100*(ROUND(C8,0)-ROUND(D8,0))/ROUND(D8,0)),0)-ROUND(E8,0),0)</f>
        <v>0</v>
      </c>
      <c r="I8" s="46"/>
      <c r="J8" s="46"/>
      <c r="K8" s="46"/>
      <c r="L8" s="46"/>
      <c r="M8" s="46"/>
    </row>
    <row r="9" spans="2:13" s="17" customFormat="1" ht="12" customHeight="1">
      <c r="B9" s="395" t="s">
        <v>172</v>
      </c>
      <c r="C9" s="751">
        <v>-423.00000000000779</v>
      </c>
      <c r="D9" s="397">
        <v>-257</v>
      </c>
      <c r="E9" s="759">
        <v>-64.591439688715951</v>
      </c>
      <c r="F9" s="19"/>
      <c r="G9" s="46"/>
      <c r="H9" s="32">
        <f>IFERROR(ROUND(IF(C9&gt;0,100*(ROUND(C9,0)-ROUND(D9,0))/ROUND(D9,0),-100*(ROUND(C9,0)-ROUND(D9,0))/ROUND(D9,0)),0)-ROUND(E9,0),0)</f>
        <v>0</v>
      </c>
      <c r="I9" s="46"/>
      <c r="J9" s="32">
        <f>ROUND(C7,0)+ROUND(C8,0)-ROUND(C9,0)</f>
        <v>0</v>
      </c>
      <c r="K9" s="32">
        <f>ROUND(D7,0)+ROUND(D8,0)-ROUND(D9,0)</f>
        <v>0</v>
      </c>
      <c r="L9" s="46"/>
      <c r="M9" s="46"/>
    </row>
    <row r="10" spans="2:13" ht="10.199999999999999">
      <c r="B10" s="399" t="s">
        <v>96</v>
      </c>
      <c r="C10" s="752">
        <v>-200</v>
      </c>
      <c r="D10" s="489">
        <v>-228</v>
      </c>
      <c r="E10" s="557">
        <v>12.280701754385966</v>
      </c>
      <c r="F10" s="19"/>
      <c r="G10" s="46"/>
      <c r="H10" s="32">
        <f>IFERROR(ROUND(IF(C10&gt;0,100*(ROUND(C10,0)-ROUND(D10,0))/ROUND(D10,0),-100*(ROUND(C10,0)-ROUND(D10,0))/ROUND(D10,0)),0)-ROUND(E10,0),0)</f>
        <v>0</v>
      </c>
      <c r="I10" s="46"/>
      <c r="J10" s="46"/>
      <c r="K10" s="46"/>
      <c r="L10" s="32">
        <f>ROUND(C15,0)-ROUND(C14,0)-ROUND('CYYTD performance measures excl'!F8,0)</f>
        <v>0</v>
      </c>
      <c r="M10" s="32">
        <f>D10+D11+D13-'PYYTD performance measures'!F8</f>
        <v>0</v>
      </c>
    </row>
    <row r="11" spans="2:13" ht="10.199999999999999">
      <c r="B11" s="392" t="s">
        <v>155</v>
      </c>
      <c r="C11" s="393">
        <v>-11</v>
      </c>
      <c r="D11" s="546">
        <v>-13</v>
      </c>
      <c r="E11" s="566">
        <v>15.384615384615385</v>
      </c>
      <c r="F11" s="19"/>
      <c r="G11" s="46"/>
      <c r="H11" s="32">
        <f t="shared" ref="H11:H13" si="1">IFERROR(ROUND(IF(C11&gt;0,100*(ROUND(C11,0)-ROUND(D11,0))/ROUND(D11,0),-100*(ROUND(C11,0)-ROUND(D11,0))/ROUND(D11,0)),0)-ROUND(E11,0),0)</f>
        <v>0</v>
      </c>
      <c r="I11" s="46"/>
      <c r="J11" s="46"/>
      <c r="K11" s="46"/>
      <c r="L11" s="46"/>
      <c r="M11" s="46"/>
    </row>
    <row r="12" spans="2:13" ht="11.4">
      <c r="B12" s="395" t="s">
        <v>0</v>
      </c>
      <c r="C12" s="751">
        <v>-211</v>
      </c>
      <c r="D12" s="397">
        <v>-241</v>
      </c>
      <c r="E12" s="741">
        <v>12.448132780082988</v>
      </c>
      <c r="F12" s="19"/>
      <c r="G12" s="46"/>
      <c r="H12" s="32">
        <f t="shared" si="1"/>
        <v>0</v>
      </c>
      <c r="I12" s="46"/>
      <c r="J12" s="32">
        <f>ROUND(C10,0)+ROUND(C11,0)-ROUND(C12,0)</f>
        <v>0</v>
      </c>
      <c r="K12" s="32">
        <f>ROUND(D10,0)+ROUND(D11,0)-ROUND(D12,0)</f>
        <v>0</v>
      </c>
      <c r="L12" s="46"/>
      <c r="M12" s="46"/>
    </row>
    <row r="13" spans="2:13" ht="10.199999999999999">
      <c r="B13" s="399" t="s">
        <v>46</v>
      </c>
      <c r="C13" s="400">
        <v>0</v>
      </c>
      <c r="D13" s="489">
        <v>-140</v>
      </c>
      <c r="E13" s="557" t="s">
        <v>1</v>
      </c>
      <c r="F13" s="19"/>
      <c r="G13" s="46"/>
      <c r="H13" s="32">
        <f t="shared" si="1"/>
        <v>0</v>
      </c>
      <c r="I13" s="46"/>
      <c r="J13" s="46"/>
      <c r="K13" s="46"/>
      <c r="L13" s="46"/>
      <c r="M13" s="46"/>
    </row>
    <row r="14" spans="2:13" ht="12" customHeight="1">
      <c r="B14" s="392" t="s">
        <v>4</v>
      </c>
      <c r="C14" s="393">
        <v>-151.3943382021906</v>
      </c>
      <c r="D14" s="546">
        <v>-1597</v>
      </c>
      <c r="E14" s="566">
        <v>90.544771446462121</v>
      </c>
      <c r="F14" s="19"/>
      <c r="G14" s="46"/>
      <c r="H14" s="32">
        <f t="shared" ref="H14" si="2">IFERROR(ROUND(IF(C14&gt;0,100*(ROUND(C14,0)-ROUND(D14,0))/ROUND(D14,0),-100*(ROUND(C14,0)-ROUND(D14,0))/ROUND(D14,0)),0)-ROUND(E14,0),0)</f>
        <v>0</v>
      </c>
      <c r="I14" s="46"/>
      <c r="J14" s="46"/>
      <c r="K14" s="46"/>
      <c r="L14" s="46"/>
      <c r="M14" s="46"/>
    </row>
    <row r="15" spans="2:13" ht="12" customHeight="1">
      <c r="B15" s="395" t="s">
        <v>5</v>
      </c>
      <c r="C15" s="751">
        <v>-361.99999999999989</v>
      </c>
      <c r="D15" s="397">
        <v>-1978</v>
      </c>
      <c r="E15" s="741">
        <v>81.69868554095045</v>
      </c>
      <c r="F15" s="19"/>
      <c r="G15" s="46"/>
      <c r="H15" s="32">
        <f>IFERROR(ROUND(IF(C15&gt;0,100*(ROUND(C15,0)-ROUND(D15,0))/ROUND(D15,0),-100*(ROUND(C15,0)-ROUND(D15,0))/ROUND(D15,0)),0)-ROUND(E15,0),0)</f>
        <v>0</v>
      </c>
      <c r="I15" s="46"/>
      <c r="J15" s="32">
        <f>ROUND(C10,0)+ROUND(C14,0)+ROUND(C11,0)+ROUND(C13,0)-ROUND(C15,0)</f>
        <v>0</v>
      </c>
      <c r="K15" s="32">
        <f>ROUND(D10,0)+ROUND(D14,0)+ROUND(D11,0)+ROUND(D13,0)-ROUND(D15,0)</f>
        <v>0</v>
      </c>
      <c r="L15" s="32">
        <f>C15-'CYYTD performance measures excl'!F6</f>
        <v>0</v>
      </c>
      <c r="M15" s="32">
        <f>D15-'PYYTD performance measures'!F6</f>
        <v>0</v>
      </c>
    </row>
    <row r="16" spans="2:13" ht="12" customHeight="1">
      <c r="B16" s="595" t="s">
        <v>9</v>
      </c>
      <c r="C16" s="393">
        <v>2.0000000000056803</v>
      </c>
      <c r="D16" s="546">
        <v>-2</v>
      </c>
      <c r="E16" s="546" t="s">
        <v>1</v>
      </c>
      <c r="F16" s="19"/>
      <c r="G16" s="46"/>
      <c r="H16" s="32">
        <f>IFERROR(ROUND(IF(C16&gt;0,100*(ROUND(C16,0)-ROUND(D16,0))/ROUND(D16,0),-100*(ROUND(C16,0)-ROUND(D16,0))/ROUND(D16,0)),0)-ROUND(E16,0),0)</f>
        <v>0</v>
      </c>
      <c r="I16" s="46"/>
      <c r="J16" s="46"/>
      <c r="K16" s="46"/>
      <c r="L16" s="46"/>
      <c r="M16" s="46"/>
    </row>
    <row r="17" spans="1:13" ht="12" customHeight="1">
      <c r="B17" s="395" t="s">
        <v>219</v>
      </c>
      <c r="C17" s="396">
        <v>-783.00000000000227</v>
      </c>
      <c r="D17" s="397">
        <v>-2237</v>
      </c>
      <c r="E17" s="397">
        <v>64.997764863656684</v>
      </c>
      <c r="F17" s="19"/>
      <c r="G17" s="46"/>
      <c r="H17" s="32">
        <f>IFERROR(ROUND(IF(C17&gt;0,100*(ROUND(C17,0)-ROUND(D17,0))/ROUND(D17,0),-100*(ROUND(C17,0)-ROUND(D17,0))/ROUND(D17,0)),0)-ROUND(E17,0),0)</f>
        <v>0</v>
      </c>
      <c r="I17" s="46"/>
      <c r="J17" s="32">
        <f>ROUND(C9,0)+ROUND(C15,0)+ROUND(C16,0)-ROUND(C17,0)</f>
        <v>0</v>
      </c>
      <c r="K17" s="32">
        <f>ROUND(D9,0)+ROUND(D15,0)+ROUND(D16,0)-ROUND(D17,0)</f>
        <v>0</v>
      </c>
      <c r="L17" s="32">
        <f>ROUND(C17,0)-ROUND('CYYTD performance measures excl'!F15,0)</f>
        <v>0</v>
      </c>
      <c r="M17" s="32">
        <f>D17-'PYYTD performance measures'!F15</f>
        <v>0</v>
      </c>
    </row>
    <row r="18" spans="1:13" ht="12" customHeight="1">
      <c r="B18" s="402" t="s">
        <v>220</v>
      </c>
      <c r="C18" s="752">
        <v>-635.99999999999977</v>
      </c>
      <c r="D18" s="489">
        <v>-2200</v>
      </c>
      <c r="E18" s="489">
        <v>71.090909090909093</v>
      </c>
      <c r="F18" s="19"/>
      <c r="G18" s="46"/>
      <c r="H18" s="32">
        <f>IFERROR(ROUND(IF(C18&gt;0,100*(ROUND(C18,0)-ROUND(D18,0))/ROUND(D18,0),-100*(ROUND(C18,0)-ROUND(D18,0))/ROUND(D18,0)),0)-ROUND(E18,0),0)</f>
        <v>0</v>
      </c>
      <c r="I18" s="230"/>
      <c r="J18" s="32"/>
      <c r="K18" s="32"/>
      <c r="L18" s="32">
        <f>ROUND(C18,0)-ROUND('CYYTD performance measures excl'!F20,0)</f>
        <v>0</v>
      </c>
      <c r="M18" s="32">
        <f>D18-'PYYTD performance measures'!F20</f>
        <v>0</v>
      </c>
    </row>
    <row r="19" spans="1:13" ht="12" customHeight="1">
      <c r="B19" s="402"/>
      <c r="C19" s="489"/>
      <c r="D19" s="489"/>
      <c r="E19" s="412"/>
      <c r="F19" s="19"/>
      <c r="G19" s="46"/>
      <c r="H19" s="46"/>
      <c r="I19" s="46"/>
      <c r="J19" s="46"/>
      <c r="K19" s="46"/>
      <c r="L19" s="46"/>
      <c r="M19" s="46"/>
    </row>
    <row r="20" spans="1:13" ht="12" customHeight="1">
      <c r="B20" s="404" t="s">
        <v>182</v>
      </c>
      <c r="C20" s="353" t="s">
        <v>150</v>
      </c>
      <c r="D20" s="353" t="s">
        <v>150</v>
      </c>
      <c r="E20" s="353"/>
      <c r="F20" s="19"/>
      <c r="G20" s="46"/>
      <c r="H20" s="46"/>
      <c r="I20" s="229"/>
      <c r="J20" s="46"/>
      <c r="K20" s="46"/>
      <c r="L20" s="46"/>
      <c r="M20" s="46"/>
    </row>
    <row r="21" spans="1:13" s="75" customFormat="1" ht="12" customHeight="1">
      <c r="B21" s="391" t="s">
        <v>10</v>
      </c>
      <c r="C21" s="405">
        <v>21039.999999999898</v>
      </c>
      <c r="D21" s="406">
        <v>21500</v>
      </c>
      <c r="E21" s="406"/>
      <c r="F21" s="19"/>
      <c r="G21" s="46"/>
      <c r="H21" s="46"/>
      <c r="I21" s="46"/>
      <c r="J21" s="46"/>
      <c r="K21" s="46"/>
      <c r="L21" s="46"/>
      <c r="M21" s="46"/>
    </row>
    <row r="22" spans="1:13" ht="12" customHeight="1">
      <c r="B22" s="407" t="s">
        <v>113</v>
      </c>
      <c r="C22" s="408">
        <v>10986.984355423112</v>
      </c>
      <c r="D22" s="547">
        <v>26000</v>
      </c>
      <c r="E22" s="547"/>
      <c r="F22" s="19"/>
      <c r="G22" s="46"/>
      <c r="H22" s="32">
        <f>ROUND(C21,-2)-ROUND('Head Office Qrtly'!C21,-2)</f>
        <v>-2600</v>
      </c>
      <c r="I22" s="32">
        <f>ROUND(D21,-2)-ROUND('Head Office Qrtly'!H21,-2)</f>
        <v>100</v>
      </c>
      <c r="J22" s="32"/>
      <c r="K22" s="46"/>
      <c r="L22" s="46"/>
      <c r="M22" s="46"/>
    </row>
    <row r="23" spans="1:13" ht="12" customHeight="1">
      <c r="B23" s="407" t="s">
        <v>114</v>
      </c>
      <c r="C23" s="413">
        <v>5562.7823771247631</v>
      </c>
      <c r="D23" s="414">
        <v>4900</v>
      </c>
      <c r="E23" s="415"/>
      <c r="F23" s="19"/>
      <c r="G23" s="46"/>
      <c r="H23" s="32">
        <f>ROUND(C22,-2)-ROUND('Head Office Qrtly'!C22,-2)</f>
        <v>1000</v>
      </c>
      <c r="I23" s="32">
        <f>ROUND(D22,-2)-ROUND('Head Office Qrtly'!H22,-2)</f>
        <v>-1000</v>
      </c>
      <c r="J23" s="32"/>
      <c r="K23" s="46"/>
      <c r="L23" s="46"/>
      <c r="M23" s="46"/>
    </row>
    <row r="24" spans="1:13" ht="12" customHeight="1">
      <c r="B24" s="407"/>
      <c r="C24" s="416"/>
      <c r="D24" s="416"/>
      <c r="E24" s="417"/>
      <c r="F24" s="19"/>
      <c r="G24" s="46"/>
      <c r="H24" s="32">
        <f>ROUND(C23,-2)-ROUND('Head Office Qrtly'!C23,-2)</f>
        <v>1200</v>
      </c>
      <c r="I24" s="32">
        <f>ROUND(D23,-2)-ROUND('Head Office Qrtly'!H23,-2)</f>
        <v>400</v>
      </c>
      <c r="J24" s="32"/>
      <c r="K24" s="46"/>
      <c r="L24" s="46"/>
      <c r="M24" s="46"/>
    </row>
    <row r="25" spans="1:13" ht="12" customHeight="1">
      <c r="B25" s="630" t="s">
        <v>175</v>
      </c>
      <c r="C25" s="631"/>
      <c r="D25" s="631"/>
      <c r="E25" s="632"/>
      <c r="F25" s="19"/>
      <c r="G25" s="46"/>
      <c r="H25" s="46"/>
      <c r="I25" s="46"/>
      <c r="J25" s="46"/>
      <c r="K25" s="46"/>
      <c r="L25" s="46"/>
      <c r="M25" s="46"/>
    </row>
    <row r="26" spans="1:13" ht="12" customHeight="1">
      <c r="B26" s="633" t="s">
        <v>190</v>
      </c>
      <c r="C26" s="742">
        <v>5056.3351808721118</v>
      </c>
      <c r="D26" s="634">
        <v>3100</v>
      </c>
      <c r="E26" s="635"/>
      <c r="F26" s="19"/>
      <c r="G26" s="46"/>
      <c r="H26" s="46"/>
      <c r="I26" s="46"/>
      <c r="J26" s="46"/>
      <c r="K26" s="46"/>
      <c r="L26" s="46"/>
      <c r="M26" s="46"/>
    </row>
    <row r="27" spans="1:13" ht="12" customHeight="1">
      <c r="B27" s="486"/>
      <c r="C27" s="409"/>
      <c r="D27" s="409"/>
      <c r="E27" s="418"/>
      <c r="F27" s="19"/>
      <c r="G27" s="46"/>
      <c r="H27" s="46"/>
      <c r="I27" s="46"/>
      <c r="J27" s="46"/>
      <c r="K27" s="46"/>
      <c r="L27" s="46"/>
      <c r="M27" s="46"/>
    </row>
    <row r="28" spans="1:13" s="74" customFormat="1" ht="12" customHeight="1">
      <c r="A28" s="43"/>
      <c r="B28" s="636" t="s">
        <v>178</v>
      </c>
      <c r="C28" s="637" t="s">
        <v>2</v>
      </c>
      <c r="D28" s="637" t="s">
        <v>2</v>
      </c>
      <c r="E28" s="637"/>
      <c r="F28" s="19"/>
      <c r="G28" s="46"/>
      <c r="H28" s="46"/>
      <c r="I28" s="46"/>
      <c r="J28" s="46"/>
      <c r="K28" s="46"/>
      <c r="L28" s="32">
        <f>C26-'CYYTD performance measures excl'!F27</f>
        <v>0</v>
      </c>
      <c r="M28" s="212">
        <f>ROUND(D26,-2)-ROUND('PYYTD performance measures'!F27,-2)</f>
        <v>0</v>
      </c>
    </row>
    <row r="29" spans="1:13" s="74" customFormat="1" ht="12" customHeight="1">
      <c r="A29" s="43"/>
      <c r="B29" s="633" t="s">
        <v>219</v>
      </c>
      <c r="C29" s="748">
        <v>-631.60566179781165</v>
      </c>
      <c r="D29" s="638">
        <v>-640</v>
      </c>
      <c r="E29" s="639">
        <v>1.25</v>
      </c>
      <c r="F29" s="19"/>
      <c r="G29" s="46"/>
      <c r="H29" s="46"/>
      <c r="I29" s="46"/>
      <c r="J29" s="46"/>
      <c r="K29" s="46"/>
      <c r="L29" s="46"/>
      <c r="M29" s="46"/>
    </row>
    <row r="30" spans="1:13" s="74" customFormat="1" ht="10.199999999999999">
      <c r="A30" s="43"/>
      <c r="B30" s="402" t="s">
        <v>221</v>
      </c>
      <c r="C30" s="749">
        <v>-524.84074720870899</v>
      </c>
      <c r="D30" s="419">
        <v>-642</v>
      </c>
      <c r="E30" s="331">
        <v>18.22429906542056</v>
      </c>
      <c r="F30" s="19"/>
      <c r="G30" s="46"/>
      <c r="H30" s="46"/>
      <c r="I30" s="46"/>
      <c r="J30" s="46"/>
      <c r="K30" s="46"/>
      <c r="L30" s="46"/>
      <c r="M30" s="46"/>
    </row>
    <row r="31" spans="1:13" s="74" customFormat="1" ht="12" customHeight="1">
      <c r="A31" s="43"/>
      <c r="B31" s="43"/>
      <c r="C31" s="213"/>
      <c r="D31" s="213"/>
      <c r="F31" s="43"/>
      <c r="G31" s="46"/>
      <c r="H31" s="32">
        <f>IFERROR(ROUND(IF(C29&gt;0,100*(ROUND(C29,0)-ROUND(D29,0))/ROUND(D29,0),-100*(ROUND(C29,0)-ROUND(D29,0))/ROUND(D29,0)),0)-ROUND(E29,0),0)</f>
        <v>0</v>
      </c>
      <c r="I31" s="46"/>
      <c r="J31" s="32">
        <f>ROUND(C14,0)-ROUND(C17,0)+ROUND(C29,0)</f>
        <v>0</v>
      </c>
      <c r="K31" s="32">
        <f>ROUND(D14,0)-ROUND(D17,0)+ROUND(D29,0)</f>
        <v>0</v>
      </c>
      <c r="L31" s="32">
        <f>C29-'CYYTD performance measures excl'!F17</f>
        <v>0</v>
      </c>
      <c r="M31" s="32">
        <f>ROUND(D29,-2)-ROUND('PYYTD performance measures'!F17,-2)</f>
        <v>0</v>
      </c>
    </row>
    <row r="32" spans="1:13" s="74" customFormat="1" ht="12" customHeight="1">
      <c r="A32" s="43"/>
      <c r="B32" s="43"/>
      <c r="C32" s="43"/>
      <c r="D32" s="43"/>
      <c r="E32" s="43"/>
      <c r="F32" s="191"/>
      <c r="G32" s="46"/>
      <c r="H32" s="32">
        <f>IFERROR(ROUND(IF(C30&gt;0,100*(ROUND(C30,0)-ROUND(D30,0))/ROUND(D30,0),-100*(ROUND(C30,0)-ROUND(D30,0))/ROUND(D30,0)),0)-ROUND(E30,0),0)</f>
        <v>0</v>
      </c>
      <c r="I32" s="46"/>
      <c r="J32" s="46"/>
      <c r="K32" s="46"/>
      <c r="L32" s="32">
        <f>C30-'CYYTD performance measures excl'!F22</f>
        <v>0</v>
      </c>
      <c r="M32" s="32">
        <f>D30-'PYYTD performance measures'!F22</f>
        <v>0</v>
      </c>
    </row>
    <row r="33" spans="3:6" ht="12" customHeight="1">
      <c r="C33" s="43"/>
      <c r="D33" s="43"/>
      <c r="E33" s="43"/>
    </row>
    <row r="34" spans="3:6" ht="12.75" customHeight="1">
      <c r="C34" s="43"/>
      <c r="D34" s="43"/>
      <c r="E34" s="43"/>
    </row>
    <row r="35" spans="3:6" ht="12.75" customHeight="1">
      <c r="C35" s="43"/>
      <c r="D35" s="43"/>
      <c r="E35" s="43"/>
      <c r="F35" s="43"/>
    </row>
    <row r="36" spans="3:6" ht="12.75" customHeight="1">
      <c r="C36" s="19"/>
      <c r="D36" s="19"/>
      <c r="E36" s="43"/>
      <c r="F36" s="43"/>
    </row>
    <row r="37" spans="3:6" ht="12" customHeight="1">
      <c r="C37" s="43"/>
      <c r="D37" s="43"/>
      <c r="E37" s="43"/>
      <c r="F37" s="43"/>
    </row>
    <row r="38" spans="3:6" ht="12" customHeight="1">
      <c r="F38" s="43"/>
    </row>
    <row r="39" spans="3:6" ht="12" customHeight="1">
      <c r="C39" s="43"/>
      <c r="D39" s="43"/>
      <c r="E39" s="43"/>
      <c r="F39" s="43"/>
    </row>
    <row r="40" spans="3:6" ht="12" customHeight="1">
      <c r="C40" s="43"/>
      <c r="D40" s="43"/>
      <c r="E40" s="43"/>
      <c r="F40" s="43"/>
    </row>
    <row r="41" spans="3:6" ht="12" customHeight="1">
      <c r="C41" s="43"/>
      <c r="D41" s="43"/>
      <c r="E41" s="43"/>
    </row>
    <row r="42" spans="3:6" ht="12" customHeight="1">
      <c r="C42" s="43"/>
      <c r="D42" s="43"/>
      <c r="E42" s="43"/>
      <c r="F42" s="43"/>
    </row>
    <row r="43" spans="3:6" ht="12" customHeight="1">
      <c r="C43" s="43"/>
      <c r="D43" s="43"/>
      <c r="E43" s="43"/>
      <c r="F43" s="43"/>
    </row>
    <row r="44" spans="3:6" ht="12" customHeight="1">
      <c r="C44" s="43"/>
      <c r="D44" s="43"/>
      <c r="E44" s="43"/>
      <c r="F44" s="43"/>
    </row>
    <row r="45" spans="3:6" ht="12" customHeight="1">
      <c r="C45" s="43"/>
      <c r="D45" s="43"/>
      <c r="E45" s="43"/>
      <c r="F45" s="43"/>
    </row>
    <row r="46" spans="3:6" ht="12" customHeight="1">
      <c r="C46" s="43"/>
      <c r="D46" s="43"/>
      <c r="E46" s="43"/>
      <c r="F46" s="43"/>
    </row>
    <row r="47" spans="3:6" ht="12" customHeight="1">
      <c r="C47" s="43"/>
      <c r="D47" s="43"/>
      <c r="E47" s="43"/>
      <c r="F47" s="43"/>
    </row>
    <row r="48" spans="3:6" ht="12" customHeight="1">
      <c r="C48" s="43"/>
      <c r="D48" s="43"/>
      <c r="E48" s="43"/>
      <c r="F48" s="43"/>
    </row>
    <row r="49" spans="3:6" ht="12" customHeight="1">
      <c r="C49" s="43"/>
      <c r="D49" s="43"/>
      <c r="E49" s="43"/>
      <c r="F49" s="43"/>
    </row>
    <row r="50" spans="3:6" ht="12" customHeight="1">
      <c r="C50" s="43"/>
      <c r="D50" s="43"/>
      <c r="E50" s="43"/>
      <c r="F50" s="43"/>
    </row>
    <row r="51" spans="3:6" ht="12" customHeight="1">
      <c r="C51" s="43"/>
      <c r="D51" s="43"/>
      <c r="E51" s="43"/>
      <c r="F51" s="43"/>
    </row>
    <row r="52" spans="3:6" ht="12" customHeight="1">
      <c r="C52" s="43"/>
      <c r="D52" s="43"/>
      <c r="E52" s="43"/>
      <c r="F52" s="43"/>
    </row>
    <row r="53" spans="3:6" ht="12" customHeight="1">
      <c r="C53" s="43"/>
      <c r="D53" s="43"/>
      <c r="E53" s="43"/>
      <c r="F53" s="43"/>
    </row>
    <row r="54" spans="3:6" ht="12" customHeight="1">
      <c r="C54" s="43"/>
      <c r="D54" s="43"/>
      <c r="E54" s="43"/>
      <c r="F54" s="43"/>
    </row>
    <row r="55" spans="3:6" ht="12" customHeight="1">
      <c r="C55" s="43"/>
      <c r="D55" s="43"/>
      <c r="E55" s="43"/>
      <c r="F55" s="43"/>
    </row>
    <row r="56" spans="3:6" ht="12" customHeight="1">
      <c r="C56" s="43"/>
      <c r="D56" s="43"/>
      <c r="E56" s="43"/>
      <c r="F56" s="43"/>
    </row>
    <row r="57" spans="3:6" ht="12" customHeight="1">
      <c r="C57" s="43"/>
      <c r="D57" s="43"/>
      <c r="E57" s="43"/>
      <c r="F57" s="43"/>
    </row>
    <row r="58" spans="3:6" ht="12" customHeight="1">
      <c r="C58" s="43"/>
      <c r="D58" s="43"/>
      <c r="E58" s="43"/>
      <c r="F58" s="43"/>
    </row>
    <row r="59" spans="3:6" ht="12" customHeight="1">
      <c r="C59" s="43"/>
      <c r="D59" s="43"/>
      <c r="E59" s="43"/>
      <c r="F59" s="43"/>
    </row>
    <row r="60" spans="3:6" ht="12" customHeight="1">
      <c r="C60" s="43"/>
      <c r="D60" s="43"/>
      <c r="E60" s="43"/>
      <c r="F60" s="43"/>
    </row>
    <row r="61" spans="3:6" ht="12" customHeight="1">
      <c r="C61" s="43"/>
      <c r="D61" s="43"/>
      <c r="E61" s="43"/>
      <c r="F61" s="43"/>
    </row>
    <row r="62" spans="3:6" ht="12" customHeight="1">
      <c r="C62" s="43"/>
      <c r="D62" s="43"/>
      <c r="E62" s="43"/>
      <c r="F62" s="43"/>
    </row>
    <row r="63" spans="3:6" ht="12" customHeight="1">
      <c r="C63" s="43"/>
      <c r="D63" s="43"/>
      <c r="E63" s="43"/>
      <c r="F63" s="43"/>
    </row>
    <row r="64" spans="3:6" ht="12" customHeight="1">
      <c r="C64" s="43"/>
      <c r="D64" s="43"/>
      <c r="E64" s="43"/>
      <c r="F64" s="43"/>
    </row>
    <row r="65" spans="3:6" ht="12" customHeight="1">
      <c r="C65" s="43"/>
      <c r="D65" s="43"/>
      <c r="E65" s="43"/>
      <c r="F65" s="43"/>
    </row>
    <row r="66" spans="3:6" ht="12" customHeight="1">
      <c r="C66" s="43"/>
      <c r="D66" s="43"/>
      <c r="E66" s="43"/>
      <c r="F66" s="43"/>
    </row>
    <row r="67" spans="3:6" ht="12" customHeight="1">
      <c r="C67" s="43"/>
      <c r="D67" s="43"/>
      <c r="E67" s="43"/>
      <c r="F67" s="43"/>
    </row>
    <row r="68" spans="3:6" ht="12" customHeight="1">
      <c r="C68" s="43"/>
      <c r="D68" s="43"/>
      <c r="E68" s="43"/>
      <c r="F68" s="43"/>
    </row>
    <row r="69" spans="3:6" ht="12" customHeight="1">
      <c r="C69" s="43"/>
      <c r="D69" s="43"/>
      <c r="E69" s="43"/>
      <c r="F69" s="43"/>
    </row>
    <row r="70" spans="3:6" ht="12" customHeight="1">
      <c r="C70" s="43"/>
      <c r="D70" s="43"/>
      <c r="E70" s="43"/>
      <c r="F70" s="43"/>
    </row>
    <row r="71" spans="3:6" ht="12" customHeight="1">
      <c r="C71" s="43"/>
      <c r="D71" s="43"/>
      <c r="E71" s="43"/>
      <c r="F71" s="43"/>
    </row>
    <row r="72" spans="3:6" ht="12" customHeight="1">
      <c r="C72" s="43"/>
      <c r="D72" s="43"/>
      <c r="E72" s="43"/>
      <c r="F72" s="43"/>
    </row>
    <row r="73" spans="3:6" ht="12" customHeight="1">
      <c r="C73" s="43"/>
      <c r="D73" s="43"/>
      <c r="E73" s="43"/>
      <c r="F73" s="43"/>
    </row>
    <row r="74" spans="3:6" ht="12" customHeight="1">
      <c r="C74" s="43"/>
      <c r="D74" s="43"/>
      <c r="E74" s="43"/>
      <c r="F74" s="43"/>
    </row>
    <row r="75" spans="3:6" ht="12" customHeight="1">
      <c r="C75" s="43"/>
      <c r="D75" s="43"/>
      <c r="E75" s="43"/>
      <c r="F75" s="43"/>
    </row>
    <row r="76" spans="3:6" ht="12" customHeight="1">
      <c r="C76" s="43"/>
      <c r="D76" s="43"/>
      <c r="E76" s="43"/>
      <c r="F76" s="43"/>
    </row>
    <row r="77" spans="3:6" ht="12" customHeight="1">
      <c r="C77" s="43"/>
      <c r="D77" s="43"/>
      <c r="E77" s="43"/>
      <c r="F77" s="43"/>
    </row>
    <row r="78" spans="3:6" ht="12" customHeight="1">
      <c r="C78" s="43"/>
      <c r="D78" s="43"/>
      <c r="E78" s="43"/>
      <c r="F78" s="43"/>
    </row>
    <row r="79" spans="3:6" ht="12" customHeight="1">
      <c r="C79" s="43"/>
      <c r="D79" s="43"/>
      <c r="E79" s="43"/>
      <c r="F79" s="43"/>
    </row>
    <row r="80" spans="3:6" ht="12" customHeight="1">
      <c r="C80" s="43"/>
      <c r="D80" s="43"/>
      <c r="E80" s="43"/>
      <c r="F80" s="43"/>
    </row>
    <row r="81" spans="3:6" ht="12" customHeight="1">
      <c r="C81" s="43"/>
      <c r="D81" s="43"/>
      <c r="E81" s="43"/>
      <c r="F81" s="43"/>
    </row>
    <row r="82" spans="3:6" ht="12" customHeight="1">
      <c r="C82" s="43"/>
      <c r="D82" s="43"/>
      <c r="E82" s="43"/>
      <c r="F82" s="43"/>
    </row>
    <row r="83" spans="3:6" ht="12" customHeight="1">
      <c r="C83" s="43"/>
      <c r="D83" s="43"/>
      <c r="E83" s="43"/>
      <c r="F83" s="43"/>
    </row>
    <row r="84" spans="3:6" ht="12" customHeight="1">
      <c r="C84" s="43"/>
      <c r="D84" s="43"/>
      <c r="E84" s="43"/>
      <c r="F84" s="43"/>
    </row>
    <row r="85" spans="3:6" ht="12" customHeight="1">
      <c r="C85" s="43"/>
      <c r="D85" s="43"/>
      <c r="E85" s="43"/>
      <c r="F85" s="43"/>
    </row>
    <row r="86" spans="3:6" ht="12" customHeight="1">
      <c r="C86" s="43"/>
      <c r="D86" s="43"/>
      <c r="E86" s="43"/>
      <c r="F86" s="43"/>
    </row>
    <row r="87" spans="3:6" ht="12" customHeight="1">
      <c r="C87" s="43"/>
      <c r="D87" s="43"/>
      <c r="E87" s="43"/>
      <c r="F87" s="43"/>
    </row>
    <row r="88" spans="3:6" ht="12" customHeight="1">
      <c r="C88" s="43"/>
      <c r="D88" s="43"/>
      <c r="E88" s="43"/>
      <c r="F88" s="43"/>
    </row>
    <row r="89" spans="3:6" ht="12" customHeight="1">
      <c r="C89" s="43"/>
      <c r="D89" s="43"/>
      <c r="E89" s="43"/>
      <c r="F89" s="43"/>
    </row>
    <row r="90" spans="3:6" ht="12" customHeight="1">
      <c r="C90" s="43"/>
      <c r="D90" s="43"/>
      <c r="E90" s="43"/>
      <c r="F90" s="43"/>
    </row>
    <row r="91" spans="3:6" ht="12" customHeight="1">
      <c r="C91" s="43"/>
      <c r="D91" s="43"/>
      <c r="E91" s="43"/>
      <c r="F91" s="43"/>
    </row>
    <row r="92" spans="3:6" ht="12" customHeight="1">
      <c r="C92" s="43"/>
      <c r="D92" s="43"/>
      <c r="E92" s="43"/>
      <c r="F92" s="43"/>
    </row>
    <row r="93" spans="3:6" ht="12" customHeight="1">
      <c r="C93" s="43"/>
      <c r="D93" s="43"/>
      <c r="E93" s="43"/>
      <c r="F93" s="43"/>
    </row>
    <row r="94" spans="3:6" ht="12" customHeight="1">
      <c r="C94" s="43"/>
      <c r="D94" s="43"/>
      <c r="E94" s="43"/>
      <c r="F94" s="43"/>
    </row>
    <row r="95" spans="3:6" ht="12" customHeight="1">
      <c r="C95" s="43"/>
      <c r="D95" s="43"/>
      <c r="E95" s="43"/>
      <c r="F95" s="43"/>
    </row>
    <row r="96" spans="3:6" ht="12" customHeight="1">
      <c r="C96" s="43"/>
      <c r="D96" s="43"/>
      <c r="E96" s="43"/>
      <c r="F96" s="43"/>
    </row>
    <row r="97" spans="3:6" ht="12" customHeight="1">
      <c r="C97" s="43"/>
      <c r="D97" s="43"/>
      <c r="E97" s="43"/>
      <c r="F97" s="43"/>
    </row>
    <row r="98" spans="3:6" ht="12" customHeight="1">
      <c r="C98" s="43"/>
      <c r="D98" s="43"/>
      <c r="E98" s="43"/>
      <c r="F98" s="43"/>
    </row>
    <row r="99" spans="3:6" ht="12" customHeight="1">
      <c r="C99" s="43"/>
      <c r="D99" s="43"/>
      <c r="E99" s="43"/>
      <c r="F99" s="43"/>
    </row>
    <row r="100" spans="3:6" ht="12" customHeight="1">
      <c r="C100" s="43"/>
      <c r="D100" s="43"/>
      <c r="E100" s="43"/>
      <c r="F100" s="43"/>
    </row>
    <row r="101" spans="3:6" ht="12" customHeight="1">
      <c r="C101" s="43"/>
      <c r="D101" s="43"/>
      <c r="E101" s="43"/>
      <c r="F101" s="43"/>
    </row>
    <row r="102" spans="3:6" ht="12" customHeight="1">
      <c r="F102" s="43"/>
    </row>
    <row r="103" spans="3:6" ht="12" customHeight="1">
      <c r="F103" s="43"/>
    </row>
    <row r="104" spans="3:6" ht="12" customHeight="1">
      <c r="C104" s="43"/>
      <c r="D104" s="43"/>
      <c r="E104" s="43"/>
      <c r="F104" s="43"/>
    </row>
    <row r="105" spans="3:6" ht="12" customHeight="1">
      <c r="C105" s="43"/>
      <c r="D105" s="43"/>
      <c r="E105" s="43"/>
    </row>
    <row r="106" spans="3:6" ht="12" customHeight="1">
      <c r="C106" s="43"/>
      <c r="D106" s="43"/>
      <c r="E106" s="43"/>
    </row>
    <row r="107" spans="3:6" ht="12" customHeight="1">
      <c r="C107" s="43"/>
      <c r="D107" s="43"/>
      <c r="E107" s="43"/>
      <c r="F107" s="43"/>
    </row>
    <row r="108" spans="3:6" ht="12" customHeight="1">
      <c r="C108" s="43"/>
      <c r="D108" s="43"/>
      <c r="E108" s="43"/>
      <c r="F108" s="43"/>
    </row>
    <row r="109" spans="3:6" ht="12" customHeight="1">
      <c r="F109" s="43"/>
    </row>
    <row r="110" spans="3:6" ht="12" customHeight="1">
      <c r="C110" s="43"/>
      <c r="D110" s="43"/>
      <c r="E110" s="43"/>
      <c r="F110" s="43"/>
    </row>
    <row r="111" spans="3:6" ht="12" customHeight="1">
      <c r="C111" s="43"/>
      <c r="D111" s="43"/>
      <c r="E111" s="43"/>
      <c r="F111" s="43"/>
    </row>
    <row r="112" spans="3:6" ht="12" customHeight="1">
      <c r="C112" s="43"/>
      <c r="D112" s="43"/>
      <c r="E112" s="43"/>
    </row>
    <row r="113" spans="3:6" ht="12" customHeight="1">
      <c r="C113" s="43"/>
      <c r="D113" s="43"/>
      <c r="E113" s="43"/>
      <c r="F113" s="43"/>
    </row>
    <row r="114" spans="3:6" ht="12" customHeight="1">
      <c r="C114" s="43"/>
      <c r="D114" s="43"/>
      <c r="E114" s="43"/>
      <c r="F114" s="43"/>
    </row>
    <row r="115" spans="3:6" ht="12" customHeight="1">
      <c r="F115" s="43"/>
    </row>
    <row r="116" spans="3:6" ht="12" customHeight="1">
      <c r="F116" s="43"/>
    </row>
    <row r="117" spans="3:6" ht="12" customHeight="1">
      <c r="C117" s="43"/>
      <c r="D117" s="43"/>
      <c r="E117" s="43"/>
      <c r="F117" s="43"/>
    </row>
    <row r="118" spans="3:6" ht="12" customHeight="1">
      <c r="C118" s="43"/>
      <c r="D118" s="43"/>
      <c r="E118" s="43"/>
    </row>
    <row r="119" spans="3:6" ht="12" customHeight="1">
      <c r="C119" s="43"/>
      <c r="D119" s="43"/>
      <c r="E119" s="43"/>
    </row>
    <row r="120" spans="3:6" ht="12" customHeight="1">
      <c r="C120" s="43"/>
      <c r="D120" s="43"/>
      <c r="E120" s="43"/>
      <c r="F120" s="43"/>
    </row>
    <row r="121" spans="3:6" ht="12" customHeight="1">
      <c r="C121" s="43"/>
      <c r="D121" s="43"/>
      <c r="E121" s="43"/>
      <c r="F121" s="43"/>
    </row>
    <row r="122" spans="3:6" ht="12" customHeight="1">
      <c r="C122" s="43"/>
      <c r="D122" s="43"/>
      <c r="E122" s="43"/>
      <c r="F122" s="43"/>
    </row>
    <row r="123" spans="3:6" ht="12" customHeight="1">
      <c r="C123" s="43"/>
      <c r="D123" s="43"/>
      <c r="E123" s="43"/>
      <c r="F123" s="43"/>
    </row>
    <row r="124" spans="3:6" ht="12" customHeight="1">
      <c r="C124" s="43"/>
      <c r="D124" s="43"/>
      <c r="E124" s="43"/>
      <c r="F124" s="43"/>
    </row>
    <row r="125" spans="3:6" ht="12" customHeight="1">
      <c r="C125" s="43"/>
      <c r="D125" s="43"/>
      <c r="E125" s="43"/>
      <c r="F125" s="43"/>
    </row>
    <row r="126" spans="3:6" ht="12" customHeight="1">
      <c r="C126" s="43"/>
      <c r="D126" s="43"/>
      <c r="E126" s="43"/>
      <c r="F126" s="43"/>
    </row>
    <row r="127" spans="3:6" ht="12" customHeight="1">
      <c r="C127" s="43"/>
      <c r="D127" s="43"/>
      <c r="E127" s="43"/>
      <c r="F127" s="43"/>
    </row>
    <row r="128" spans="3:6" ht="12" customHeight="1">
      <c r="C128" s="43"/>
      <c r="D128" s="43"/>
      <c r="E128" s="43"/>
      <c r="F128" s="43"/>
    </row>
    <row r="129" spans="3:6" ht="12" customHeight="1">
      <c r="C129" s="43"/>
      <c r="D129" s="43"/>
      <c r="E129" s="43"/>
      <c r="F129" s="43"/>
    </row>
    <row r="130" spans="3:6" ht="12" customHeight="1">
      <c r="C130" s="43"/>
      <c r="D130" s="43"/>
      <c r="E130" s="43"/>
      <c r="F130" s="43"/>
    </row>
    <row r="131" spans="3:6" ht="12" customHeight="1">
      <c r="C131" s="43"/>
      <c r="D131" s="43"/>
      <c r="E131" s="43"/>
      <c r="F131" s="43"/>
    </row>
    <row r="132" spans="3:6" ht="12" customHeight="1">
      <c r="C132" s="43"/>
      <c r="D132" s="43"/>
      <c r="E132" s="43"/>
      <c r="F132" s="43"/>
    </row>
    <row r="133" spans="3:6" ht="12" customHeight="1">
      <c r="C133" s="43"/>
      <c r="D133" s="43"/>
      <c r="E133" s="43"/>
      <c r="F133" s="43"/>
    </row>
    <row r="134" spans="3:6" ht="12" customHeight="1">
      <c r="C134" s="43"/>
      <c r="D134" s="43"/>
      <c r="E134" s="43"/>
      <c r="F134" s="43"/>
    </row>
    <row r="135" spans="3:6" ht="12" customHeight="1">
      <c r="C135" s="43"/>
      <c r="D135" s="43"/>
      <c r="E135" s="43"/>
      <c r="F135" s="43"/>
    </row>
    <row r="136" spans="3:6" ht="12" customHeight="1">
      <c r="C136" s="43"/>
      <c r="D136" s="43"/>
      <c r="E136" s="43"/>
      <c r="F136" s="43"/>
    </row>
    <row r="137" spans="3:6" ht="12" customHeight="1">
      <c r="C137" s="43"/>
      <c r="D137" s="43"/>
      <c r="E137" s="43"/>
      <c r="F137" s="43"/>
    </row>
    <row r="138" spans="3:6" ht="12" customHeight="1">
      <c r="C138" s="43"/>
      <c r="D138" s="43"/>
      <c r="E138" s="43"/>
      <c r="F138" s="43"/>
    </row>
    <row r="139" spans="3:6" ht="12" customHeight="1">
      <c r="C139" s="43"/>
      <c r="D139" s="43"/>
      <c r="E139" s="43"/>
      <c r="F139" s="43"/>
    </row>
    <row r="140" spans="3:6" ht="12" customHeight="1">
      <c r="C140" s="43"/>
      <c r="D140" s="43"/>
      <c r="E140" s="43"/>
      <c r="F140" s="43"/>
    </row>
    <row r="141" spans="3:6" ht="12" customHeight="1">
      <c r="C141" s="43"/>
      <c r="D141" s="43"/>
      <c r="E141" s="43"/>
      <c r="F141" s="43"/>
    </row>
    <row r="142" spans="3:6" ht="12" customHeight="1">
      <c r="C142" s="43"/>
      <c r="D142" s="43"/>
      <c r="E142" s="43"/>
      <c r="F142" s="43"/>
    </row>
    <row r="143" spans="3:6" ht="12" customHeight="1">
      <c r="C143" s="43"/>
      <c r="D143" s="43"/>
      <c r="E143" s="43"/>
      <c r="F143" s="43"/>
    </row>
    <row r="144" spans="3:6" ht="12" customHeight="1">
      <c r="C144" s="43"/>
      <c r="D144" s="43"/>
      <c r="E144" s="43"/>
      <c r="F144" s="43"/>
    </row>
    <row r="145" spans="3:6" ht="12" customHeight="1">
      <c r="C145" s="43"/>
      <c r="D145" s="43"/>
      <c r="E145" s="43"/>
      <c r="F145" s="43"/>
    </row>
    <row r="146" spans="3:6" ht="12" customHeight="1">
      <c r="C146" s="43"/>
      <c r="D146" s="43"/>
      <c r="E146" s="43"/>
      <c r="F146" s="43"/>
    </row>
    <row r="147" spans="3:6" ht="12" customHeight="1">
      <c r="F147" s="43"/>
    </row>
    <row r="148" spans="3:6" ht="12" customHeight="1">
      <c r="C148" s="43"/>
      <c r="D148" s="43"/>
      <c r="E148" s="43"/>
      <c r="F148" s="43"/>
    </row>
    <row r="149" spans="3:6" ht="12" customHeight="1">
      <c r="C149" s="43"/>
      <c r="D149" s="43"/>
      <c r="E149" s="43"/>
      <c r="F149" s="43"/>
    </row>
    <row r="150" spans="3:6" ht="12" customHeight="1">
      <c r="C150" s="43"/>
      <c r="D150" s="43"/>
      <c r="E150" s="43"/>
    </row>
    <row r="151" spans="3:6" ht="12" customHeight="1">
      <c r="C151" s="43"/>
      <c r="D151" s="43"/>
      <c r="E151" s="43"/>
      <c r="F151" s="43"/>
    </row>
    <row r="152" spans="3:6" ht="12" customHeight="1">
      <c r="C152" s="43"/>
      <c r="D152" s="43"/>
      <c r="E152" s="43"/>
      <c r="F152" s="43"/>
    </row>
    <row r="153" spans="3:6" ht="12" customHeight="1">
      <c r="C153" s="43"/>
      <c r="D153" s="43"/>
      <c r="E153" s="43"/>
      <c r="F153" s="43"/>
    </row>
    <row r="154" spans="3:6" ht="12" customHeight="1">
      <c r="C154" s="43"/>
      <c r="D154" s="43"/>
      <c r="E154" s="43"/>
      <c r="F154" s="43"/>
    </row>
    <row r="155" spans="3:6" ht="12" customHeight="1">
      <c r="C155" s="43"/>
      <c r="D155" s="43"/>
      <c r="E155" s="43"/>
      <c r="F155" s="43"/>
    </row>
    <row r="156" spans="3:6" ht="12" customHeight="1">
      <c r="C156" s="43"/>
      <c r="D156" s="43"/>
      <c r="E156" s="43"/>
      <c r="F156" s="43"/>
    </row>
    <row r="157" spans="3:6" ht="12" customHeight="1">
      <c r="F157" s="43"/>
    </row>
    <row r="158" spans="3:6" ht="12" customHeight="1">
      <c r="F158" s="43"/>
    </row>
    <row r="159" spans="3:6" ht="12" customHeight="1">
      <c r="C159" s="43"/>
      <c r="D159" s="43"/>
      <c r="E159" s="43"/>
      <c r="F159" s="43"/>
    </row>
    <row r="160" spans="3:6" ht="12" customHeight="1">
      <c r="C160" s="43"/>
      <c r="D160" s="43"/>
      <c r="E160" s="43"/>
    </row>
    <row r="161" spans="3:6" ht="12" customHeight="1">
      <c r="C161" s="43"/>
      <c r="D161" s="43"/>
      <c r="E161" s="43"/>
    </row>
    <row r="162" spans="3:6" ht="12" customHeight="1">
      <c r="F162" s="43"/>
    </row>
    <row r="163" spans="3:6" ht="12" customHeight="1">
      <c r="C163" s="43"/>
      <c r="D163" s="43"/>
      <c r="E163" s="43"/>
      <c r="F163" s="43"/>
    </row>
    <row r="164" spans="3:6" ht="12" customHeight="1">
      <c r="F164" s="43"/>
    </row>
    <row r="166" spans="3:6" ht="12" customHeight="1">
      <c r="F166" s="43"/>
    </row>
  </sheetData>
  <mergeCells count="1">
    <mergeCell ref="B2:B3"/>
  </mergeCells>
  <conditionalFormatting sqref="J9:K9 J7 L17:M17 J18:K18 H5:H18">
    <cfRule type="cellIs" dxfId="149" priority="27" operator="notEqual">
      <formula>0</formula>
    </cfRule>
  </conditionalFormatting>
  <conditionalFormatting sqref="K7">
    <cfRule type="cellIs" dxfId="148" priority="26" operator="notEqual">
      <formula>0</formula>
    </cfRule>
  </conditionalFormatting>
  <conditionalFormatting sqref="H31:H32">
    <cfRule type="cellIs" dxfId="147" priority="25" operator="notEqual">
      <formula>0</formula>
    </cfRule>
  </conditionalFormatting>
  <conditionalFormatting sqref="J31:K31">
    <cfRule type="cellIs" dxfId="146" priority="24" operator="notEqual">
      <formula>0</formula>
    </cfRule>
  </conditionalFormatting>
  <conditionalFormatting sqref="L18">
    <cfRule type="cellIs" dxfId="145" priority="22" operator="notEqual">
      <formula>0</formula>
    </cfRule>
  </conditionalFormatting>
  <conditionalFormatting sqref="M18">
    <cfRule type="cellIs" dxfId="144" priority="21" operator="notEqual">
      <formula>0</formula>
    </cfRule>
  </conditionalFormatting>
  <conditionalFormatting sqref="L31">
    <cfRule type="cellIs" dxfId="143" priority="20" operator="notEqual">
      <formula>0</formula>
    </cfRule>
  </conditionalFormatting>
  <conditionalFormatting sqref="M31">
    <cfRule type="cellIs" dxfId="142" priority="18" operator="notEqual">
      <formula>0</formula>
    </cfRule>
  </conditionalFormatting>
  <conditionalFormatting sqref="L32">
    <cfRule type="cellIs" dxfId="141" priority="19" operator="notEqual">
      <formula>0</formula>
    </cfRule>
  </conditionalFormatting>
  <conditionalFormatting sqref="M32">
    <cfRule type="cellIs" dxfId="140" priority="17" operator="notEqual">
      <formula>0</formula>
    </cfRule>
  </conditionalFormatting>
  <conditionalFormatting sqref="L7">
    <cfRule type="cellIs" dxfId="139" priority="16" operator="notEqual">
      <formula>0</formula>
    </cfRule>
  </conditionalFormatting>
  <conditionalFormatting sqref="M7">
    <cfRule type="cellIs" dxfId="138" priority="15" operator="notEqual">
      <formula>0</formula>
    </cfRule>
  </conditionalFormatting>
  <conditionalFormatting sqref="L10:M13">
    <cfRule type="cellIs" dxfId="137" priority="14" operator="notEqual">
      <formula>0</formula>
    </cfRule>
  </conditionalFormatting>
  <conditionalFormatting sqref="L15">
    <cfRule type="cellIs" dxfId="136" priority="13" operator="notEqual">
      <formula>0</formula>
    </cfRule>
  </conditionalFormatting>
  <conditionalFormatting sqref="M15">
    <cfRule type="cellIs" dxfId="135" priority="12" operator="notEqual">
      <formula>0</formula>
    </cfRule>
  </conditionalFormatting>
  <conditionalFormatting sqref="L28">
    <cfRule type="cellIs" dxfId="134" priority="11" operator="notEqual">
      <formula>0</formula>
    </cfRule>
  </conditionalFormatting>
  <conditionalFormatting sqref="M28">
    <cfRule type="cellIs" dxfId="133" priority="10" operator="notEqual">
      <formula>0</formula>
    </cfRule>
  </conditionalFormatting>
  <conditionalFormatting sqref="J17:K17">
    <cfRule type="cellIs" dxfId="132" priority="7" operator="notEqual">
      <formula>0</formula>
    </cfRule>
  </conditionalFormatting>
  <conditionalFormatting sqref="J15:K15">
    <cfRule type="cellIs" dxfId="131" priority="6" operator="notEqual">
      <formula>0</formula>
    </cfRule>
  </conditionalFormatting>
  <conditionalFormatting sqref="H22:J24">
    <cfRule type="cellIs" dxfId="130" priority="3" operator="notEqual">
      <formula>0</formula>
    </cfRule>
  </conditionalFormatting>
  <conditionalFormatting sqref="J12:K12">
    <cfRule type="cellIs" dxfId="129" priority="1" operator="notEqual">
      <formula>0</formula>
    </cfRule>
  </conditionalFormatting>
  <pageMargins left="0.75" right="0.75" top="1" bottom="1" header="0.5" footer="0.5"/>
  <pageSetup paperSize="9" scale="97" orientation="portrait" horizontalDpi="300" verticalDpi="300" r:id="rId1"/>
  <ignoredErrors>
    <ignoredError sqref="K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M65"/>
  <sheetViews>
    <sheetView showGridLines="0" view="pageBreakPreview" zoomScale="85" zoomScaleNormal="100" zoomScaleSheetLayoutView="85" workbookViewId="0">
      <selection activeCell="C47" sqref="C47"/>
    </sheetView>
  </sheetViews>
  <sheetFormatPr defaultColWidth="9" defaultRowHeight="12" customHeight="1" outlineLevelRow="1"/>
  <cols>
    <col min="1" max="1" width="6.21875" style="15" customWidth="1"/>
    <col min="2" max="2" width="33.77734375" style="15" customWidth="1"/>
    <col min="3" max="3" width="7.6640625" style="74" customWidth="1"/>
    <col min="4" max="4" width="1.21875" style="491" customWidth="1"/>
    <col min="5" max="5" width="7.6640625" style="75" customWidth="1"/>
    <col min="6" max="6" width="7.77734375" style="74" bestFit="1" customWidth="1"/>
    <col min="7" max="7" width="7.77734375" style="15" bestFit="1" customWidth="1"/>
    <col min="8" max="8" width="7" style="15" bestFit="1" customWidth="1"/>
    <col min="9" max="9" width="1.21875" style="74" customWidth="1"/>
    <col min="10" max="10" width="7.6640625" style="70" customWidth="1"/>
    <col min="11" max="11" width="7.21875" style="15" bestFit="1" customWidth="1"/>
    <col min="12" max="12" width="7.77734375" style="15" bestFit="1" customWidth="1"/>
    <col min="13" max="13" width="3.77734375" style="491" customWidth="1"/>
    <col min="14" max="210" width="8" style="15" customWidth="1"/>
    <col min="211" max="301" width="9" style="15" customWidth="1"/>
    <col min="302" max="16384" width="9" style="15"/>
  </cols>
  <sheetData>
    <row r="1" spans="1:13" ht="21.75" customHeight="1">
      <c r="B1" s="53" t="s">
        <v>29</v>
      </c>
      <c r="C1" s="196"/>
      <c r="D1" s="486"/>
      <c r="E1" s="492"/>
      <c r="F1" s="491"/>
      <c r="G1" s="491"/>
      <c r="H1" s="491"/>
      <c r="I1" s="486"/>
      <c r="J1" s="492"/>
      <c r="K1" s="491"/>
      <c r="L1" s="491"/>
    </row>
    <row r="2" spans="1:13" ht="12" customHeight="1">
      <c r="B2" s="53"/>
      <c r="C2" s="164" t="s">
        <v>274</v>
      </c>
      <c r="D2" s="163"/>
      <c r="E2" s="226" t="s">
        <v>159</v>
      </c>
      <c r="F2" s="164" t="s">
        <v>152</v>
      </c>
      <c r="G2" s="164" t="s">
        <v>52</v>
      </c>
      <c r="H2" s="164" t="s">
        <v>53</v>
      </c>
      <c r="I2" s="163"/>
      <c r="J2" s="226" t="s">
        <v>54</v>
      </c>
      <c r="K2" s="226" t="s">
        <v>55</v>
      </c>
      <c r="L2" s="226" t="s">
        <v>56</v>
      </c>
      <c r="M2" s="164"/>
    </row>
    <row r="3" spans="1:13" ht="14.4">
      <c r="B3" s="421" t="s">
        <v>275</v>
      </c>
      <c r="C3" s="467" t="s">
        <v>25</v>
      </c>
      <c r="D3" s="466"/>
      <c r="E3" s="465" t="s">
        <v>25</v>
      </c>
      <c r="F3" s="467" t="s">
        <v>25</v>
      </c>
      <c r="G3" s="467" t="s">
        <v>25</v>
      </c>
      <c r="H3" s="467" t="s">
        <v>25</v>
      </c>
      <c r="I3" s="466"/>
      <c r="J3" s="465" t="s">
        <v>25</v>
      </c>
      <c r="K3" s="467" t="s">
        <v>25</v>
      </c>
      <c r="L3" s="467" t="s">
        <v>25</v>
      </c>
      <c r="M3" s="466"/>
    </row>
    <row r="4" spans="1:13" s="44" customFormat="1" ht="10.199999999999999">
      <c r="B4" s="422" t="s">
        <v>276</v>
      </c>
      <c r="C4" s="593">
        <v>2331</v>
      </c>
      <c r="D4" s="51"/>
      <c r="E4" s="640">
        <v>2343.9999999999982</v>
      </c>
      <c r="F4" s="640">
        <v>2445.0000000000009</v>
      </c>
      <c r="G4" s="640">
        <v>2360</v>
      </c>
      <c r="H4" s="593">
        <v>2258</v>
      </c>
      <c r="I4" s="51"/>
      <c r="J4" s="1228">
        <v>2296</v>
      </c>
      <c r="K4" s="1228">
        <v>2387.9999999999982</v>
      </c>
      <c r="L4" s="1228">
        <v>2190</v>
      </c>
      <c r="M4" s="51"/>
    </row>
    <row r="5" spans="1:13" s="44" customFormat="1" ht="10.199999999999999">
      <c r="B5" s="423" t="s">
        <v>277</v>
      </c>
      <c r="C5" s="1203">
        <v>3952</v>
      </c>
      <c r="D5" s="51"/>
      <c r="E5" s="641">
        <v>2956.9999999999995</v>
      </c>
      <c r="F5" s="641">
        <v>3095.9999999999995</v>
      </c>
      <c r="G5" s="641">
        <v>3178</v>
      </c>
      <c r="H5" s="1203">
        <v>2994</v>
      </c>
      <c r="I5" s="51"/>
      <c r="J5" s="1204">
        <v>2776.9999999999995</v>
      </c>
      <c r="K5" s="1204">
        <v>2741</v>
      </c>
      <c r="L5" s="1204">
        <v>3386</v>
      </c>
      <c r="M5" s="51"/>
    </row>
    <row r="6" spans="1:13" ht="11.4">
      <c r="B6" s="642" t="s">
        <v>278</v>
      </c>
      <c r="C6" s="1205">
        <v>6283</v>
      </c>
      <c r="D6" s="644"/>
      <c r="E6" s="643">
        <v>5300.9999999999936</v>
      </c>
      <c r="F6" s="643">
        <v>5540.9999999999982</v>
      </c>
      <c r="G6" s="643">
        <v>5537.9999999999982</v>
      </c>
      <c r="H6" s="1229">
        <v>5251.9999999999982</v>
      </c>
      <c r="I6" s="644"/>
      <c r="J6" s="1206">
        <v>5073</v>
      </c>
      <c r="K6" s="1206">
        <v>5128.9999999999973</v>
      </c>
      <c r="L6" s="1206">
        <v>5576</v>
      </c>
      <c r="M6" s="644"/>
    </row>
    <row r="7" spans="1:13" ht="12" customHeight="1">
      <c r="A7" s="21"/>
      <c r="B7" s="645" t="s">
        <v>243</v>
      </c>
      <c r="C7" s="1203">
        <v>-2114.9999999999995</v>
      </c>
      <c r="D7" s="51"/>
      <c r="E7" s="1230">
        <v>-522.99999999999977</v>
      </c>
      <c r="F7" s="1230">
        <v>-461.00000000000006</v>
      </c>
      <c r="G7" s="1230">
        <v>-480</v>
      </c>
      <c r="H7" s="1231">
        <v>-448.00000000000006</v>
      </c>
      <c r="I7" s="51"/>
      <c r="J7" s="1204">
        <v>-642.99999999999977</v>
      </c>
      <c r="K7" s="1204">
        <v>-254</v>
      </c>
      <c r="L7" s="1204">
        <v>-283</v>
      </c>
      <c r="M7" s="51"/>
    </row>
    <row r="8" spans="1:13" ht="12" customHeight="1">
      <c r="A8" s="21"/>
      <c r="B8" s="642" t="s">
        <v>244</v>
      </c>
      <c r="C8" s="1205">
        <v>4168</v>
      </c>
      <c r="D8" s="644"/>
      <c r="E8" s="643">
        <v>4777.9999999999955</v>
      </c>
      <c r="F8" s="643">
        <v>5079.9999999999991</v>
      </c>
      <c r="G8" s="643">
        <v>5058</v>
      </c>
      <c r="H8" s="1229">
        <v>4803.9999999999973</v>
      </c>
      <c r="I8" s="644"/>
      <c r="J8" s="1206">
        <v>4430</v>
      </c>
      <c r="K8" s="1206">
        <v>4874.9999999999964</v>
      </c>
      <c r="L8" s="1206">
        <v>5293</v>
      </c>
      <c r="M8" s="644"/>
    </row>
    <row r="9" spans="1:13" ht="15" customHeight="1">
      <c r="A9" s="21"/>
      <c r="B9" s="603" t="s">
        <v>279</v>
      </c>
      <c r="C9" s="1232">
        <v>-3253</v>
      </c>
      <c r="D9" s="51"/>
      <c r="E9" s="55">
        <v>-3308</v>
      </c>
      <c r="F9" s="55">
        <v>-3293</v>
      </c>
      <c r="G9" s="55">
        <v>-3501</v>
      </c>
      <c r="H9" s="1233">
        <v>-3257</v>
      </c>
      <c r="I9" s="51"/>
      <c r="J9" s="646">
        <v>-3624</v>
      </c>
      <c r="K9" s="646">
        <v>-3329</v>
      </c>
      <c r="L9" s="646">
        <v>-3310</v>
      </c>
      <c r="M9" s="646"/>
    </row>
    <row r="10" spans="1:13" ht="12" customHeight="1">
      <c r="A10" s="21"/>
      <c r="B10" s="645" t="s">
        <v>280</v>
      </c>
      <c r="C10" s="1203">
        <v>0</v>
      </c>
      <c r="D10" s="51"/>
      <c r="E10" s="1230">
        <v>-226.39999999999995</v>
      </c>
      <c r="F10" s="1230">
        <v>0</v>
      </c>
      <c r="G10" s="1230">
        <v>0</v>
      </c>
      <c r="H10" s="1231">
        <v>0</v>
      </c>
      <c r="I10" s="51"/>
      <c r="J10" s="1204">
        <v>-269</v>
      </c>
      <c r="K10" s="1204">
        <v>0</v>
      </c>
      <c r="L10" s="1204">
        <v>0</v>
      </c>
      <c r="M10" s="51"/>
    </row>
    <row r="11" spans="1:13" s="74" customFormat="1" ht="12" customHeight="1">
      <c r="A11" s="65"/>
      <c r="B11" s="642" t="s">
        <v>281</v>
      </c>
      <c r="C11" s="1205">
        <v>-3252.659146309999</v>
      </c>
      <c r="D11" s="644"/>
      <c r="E11" s="643">
        <v>-3533.7577428994509</v>
      </c>
      <c r="F11" s="643">
        <v>-3293</v>
      </c>
      <c r="G11" s="643">
        <v>-3501</v>
      </c>
      <c r="H11" s="1229">
        <v>-3257</v>
      </c>
      <c r="I11" s="644"/>
      <c r="J11" s="1206">
        <v>-3893</v>
      </c>
      <c r="K11" s="1206">
        <v>-3329.1488734769969</v>
      </c>
      <c r="L11" s="1206">
        <v>-3310</v>
      </c>
      <c r="M11" s="644"/>
    </row>
    <row r="12" spans="1:13" s="74" customFormat="1" ht="12" customHeight="1">
      <c r="A12" s="65"/>
      <c r="B12" s="603" t="s">
        <v>388</v>
      </c>
      <c r="C12" s="594">
        <v>0</v>
      </c>
      <c r="D12" s="51"/>
      <c r="E12" s="646">
        <v>0</v>
      </c>
      <c r="F12" s="646">
        <v>0</v>
      </c>
      <c r="G12" s="646">
        <v>0</v>
      </c>
      <c r="H12" s="1233">
        <v>0</v>
      </c>
      <c r="I12" s="51"/>
      <c r="J12" s="646">
        <v>-140</v>
      </c>
      <c r="K12" s="646">
        <v>0</v>
      </c>
      <c r="L12" s="646">
        <v>0</v>
      </c>
      <c r="M12" s="646"/>
    </row>
    <row r="13" spans="1:13" ht="12" customHeight="1" collapsed="1">
      <c r="A13" s="21"/>
      <c r="B13" s="645" t="s">
        <v>246</v>
      </c>
      <c r="C13" s="1203">
        <v>-10.340853690000001</v>
      </c>
      <c r="D13" s="51"/>
      <c r="E13" s="1230">
        <v>-167.2422571005533</v>
      </c>
      <c r="F13" s="1230">
        <v>-1568</v>
      </c>
      <c r="G13" s="1230">
        <v>-52.709985410000002</v>
      </c>
      <c r="H13" s="1231">
        <v>-60.842181400000001</v>
      </c>
      <c r="I13" s="51"/>
      <c r="J13" s="1204">
        <v>-60</v>
      </c>
      <c r="K13" s="1204">
        <v>-104.85112652299999</v>
      </c>
      <c r="L13" s="1204">
        <v>-81</v>
      </c>
      <c r="M13" s="51"/>
    </row>
    <row r="14" spans="1:13" ht="12" customHeight="1">
      <c r="A14" s="21"/>
      <c r="B14" s="642" t="s">
        <v>247</v>
      </c>
      <c r="C14" s="1205">
        <v>-3262.9999999999991</v>
      </c>
      <c r="D14" s="644"/>
      <c r="E14" s="1206">
        <v>-3701.0000000000041</v>
      </c>
      <c r="F14" s="1206">
        <v>-4861.0000008400011</v>
      </c>
      <c r="G14" s="1206">
        <v>-3553.9999999999941</v>
      </c>
      <c r="H14" s="1229">
        <v>-3317.9999999999991</v>
      </c>
      <c r="I14" s="644"/>
      <c r="J14" s="1206">
        <v>-4093.0000000000005</v>
      </c>
      <c r="K14" s="1206">
        <v>-3433.9999999999968</v>
      </c>
      <c r="L14" s="1206">
        <v>-3391</v>
      </c>
      <c r="M14" s="644"/>
    </row>
    <row r="15" spans="1:13" ht="12" customHeight="1">
      <c r="A15" s="21"/>
      <c r="B15" s="645" t="s">
        <v>283</v>
      </c>
      <c r="C15" s="1203">
        <v>7.9999999999993685</v>
      </c>
      <c r="D15" s="51"/>
      <c r="E15" s="1230">
        <v>20.000000000003162</v>
      </c>
      <c r="F15" s="1230">
        <v>26.999999999999204</v>
      </c>
      <c r="G15" s="1230">
        <v>26.999999999999034</v>
      </c>
      <c r="H15" s="1231">
        <v>-3.0000000000002438</v>
      </c>
      <c r="I15" s="51"/>
      <c r="J15" s="1204">
        <v>37</v>
      </c>
      <c r="K15" s="1204">
        <v>20.000000000000007</v>
      </c>
      <c r="L15" s="1204">
        <v>-7</v>
      </c>
      <c r="M15" s="51"/>
    </row>
    <row r="16" spans="1:13" s="8" customFormat="1" ht="12" customHeight="1">
      <c r="A16" s="23"/>
      <c r="B16" s="642" t="s">
        <v>312</v>
      </c>
      <c r="C16" s="1205">
        <v>913.00000000000091</v>
      </c>
      <c r="D16" s="644"/>
      <c r="E16" s="643">
        <v>1096.9999999999925</v>
      </c>
      <c r="F16" s="643">
        <v>245.99999916000081</v>
      </c>
      <c r="G16" s="643">
        <v>1531.0000000000045</v>
      </c>
      <c r="H16" s="1229">
        <v>1483.0000000000002</v>
      </c>
      <c r="I16" s="644"/>
      <c r="J16" s="1206">
        <v>374</v>
      </c>
      <c r="K16" s="1206">
        <v>1460.9999999999968</v>
      </c>
      <c r="L16" s="1206">
        <v>1895</v>
      </c>
      <c r="M16" s="644"/>
    </row>
    <row r="17" spans="1:13" s="8" customFormat="1" ht="12" customHeight="1">
      <c r="A17" s="23"/>
      <c r="B17" s="645" t="s">
        <v>387</v>
      </c>
      <c r="C17" s="1203">
        <v>-70.999999999999773</v>
      </c>
      <c r="D17" s="51"/>
      <c r="E17" s="1230">
        <v>-189.00000000000003</v>
      </c>
      <c r="F17" s="1230">
        <v>-269.0000004000002</v>
      </c>
      <c r="G17" s="1230">
        <v>-296.99999999999886</v>
      </c>
      <c r="H17" s="1231">
        <v>-248.00000000000006</v>
      </c>
      <c r="I17" s="51"/>
      <c r="J17" s="1204">
        <v>-75</v>
      </c>
      <c r="K17" s="1204">
        <v>-192</v>
      </c>
      <c r="L17" s="1204">
        <v>-386</v>
      </c>
      <c r="M17" s="51"/>
    </row>
    <row r="18" spans="1:13" s="8" customFormat="1" ht="11.4">
      <c r="A18" s="23"/>
      <c r="B18" s="642" t="s">
        <v>284</v>
      </c>
      <c r="C18" s="1205">
        <v>842.00000000000068</v>
      </c>
      <c r="D18" s="644"/>
      <c r="E18" s="643">
        <v>907.99999999999295</v>
      </c>
      <c r="F18" s="643">
        <v>-23.000001239999516</v>
      </c>
      <c r="G18" s="643">
        <v>1234.0000000000055</v>
      </c>
      <c r="H18" s="1229">
        <v>1235.0000000000002</v>
      </c>
      <c r="I18" s="644"/>
      <c r="J18" s="1206">
        <v>299</v>
      </c>
      <c r="K18" s="1206">
        <v>1269</v>
      </c>
      <c r="L18" s="1206">
        <v>1509</v>
      </c>
      <c r="M18" s="644"/>
    </row>
    <row r="19" spans="1:13" ht="10.199999999999999">
      <c r="A19" s="21"/>
      <c r="B19" s="603" t="s">
        <v>251</v>
      </c>
      <c r="C19" s="594">
        <v>-16.000000000000096</v>
      </c>
      <c r="D19" s="51"/>
      <c r="E19" s="52">
        <v>-41.999999999999865</v>
      </c>
      <c r="F19" s="52">
        <v>-4.0000000000003206</v>
      </c>
      <c r="G19" s="52">
        <v>-17.000000000000146</v>
      </c>
      <c r="H19" s="1234">
        <v>-17.000000000000099</v>
      </c>
      <c r="I19" s="51"/>
      <c r="J19" s="51">
        <v>-83</v>
      </c>
      <c r="K19" s="51">
        <v>-43</v>
      </c>
      <c r="L19" s="51">
        <v>-55</v>
      </c>
      <c r="M19" s="51"/>
    </row>
    <row r="20" spans="1:13" ht="12" customHeight="1">
      <c r="A20" s="21"/>
      <c r="B20" s="645" t="s">
        <v>252</v>
      </c>
      <c r="C20" s="1203">
        <v>-221</v>
      </c>
      <c r="D20" s="51"/>
      <c r="E20" s="1230">
        <v>-185</v>
      </c>
      <c r="F20" s="1230">
        <v>-265</v>
      </c>
      <c r="G20" s="1230">
        <v>-183</v>
      </c>
      <c r="H20" s="1231">
        <v>-180</v>
      </c>
      <c r="I20" s="51"/>
      <c r="J20" s="1204">
        <v>-230</v>
      </c>
      <c r="K20" s="1204">
        <v>-176</v>
      </c>
      <c r="L20" s="1204">
        <v>-175</v>
      </c>
      <c r="M20" s="51"/>
    </row>
    <row r="21" spans="1:13" ht="12.75" customHeight="1">
      <c r="A21" s="21"/>
      <c r="B21" s="642" t="s">
        <v>389</v>
      </c>
      <c r="C21" s="1205">
        <v>605.00000000000045</v>
      </c>
      <c r="D21" s="644"/>
      <c r="E21" s="643">
        <v>680.99999999999511</v>
      </c>
      <c r="F21" s="643">
        <v>-292.00000123999956</v>
      </c>
      <c r="G21" s="643">
        <v>1034.0000000000052</v>
      </c>
      <c r="H21" s="1229">
        <v>1038</v>
      </c>
      <c r="I21" s="644"/>
      <c r="J21" s="1206">
        <v>-14</v>
      </c>
      <c r="K21" s="1206">
        <v>1050</v>
      </c>
      <c r="L21" s="1206">
        <v>1279</v>
      </c>
      <c r="M21" s="644"/>
    </row>
    <row r="22" spans="1:13" ht="12" customHeight="1">
      <c r="A22" s="21"/>
      <c r="B22" s="603"/>
      <c r="C22" s="626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ht="12" customHeight="1">
      <c r="A23" s="21"/>
      <c r="B23" s="604" t="s">
        <v>254</v>
      </c>
      <c r="C23" s="973"/>
      <c r="D23" s="974"/>
      <c r="E23" s="973"/>
      <c r="F23" s="973"/>
      <c r="G23" s="973"/>
      <c r="H23" s="973"/>
      <c r="I23" s="974"/>
      <c r="J23" s="973"/>
      <c r="K23" s="973"/>
      <c r="L23" s="973"/>
      <c r="M23" s="461"/>
    </row>
    <row r="24" spans="1:13" ht="12" customHeight="1">
      <c r="A24" s="21"/>
      <c r="B24" s="603" t="s">
        <v>255</v>
      </c>
      <c r="C24" s="933">
        <v>5.0999999999999997E-2</v>
      </c>
      <c r="D24" s="934"/>
      <c r="E24" s="934">
        <v>5.8999999999999997E-2</v>
      </c>
      <c r="F24" s="934">
        <v>-2.4E-2</v>
      </c>
      <c r="G24" s="934">
        <v>0.09</v>
      </c>
      <c r="H24" s="933">
        <v>9.1999999999999998E-2</v>
      </c>
      <c r="I24" s="934"/>
      <c r="J24" s="935">
        <v>-1E-3</v>
      </c>
      <c r="K24" s="935">
        <v>9.4E-2</v>
      </c>
      <c r="L24" s="935">
        <v>0.11799999999999999</v>
      </c>
      <c r="M24" s="433"/>
    </row>
    <row r="25" spans="1:13" ht="12" customHeight="1">
      <c r="A25" s="21"/>
      <c r="B25" s="603" t="s">
        <v>256</v>
      </c>
      <c r="C25" s="608">
        <v>46994.626145163187</v>
      </c>
      <c r="D25" s="59"/>
      <c r="E25" s="59">
        <v>46426.648156494761</v>
      </c>
      <c r="F25" s="59">
        <v>48351.200822340623</v>
      </c>
      <c r="G25" s="59">
        <v>46207.655399750045</v>
      </c>
      <c r="H25" s="608">
        <v>45246.744312008959</v>
      </c>
      <c r="I25" s="59"/>
      <c r="J25" s="616">
        <v>44300</v>
      </c>
      <c r="K25" s="616">
        <v>44645.617327976135</v>
      </c>
      <c r="L25" s="616">
        <v>43500</v>
      </c>
      <c r="M25" s="616"/>
    </row>
    <row r="26" spans="1:13" ht="12" customHeight="1">
      <c r="A26" s="21"/>
      <c r="B26" s="603" t="s">
        <v>257</v>
      </c>
      <c r="C26" s="936">
        <v>0.52</v>
      </c>
      <c r="D26" s="937"/>
      <c r="E26" s="937">
        <v>0.7</v>
      </c>
      <c r="F26" s="937">
        <v>0.88</v>
      </c>
      <c r="G26" s="937">
        <v>0.64</v>
      </c>
      <c r="H26" s="936">
        <v>0.63</v>
      </c>
      <c r="I26" s="937"/>
      <c r="J26" s="938">
        <v>0.81</v>
      </c>
      <c r="K26" s="938">
        <v>0.67</v>
      </c>
      <c r="L26" s="938">
        <v>0.61</v>
      </c>
      <c r="M26" s="456"/>
    </row>
    <row r="27" spans="1:13" ht="12" customHeight="1">
      <c r="A27" s="21"/>
      <c r="B27" s="603" t="s">
        <v>258</v>
      </c>
      <c r="C27" s="1235">
        <v>222.5850479430232</v>
      </c>
      <c r="D27" s="1236"/>
      <c r="E27" s="1236">
        <v>59.902287217986668</v>
      </c>
      <c r="F27" s="1236">
        <v>51.895365747620104</v>
      </c>
      <c r="G27" s="1236">
        <v>55.934860033153463</v>
      </c>
      <c r="H27" s="1235">
        <v>54</v>
      </c>
      <c r="I27" s="1236"/>
      <c r="J27" s="647">
        <v>77</v>
      </c>
      <c r="K27" s="647">
        <v>30</v>
      </c>
      <c r="L27" s="647">
        <v>35</v>
      </c>
      <c r="M27" s="647"/>
    </row>
    <row r="28" spans="1:13" ht="12" customHeight="1">
      <c r="A28" s="21"/>
      <c r="B28" s="603" t="s">
        <v>285</v>
      </c>
      <c r="C28" s="1237">
        <v>3.5015356684643533</v>
      </c>
      <c r="D28" s="1238"/>
      <c r="E28" s="1238">
        <v>3.9476246664344021</v>
      </c>
      <c r="F28" s="1238">
        <v>-1.6984588107283733</v>
      </c>
      <c r="G28" s="1238">
        <v>6.0194272473910591</v>
      </c>
      <c r="H28" s="1239">
        <v>6.0663075467145129</v>
      </c>
      <c r="I28" s="1238"/>
      <c r="J28" s="648">
        <v>-8.1404376592045913E-2</v>
      </c>
      <c r="K28" s="648">
        <v>6.1448975247925341</v>
      </c>
      <c r="L28" s="648">
        <v>7.5</v>
      </c>
      <c r="M28" s="648"/>
    </row>
    <row r="29" spans="1:13" s="74" customFormat="1" ht="12" customHeight="1">
      <c r="A29" s="65"/>
      <c r="B29" s="603"/>
      <c r="C29" s="626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3" ht="28.8">
      <c r="A30" s="20"/>
      <c r="B30" s="604" t="s">
        <v>36</v>
      </c>
      <c r="C30" s="972" t="s">
        <v>25</v>
      </c>
      <c r="D30" s="971"/>
      <c r="E30" s="972" t="s">
        <v>25</v>
      </c>
      <c r="F30" s="972" t="s">
        <v>25</v>
      </c>
      <c r="G30" s="972" t="s">
        <v>25</v>
      </c>
      <c r="H30" s="970" t="s">
        <v>25</v>
      </c>
      <c r="I30" s="971"/>
      <c r="J30" s="970" t="s">
        <v>25</v>
      </c>
      <c r="K30" s="970" t="s">
        <v>25</v>
      </c>
      <c r="L30" s="970" t="s">
        <v>25</v>
      </c>
      <c r="M30" s="436"/>
    </row>
    <row r="31" spans="1:13" ht="12" customHeight="1">
      <c r="A31" s="74"/>
      <c r="B31" s="605" t="s">
        <v>261</v>
      </c>
      <c r="C31" s="877">
        <v>923.34085369000093</v>
      </c>
      <c r="D31" s="878"/>
      <c r="E31" s="879">
        <v>1264.2422571005459</v>
      </c>
      <c r="F31" s="879">
        <v>1814</v>
      </c>
      <c r="G31" s="880">
        <v>1583.7099854100045</v>
      </c>
      <c r="H31" s="877">
        <v>1544</v>
      </c>
      <c r="I31" s="878"/>
      <c r="J31" s="879">
        <v>434</v>
      </c>
      <c r="K31" s="879">
        <v>1565.8511265229968</v>
      </c>
      <c r="L31" s="879">
        <v>1976</v>
      </c>
      <c r="M31" s="462"/>
    </row>
    <row r="32" spans="1:13" ht="12" customHeight="1">
      <c r="A32" s="74"/>
      <c r="B32" s="603" t="s">
        <v>262</v>
      </c>
      <c r="C32" s="881">
        <v>604.40093683284044</v>
      </c>
      <c r="D32" s="878"/>
      <c r="E32" s="975">
        <v>803.25437334593903</v>
      </c>
      <c r="F32" s="975">
        <v>1232.8385660806596</v>
      </c>
      <c r="G32" s="878">
        <v>1074.4374495209734</v>
      </c>
      <c r="H32" s="881">
        <v>1084</v>
      </c>
      <c r="I32" s="878"/>
      <c r="J32" s="975">
        <v>48</v>
      </c>
      <c r="K32" s="975">
        <v>1135</v>
      </c>
      <c r="L32" s="975">
        <v>1338</v>
      </c>
      <c r="M32" s="462"/>
    </row>
    <row r="33" spans="1:13" ht="12" customHeight="1">
      <c r="A33" s="74"/>
      <c r="B33" s="649" t="s">
        <v>255</v>
      </c>
      <c r="C33" s="933">
        <v>5.0999999999999997E-2</v>
      </c>
      <c r="D33" s="934"/>
      <c r="E33" s="935">
        <v>6.9000000000000006E-2</v>
      </c>
      <c r="F33" s="935">
        <v>0.10199999999999999</v>
      </c>
      <c r="G33" s="934">
        <v>9.2999999999999999E-2</v>
      </c>
      <c r="H33" s="933">
        <v>9.6000000000000002E-2</v>
      </c>
      <c r="I33" s="934"/>
      <c r="J33" s="935">
        <v>4.0000000000000001E-3</v>
      </c>
      <c r="K33" s="935">
        <v>0.10199999999999999</v>
      </c>
      <c r="L33" s="935">
        <v>0.123</v>
      </c>
      <c r="M33" s="433"/>
    </row>
    <row r="34" spans="1:13" ht="12" customHeight="1">
      <c r="A34" s="74"/>
      <c r="B34" s="603" t="s">
        <v>257</v>
      </c>
      <c r="C34" s="936">
        <v>0.52</v>
      </c>
      <c r="D34" s="937"/>
      <c r="E34" s="938">
        <v>0.67</v>
      </c>
      <c r="F34" s="938">
        <v>0.59</v>
      </c>
      <c r="G34" s="937">
        <v>0.63</v>
      </c>
      <c r="H34" s="936">
        <v>0.62</v>
      </c>
      <c r="I34" s="937"/>
      <c r="J34" s="938">
        <v>0.79</v>
      </c>
      <c r="K34" s="938">
        <v>0.65</v>
      </c>
      <c r="L34" s="938">
        <v>0.59</v>
      </c>
      <c r="M34" s="456"/>
    </row>
    <row r="35" spans="1:13" ht="12" customHeight="1">
      <c r="A35" s="74"/>
      <c r="B35" s="603" t="s">
        <v>259</v>
      </c>
      <c r="C35" s="822">
        <v>3.4980684931792716</v>
      </c>
      <c r="D35" s="823"/>
      <c r="E35" s="824">
        <v>4.6700247093398524</v>
      </c>
      <c r="F35" s="824">
        <v>7.1709777940870589</v>
      </c>
      <c r="G35" s="823">
        <v>6.2548337130211502</v>
      </c>
      <c r="H35" s="822">
        <v>6.33</v>
      </c>
      <c r="I35" s="823"/>
      <c r="J35" s="824">
        <v>0.3</v>
      </c>
      <c r="K35" s="824">
        <v>6.6358917865273961</v>
      </c>
      <c r="L35" s="824">
        <v>7.84</v>
      </c>
      <c r="M35" s="424"/>
    </row>
    <row r="36" spans="1:13" s="74" customFormat="1" ht="12" customHeight="1">
      <c r="B36" s="603"/>
      <c r="C36" s="1240"/>
      <c r="D36" s="51"/>
      <c r="E36" s="51"/>
      <c r="F36" s="51"/>
      <c r="G36" s="51"/>
      <c r="H36" s="51"/>
      <c r="I36" s="51"/>
      <c r="J36" s="51"/>
      <c r="K36" s="51"/>
      <c r="L36" s="51"/>
      <c r="M36" s="51"/>
    </row>
    <row r="37" spans="1:13" s="8" customFormat="1" ht="15" customHeight="1">
      <c r="A37" s="23"/>
      <c r="B37" s="650" t="s">
        <v>393</v>
      </c>
      <c r="C37" s="970" t="s">
        <v>263</v>
      </c>
      <c r="D37" s="156"/>
      <c r="E37" s="1241" t="s">
        <v>263</v>
      </c>
      <c r="F37" s="1241" t="s">
        <v>263</v>
      </c>
      <c r="G37" s="1241" t="s">
        <v>263</v>
      </c>
      <c r="H37" s="1241" t="s">
        <v>263</v>
      </c>
      <c r="I37" s="156"/>
      <c r="J37" s="619" t="s">
        <v>263</v>
      </c>
      <c r="K37" s="619" t="s">
        <v>263</v>
      </c>
      <c r="L37" s="619" t="s">
        <v>263</v>
      </c>
      <c r="M37" s="156"/>
    </row>
    <row r="38" spans="1:13" ht="12" customHeight="1">
      <c r="A38" s="21"/>
      <c r="B38" s="605" t="s">
        <v>286</v>
      </c>
      <c r="C38" s="606">
        <v>1444297</v>
      </c>
      <c r="D38" s="56"/>
      <c r="E38" s="1242">
        <v>1140174.1410400004</v>
      </c>
      <c r="F38" s="1242">
        <v>1290351.9999486008</v>
      </c>
      <c r="G38" s="1242">
        <v>1232823.0000000009</v>
      </c>
      <c r="H38" s="1243">
        <v>1193542.9999999998</v>
      </c>
      <c r="I38" s="56"/>
      <c r="J38" s="620">
        <v>1133283.0000000002</v>
      </c>
      <c r="K38" s="620">
        <v>1170775.9999999995</v>
      </c>
      <c r="L38" s="620">
        <v>1149600</v>
      </c>
      <c r="M38" s="601"/>
    </row>
    <row r="39" spans="1:13" s="74" customFormat="1" ht="12" customHeight="1">
      <c r="A39" s="65"/>
      <c r="B39" s="603" t="s">
        <v>264</v>
      </c>
      <c r="C39" s="1244">
        <v>284.38013031201712</v>
      </c>
      <c r="D39" s="56"/>
      <c r="E39" s="1245">
        <v>262.31927291608173</v>
      </c>
      <c r="F39" s="1245">
        <v>273.72959582143358</v>
      </c>
      <c r="G39" s="1245">
        <v>275</v>
      </c>
      <c r="H39" s="1244">
        <v>266</v>
      </c>
      <c r="I39" s="56"/>
      <c r="J39" s="1245">
        <v>262</v>
      </c>
      <c r="K39" s="1245">
        <v>260</v>
      </c>
      <c r="L39" s="1245">
        <v>259</v>
      </c>
      <c r="M39" s="601"/>
    </row>
    <row r="40" spans="1:13" s="74" customFormat="1" ht="12" customHeight="1">
      <c r="A40" s="65"/>
      <c r="B40" s="651" t="s">
        <v>265</v>
      </c>
      <c r="C40" s="933">
        <v>0.13100000000000001</v>
      </c>
      <c r="D40" s="616"/>
      <c r="E40" s="652">
        <v>0.13800000000000001</v>
      </c>
      <c r="F40" s="652">
        <v>0.13400000000000001</v>
      </c>
      <c r="G40" s="652">
        <v>0.13400000000000001</v>
      </c>
      <c r="H40" s="1225">
        <v>0.13</v>
      </c>
      <c r="I40" s="616"/>
      <c r="J40" s="652">
        <v>0.13200000000000001</v>
      </c>
      <c r="K40" s="652">
        <v>0.13200000000000001</v>
      </c>
      <c r="L40" s="652">
        <v>0.13</v>
      </c>
      <c r="M40" s="652"/>
    </row>
    <row r="41" spans="1:13" s="74" customFormat="1" ht="12" customHeight="1">
      <c r="A41" s="65"/>
      <c r="B41" s="603" t="s">
        <v>266</v>
      </c>
      <c r="C41" s="1246">
        <v>42484</v>
      </c>
      <c r="D41" s="601"/>
      <c r="E41" s="601">
        <v>40813.416064523692</v>
      </c>
      <c r="F41" s="601">
        <v>41875.679679169036</v>
      </c>
      <c r="G41" s="601">
        <v>42888</v>
      </c>
      <c r="H41" s="1246">
        <v>41400</v>
      </c>
      <c r="I41" s="601"/>
      <c r="J41" s="601">
        <v>41100</v>
      </c>
      <c r="K41" s="601">
        <v>41700</v>
      </c>
      <c r="L41" s="601">
        <v>41400</v>
      </c>
      <c r="M41" s="601"/>
    </row>
    <row r="42" spans="1:13" s="74" customFormat="1" ht="12" customHeight="1">
      <c r="A42" s="65"/>
      <c r="B42" s="603" t="s">
        <v>267</v>
      </c>
      <c r="C42" s="608">
        <v>325631</v>
      </c>
      <c r="D42" s="56"/>
      <c r="E42" s="56">
        <v>295131.09335281386</v>
      </c>
      <c r="F42" s="56">
        <v>313261</v>
      </c>
      <c r="G42" s="56">
        <v>319107</v>
      </c>
      <c r="H42" s="1246">
        <v>319670.58326095581</v>
      </c>
      <c r="I42" s="56"/>
      <c r="J42" s="601">
        <v>311925.00000000012</v>
      </c>
      <c r="K42" s="601">
        <v>316167</v>
      </c>
      <c r="L42" s="601">
        <v>319300</v>
      </c>
      <c r="M42" s="601"/>
    </row>
    <row r="43" spans="1:13" s="74" customFormat="1" ht="12" customHeight="1">
      <c r="A43" s="65"/>
      <c r="B43" s="603" t="s">
        <v>268</v>
      </c>
      <c r="C43" s="1225">
        <v>4.4999999999999998E-2</v>
      </c>
      <c r="D43" s="601"/>
      <c r="E43" s="653">
        <v>4.4999999999999998E-2</v>
      </c>
      <c r="F43" s="653">
        <v>4.5999999999999999E-2</v>
      </c>
      <c r="G43" s="653">
        <v>4.7E-2</v>
      </c>
      <c r="H43" s="1247">
        <v>4.5999999999999999E-2</v>
      </c>
      <c r="I43" s="601"/>
      <c r="J43" s="653">
        <v>4.4999999999999998E-2</v>
      </c>
      <c r="K43" s="653">
        <v>4.5999999999999999E-2</v>
      </c>
      <c r="L43" s="653">
        <v>4.5999999999999999E-2</v>
      </c>
      <c r="M43" s="653"/>
    </row>
    <row r="44" spans="1:13" s="74" customFormat="1" ht="12" customHeight="1">
      <c r="A44" s="65"/>
      <c r="B44" s="603" t="s">
        <v>287</v>
      </c>
      <c r="C44" s="608">
        <v>1176200</v>
      </c>
      <c r="D44" s="56"/>
      <c r="E44" s="56">
        <v>1142800</v>
      </c>
      <c r="F44" s="56">
        <v>1171200</v>
      </c>
      <c r="G44" s="56">
        <v>1134600</v>
      </c>
      <c r="H44" s="1246">
        <v>1105500</v>
      </c>
      <c r="I44" s="56"/>
      <c r="J44" s="601">
        <v>1110000</v>
      </c>
      <c r="K44" s="601">
        <v>1119000</v>
      </c>
      <c r="L44" s="601">
        <v>1081800</v>
      </c>
      <c r="M44" s="601"/>
    </row>
    <row r="45" spans="1:13" s="74" customFormat="1" ht="12" customHeight="1">
      <c r="A45" s="65"/>
      <c r="B45" s="603" t="s">
        <v>269</v>
      </c>
      <c r="C45" s="1225">
        <v>4.4999999999999998E-2</v>
      </c>
      <c r="D45" s="601"/>
      <c r="E45" s="653">
        <v>5.0999999999999997E-2</v>
      </c>
      <c r="F45" s="653">
        <v>4.8000000000000001E-2</v>
      </c>
      <c r="G45" s="653">
        <v>5.0999999999999997E-2</v>
      </c>
      <c r="H45" s="1247">
        <v>4.9000000000000002E-2</v>
      </c>
      <c r="I45" s="601"/>
      <c r="J45" s="653">
        <v>5.0999999999999997E-2</v>
      </c>
      <c r="K45" s="653">
        <v>4.9000000000000002E-2</v>
      </c>
      <c r="L45" s="653">
        <v>4.9000000000000002E-2</v>
      </c>
      <c r="M45" s="653"/>
    </row>
    <row r="46" spans="1:13" ht="12" customHeight="1">
      <c r="A46" s="21"/>
      <c r="B46" s="603" t="s">
        <v>288</v>
      </c>
      <c r="C46" s="608">
        <v>1178700</v>
      </c>
      <c r="D46" s="601"/>
      <c r="E46" s="601">
        <v>1007700</v>
      </c>
      <c r="F46" s="601">
        <v>1099800</v>
      </c>
      <c r="G46" s="601">
        <v>1079400</v>
      </c>
      <c r="H46" s="1246">
        <v>1065000</v>
      </c>
      <c r="I46" s="601"/>
      <c r="J46" s="601">
        <v>998600</v>
      </c>
      <c r="K46" s="601">
        <v>1063500</v>
      </c>
      <c r="L46" s="601">
        <v>1030100</v>
      </c>
      <c r="M46" s="601"/>
    </row>
    <row r="47" spans="1:13" s="74" customFormat="1" ht="12" customHeight="1">
      <c r="A47" s="65"/>
      <c r="B47" s="603"/>
      <c r="C47" s="616"/>
      <c r="D47" s="601"/>
      <c r="E47" s="601"/>
      <c r="F47" s="601"/>
      <c r="G47" s="601"/>
      <c r="H47" s="601"/>
      <c r="I47" s="601"/>
      <c r="J47" s="601"/>
      <c r="K47" s="601"/>
      <c r="L47" s="601"/>
      <c r="M47" s="601"/>
    </row>
    <row r="48" spans="1:13" s="74" customFormat="1" ht="14.25" customHeight="1">
      <c r="A48" s="65"/>
      <c r="B48" s="650" t="s">
        <v>270</v>
      </c>
      <c r="C48" s="1248"/>
      <c r="D48" s="601"/>
      <c r="E48" s="1249"/>
      <c r="F48" s="1249"/>
      <c r="G48" s="1249"/>
      <c r="H48" s="1249"/>
      <c r="I48" s="601"/>
      <c r="J48" s="1249"/>
      <c r="K48" s="1249"/>
      <c r="L48" s="1249"/>
      <c r="M48" s="601"/>
    </row>
    <row r="49" spans="1:13" s="74" customFormat="1" ht="12" customHeight="1">
      <c r="A49" s="65"/>
      <c r="B49" s="605" t="s">
        <v>271</v>
      </c>
      <c r="C49" s="1250">
        <v>237000</v>
      </c>
      <c r="D49" s="56"/>
      <c r="E49" s="1251">
        <v>211000</v>
      </c>
      <c r="F49" s="1251">
        <v>226000</v>
      </c>
      <c r="G49" s="1251">
        <v>238000</v>
      </c>
      <c r="H49" s="1252">
        <v>232000</v>
      </c>
      <c r="I49" s="56"/>
      <c r="J49" s="1253">
        <v>227000</v>
      </c>
      <c r="K49" s="1253">
        <v>213000</v>
      </c>
      <c r="L49" s="1253">
        <v>214000</v>
      </c>
      <c r="M49" s="728"/>
    </row>
    <row r="50" spans="1:13" ht="12" customHeight="1">
      <c r="A50" s="21"/>
      <c r="B50" s="603" t="s">
        <v>272</v>
      </c>
      <c r="C50" s="1211">
        <v>1.55</v>
      </c>
      <c r="D50" s="56"/>
      <c r="E50" s="1254">
        <v>1.6</v>
      </c>
      <c r="F50" s="1254">
        <v>1.51</v>
      </c>
      <c r="G50" s="1254">
        <v>1.56</v>
      </c>
      <c r="H50" s="1255">
        <v>1.6</v>
      </c>
      <c r="I50" s="56"/>
      <c r="J50" s="654">
        <v>1.69</v>
      </c>
      <c r="K50" s="654">
        <v>1.61</v>
      </c>
      <c r="L50" s="654">
        <v>1.54</v>
      </c>
      <c r="M50" s="654"/>
    </row>
    <row r="51" spans="1:13" ht="12" customHeight="1">
      <c r="A51" s="65"/>
      <c r="B51" s="603" t="s">
        <v>273</v>
      </c>
      <c r="C51" s="1211">
        <v>0.79</v>
      </c>
      <c r="D51" s="601"/>
      <c r="E51" s="1254">
        <v>0.82</v>
      </c>
      <c r="F51" s="1254">
        <v>0.82</v>
      </c>
      <c r="G51" s="654">
        <v>0.82</v>
      </c>
      <c r="H51" s="1255">
        <v>0.8</v>
      </c>
      <c r="I51" s="601"/>
      <c r="J51" s="654">
        <v>0.83</v>
      </c>
      <c r="K51" s="654">
        <v>0.83</v>
      </c>
      <c r="L51" s="654">
        <v>0.83</v>
      </c>
      <c r="M51" s="654"/>
    </row>
    <row r="52" spans="1:13" ht="12" customHeight="1">
      <c r="A52" s="74"/>
    </row>
    <row r="57" spans="1:13" ht="10.199999999999999">
      <c r="A57" s="491"/>
      <c r="B57" s="491"/>
      <c r="C57" s="491"/>
      <c r="E57" s="491"/>
      <c r="F57" s="491"/>
      <c r="G57" s="491"/>
    </row>
    <row r="60" spans="1:13" ht="12" hidden="1" customHeight="1" outlineLevel="1">
      <c r="K60" s="491"/>
    </row>
    <row r="61" spans="1:13" ht="12" customHeight="1" collapsed="1">
      <c r="K61" s="491"/>
    </row>
    <row r="62" spans="1:13" ht="12" hidden="1" customHeight="1" outlineLevel="1">
      <c r="K62" s="491"/>
    </row>
    <row r="63" spans="1:13" s="237" customFormat="1" ht="12" customHeight="1" collapsed="1">
      <c r="D63" s="491"/>
      <c r="E63" s="236"/>
      <c r="J63" s="70"/>
      <c r="K63" s="491"/>
      <c r="M63" s="491"/>
    </row>
    <row r="64" spans="1:13" ht="12" customHeight="1">
      <c r="K64" s="491"/>
    </row>
    <row r="65" spans="11:11" ht="12" customHeight="1">
      <c r="K65" s="491"/>
    </row>
  </sheetData>
  <pageMargins left="0.74803149606299213" right="0.74803149606299213" top="0.98425196850393704" bottom="0.98425196850393704" header="0.51181102362204722" footer="0.51181102362204722"/>
  <pageSetup paperSize="9" scale="9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76"/>
  <sheetViews>
    <sheetView showGridLines="0" view="pageBreakPreview" zoomScale="85" zoomScaleNormal="100" zoomScaleSheetLayoutView="85" workbookViewId="0">
      <selection activeCell="C47" sqref="C47"/>
    </sheetView>
  </sheetViews>
  <sheetFormatPr defaultColWidth="9" defaultRowHeight="12" customHeight="1" outlineLevelRow="1"/>
  <cols>
    <col min="1" max="1" width="7" style="15" customWidth="1"/>
    <col min="2" max="2" width="36.6640625" style="15" customWidth="1"/>
    <col min="3" max="3" width="7.21875" style="74" customWidth="1"/>
    <col min="4" max="4" width="1.77734375" style="491" customWidth="1"/>
    <col min="5" max="5" width="7.21875" style="75" customWidth="1"/>
    <col min="6" max="6" width="7.21875" style="74" customWidth="1"/>
    <col min="7" max="8" width="7.21875" style="15" customWidth="1"/>
    <col min="9" max="9" width="1.77734375" style="74" customWidth="1"/>
    <col min="10" max="10" width="7.21875" style="75" customWidth="1"/>
    <col min="11" max="12" width="7.21875" style="15" customWidth="1"/>
    <col min="13" max="13" width="7.21875" style="491" customWidth="1"/>
    <col min="14" max="186" width="8" style="15" customWidth="1"/>
    <col min="187" max="16384" width="9" style="15"/>
  </cols>
  <sheetData>
    <row r="1" spans="1:13" ht="12" customHeight="1">
      <c r="A1" s="5"/>
      <c r="B1" s="5"/>
      <c r="C1" s="75"/>
      <c r="D1" s="486"/>
      <c r="F1" s="75"/>
      <c r="G1" s="5"/>
      <c r="H1" s="5"/>
      <c r="I1" s="75"/>
      <c r="K1" s="5"/>
      <c r="L1" s="5"/>
      <c r="M1" s="486"/>
    </row>
    <row r="2" spans="1:13" ht="17.25" customHeight="1">
      <c r="B2" s="225" t="s">
        <v>26</v>
      </c>
      <c r="C2" s="511"/>
      <c r="D2" s="323"/>
      <c r="E2" s="511"/>
      <c r="F2" s="511"/>
      <c r="G2" s="511"/>
      <c r="H2" s="511"/>
      <c r="I2" s="323"/>
      <c r="J2" s="511"/>
      <c r="K2" s="511"/>
      <c r="L2" s="511"/>
      <c r="M2" s="511"/>
    </row>
    <row r="3" spans="1:13" ht="12" customHeight="1">
      <c r="B3" s="26"/>
      <c r="C3" s="163" t="s">
        <v>274</v>
      </c>
      <c r="D3" s="163"/>
      <c r="E3" s="163" t="s">
        <v>159</v>
      </c>
      <c r="F3" s="163" t="s">
        <v>152</v>
      </c>
      <c r="G3" s="164" t="s">
        <v>52</v>
      </c>
      <c r="H3" s="164" t="s">
        <v>53</v>
      </c>
      <c r="I3" s="163"/>
      <c r="J3" s="164" t="s">
        <v>54</v>
      </c>
      <c r="K3" s="164" t="s">
        <v>55</v>
      </c>
      <c r="L3" s="164" t="s">
        <v>56</v>
      </c>
      <c r="M3" s="164"/>
    </row>
    <row r="4" spans="1:13" ht="12" customHeight="1">
      <c r="B4" s="468" t="s">
        <v>275</v>
      </c>
      <c r="C4" s="467" t="s">
        <v>25</v>
      </c>
      <c r="D4" s="466"/>
      <c r="E4" s="467" t="s">
        <v>25</v>
      </c>
      <c r="F4" s="467" t="s">
        <v>25</v>
      </c>
      <c r="G4" s="467" t="s">
        <v>25</v>
      </c>
      <c r="H4" s="467" t="s">
        <v>25</v>
      </c>
      <c r="I4" s="466"/>
      <c r="J4" s="467" t="s">
        <v>25</v>
      </c>
      <c r="K4" s="467" t="s">
        <v>25</v>
      </c>
      <c r="L4" s="467" t="s">
        <v>25</v>
      </c>
      <c r="M4" s="466"/>
    </row>
    <row r="5" spans="1:13" s="64" customFormat="1" ht="12" customHeight="1">
      <c r="B5" s="463" t="s">
        <v>276</v>
      </c>
      <c r="C5" s="1256">
        <v>1412</v>
      </c>
      <c r="D5" s="846"/>
      <c r="E5" s="1257">
        <v>1477.9999999999995</v>
      </c>
      <c r="F5" s="825">
        <v>1503.0000000000002</v>
      </c>
      <c r="G5" s="826">
        <v>1438.0000000000007</v>
      </c>
      <c r="H5" s="827">
        <v>1468.9999999999998</v>
      </c>
      <c r="I5" s="846"/>
      <c r="J5" s="1258">
        <v>1513.0000000000057</v>
      </c>
      <c r="K5" s="1258">
        <v>1528.9999999999986</v>
      </c>
      <c r="L5" s="1259">
        <v>1492.9999999999955</v>
      </c>
      <c r="M5" s="729"/>
    </row>
    <row r="6" spans="1:13" s="64" customFormat="1" ht="12" customHeight="1">
      <c r="B6" s="460" t="s">
        <v>277</v>
      </c>
      <c r="C6" s="976">
        <v>292</v>
      </c>
      <c r="D6" s="975"/>
      <c r="E6" s="977">
        <v>481</v>
      </c>
      <c r="F6" s="977">
        <v>343</v>
      </c>
      <c r="G6" s="978">
        <v>333</v>
      </c>
      <c r="H6" s="976">
        <v>308</v>
      </c>
      <c r="I6" s="975"/>
      <c r="J6" s="977">
        <v>350</v>
      </c>
      <c r="K6" s="977">
        <v>367</v>
      </c>
      <c r="L6" s="978">
        <v>343</v>
      </c>
      <c r="M6" s="435"/>
    </row>
    <row r="7" spans="1:13" ht="12" customHeight="1">
      <c r="B7" s="642" t="s">
        <v>278</v>
      </c>
      <c r="C7" s="828">
        <v>1703.9999999999998</v>
      </c>
      <c r="D7" s="644"/>
      <c r="E7" s="847">
        <v>1958.9999999999995</v>
      </c>
      <c r="F7" s="1206">
        <v>1845.9999999999982</v>
      </c>
      <c r="G7" s="643">
        <v>1771.0000000000007</v>
      </c>
      <c r="H7" s="1229">
        <v>1776.9999999999998</v>
      </c>
      <c r="I7" s="644"/>
      <c r="J7" s="1206">
        <v>1863</v>
      </c>
      <c r="K7" s="1206">
        <v>1895.9999999999991</v>
      </c>
      <c r="L7" s="643">
        <v>1835.9999999999957</v>
      </c>
      <c r="M7" s="175"/>
    </row>
    <row r="8" spans="1:13" ht="12" customHeight="1">
      <c r="A8" s="21"/>
      <c r="B8" s="645" t="s">
        <v>243</v>
      </c>
      <c r="C8" s="829">
        <v>-480.99999999999994</v>
      </c>
      <c r="D8" s="51"/>
      <c r="E8" s="848">
        <v>-190</v>
      </c>
      <c r="F8" s="1204">
        <v>-100.99999999999999</v>
      </c>
      <c r="G8" s="1230">
        <v>-229.99999999999997</v>
      </c>
      <c r="H8" s="1231">
        <v>-191.00000000000006</v>
      </c>
      <c r="I8" s="51"/>
      <c r="J8" s="1204">
        <v>-295.99999999999994</v>
      </c>
      <c r="K8" s="1204">
        <v>-115</v>
      </c>
      <c r="L8" s="1230">
        <v>-214.00000000000003</v>
      </c>
      <c r="M8" s="52"/>
    </row>
    <row r="9" spans="1:13" ht="12" customHeight="1">
      <c r="A9" s="21"/>
      <c r="B9" s="642" t="s">
        <v>289</v>
      </c>
      <c r="C9" s="828">
        <v>1222.9999999999998</v>
      </c>
      <c r="D9" s="644"/>
      <c r="E9" s="847">
        <v>1768.9999999999998</v>
      </c>
      <c r="F9" s="1206">
        <v>1744.9999999999986</v>
      </c>
      <c r="G9" s="643">
        <v>1541.0000000000005</v>
      </c>
      <c r="H9" s="1229">
        <v>1585.9999999999995</v>
      </c>
      <c r="I9" s="644"/>
      <c r="J9" s="1206">
        <v>1567.0000000000048</v>
      </c>
      <c r="K9" s="1206">
        <v>1781.0000000000002</v>
      </c>
      <c r="L9" s="643">
        <v>1621.9999999999952</v>
      </c>
      <c r="M9" s="175"/>
    </row>
    <row r="10" spans="1:13" ht="15" customHeight="1">
      <c r="A10" s="21"/>
      <c r="B10" s="603" t="s">
        <v>279</v>
      </c>
      <c r="C10" s="830">
        <v>-1023</v>
      </c>
      <c r="D10" s="51"/>
      <c r="E10" s="849">
        <v>-1023</v>
      </c>
      <c r="F10" s="646">
        <v>-952</v>
      </c>
      <c r="G10" s="55">
        <v>-1022</v>
      </c>
      <c r="H10" s="1233">
        <v>-999</v>
      </c>
      <c r="I10" s="51"/>
      <c r="J10" s="646">
        <v>-1114</v>
      </c>
      <c r="K10" s="646">
        <v>-988</v>
      </c>
      <c r="L10" s="55">
        <v>-968</v>
      </c>
      <c r="M10" s="55"/>
    </row>
    <row r="11" spans="1:13" ht="12" customHeight="1">
      <c r="A11" s="21"/>
      <c r="B11" s="645" t="s">
        <v>290</v>
      </c>
      <c r="C11" s="829">
        <v>0</v>
      </c>
      <c r="D11" s="51"/>
      <c r="E11" s="848">
        <v>-41</v>
      </c>
      <c r="F11" s="1204">
        <v>0</v>
      </c>
      <c r="G11" s="1230">
        <v>0</v>
      </c>
      <c r="H11" s="1231">
        <v>0</v>
      </c>
      <c r="I11" s="51"/>
      <c r="J11" s="1204">
        <v>-46.3</v>
      </c>
      <c r="K11" s="1204">
        <v>0</v>
      </c>
      <c r="L11" s="1230">
        <v>0</v>
      </c>
      <c r="M11" s="55"/>
    </row>
    <row r="12" spans="1:13" s="491" customFormat="1" ht="12" customHeight="1">
      <c r="A12" s="65"/>
      <c r="B12" s="642" t="s">
        <v>281</v>
      </c>
      <c r="C12" s="828">
        <v>-1023</v>
      </c>
      <c r="D12" s="644"/>
      <c r="E12" s="847">
        <v>-1064</v>
      </c>
      <c r="F12" s="1206">
        <v>-952</v>
      </c>
      <c r="G12" s="643">
        <v>-1022</v>
      </c>
      <c r="H12" s="1229">
        <v>-999</v>
      </c>
      <c r="I12" s="644"/>
      <c r="J12" s="1206">
        <v>-1160.3</v>
      </c>
      <c r="K12" s="1206">
        <v>-988</v>
      </c>
      <c r="L12" s="643">
        <v>-968</v>
      </c>
      <c r="M12" s="55"/>
    </row>
    <row r="13" spans="1:13" ht="12" customHeight="1">
      <c r="A13" s="21"/>
      <c r="B13" s="645" t="s">
        <v>246</v>
      </c>
      <c r="C13" s="829">
        <v>-4.7742343199999997</v>
      </c>
      <c r="D13" s="51"/>
      <c r="E13" s="848">
        <v>-57.870550350000002</v>
      </c>
      <c r="F13" s="1204">
        <v>-1480</v>
      </c>
      <c r="G13" s="1230">
        <v>-40.871671239999998</v>
      </c>
      <c r="H13" s="1231">
        <v>-3.0396999999999998</v>
      </c>
      <c r="I13" s="51"/>
      <c r="J13" s="1204">
        <v>-15.360693789999999</v>
      </c>
      <c r="K13" s="1204">
        <v>-53.790522869999997</v>
      </c>
      <c r="L13" s="1230">
        <v>-3.2250375399999998</v>
      </c>
      <c r="M13" s="52"/>
    </row>
    <row r="14" spans="1:13" ht="12" customHeight="1">
      <c r="A14" s="21"/>
      <c r="B14" s="642" t="s">
        <v>247</v>
      </c>
      <c r="C14" s="828">
        <v>-1028</v>
      </c>
      <c r="D14" s="644"/>
      <c r="E14" s="847">
        <v>-1121.9999999999998</v>
      </c>
      <c r="F14" s="1206">
        <v>-2431.9999999999991</v>
      </c>
      <c r="G14" s="643">
        <v>-1062.9999999999989</v>
      </c>
      <c r="H14" s="1229">
        <v>-1002.0000000000002</v>
      </c>
      <c r="I14" s="644"/>
      <c r="J14" s="1206">
        <v>-1174.9999999999998</v>
      </c>
      <c r="K14" s="1206">
        <v>-1041.9999999999998</v>
      </c>
      <c r="L14" s="643">
        <v>-970.99999999999955</v>
      </c>
      <c r="M14" s="175"/>
    </row>
    <row r="15" spans="1:13" ht="12" customHeight="1">
      <c r="A15" s="21"/>
      <c r="B15" s="645" t="s">
        <v>291</v>
      </c>
      <c r="C15" s="829">
        <v>0</v>
      </c>
      <c r="D15" s="51"/>
      <c r="E15" s="848" t="s">
        <v>397</v>
      </c>
      <c r="F15" s="1204" t="s">
        <v>397</v>
      </c>
      <c r="G15" s="1230">
        <v>-1.0000000000006004</v>
      </c>
      <c r="H15" s="1231">
        <v>1.0000000000000806</v>
      </c>
      <c r="I15" s="51"/>
      <c r="J15" s="1204">
        <v>-2.0000000000005329</v>
      </c>
      <c r="K15" s="1204">
        <v>1.0000000000000002</v>
      </c>
      <c r="L15" s="1230">
        <v>5</v>
      </c>
      <c r="M15" s="52"/>
    </row>
    <row r="16" spans="1:13" s="8" customFormat="1" ht="12" customHeight="1">
      <c r="A16" s="23"/>
      <c r="B16" s="642" t="s">
        <v>292</v>
      </c>
      <c r="C16" s="828">
        <v>194.99999999999972</v>
      </c>
      <c r="D16" s="644"/>
      <c r="E16" s="847">
        <v>646.99999999999898</v>
      </c>
      <c r="F16" s="1206">
        <v>-687.00000000000045</v>
      </c>
      <c r="G16" s="643">
        <v>477.00000000000119</v>
      </c>
      <c r="H16" s="1229">
        <v>584.99999999999909</v>
      </c>
      <c r="I16" s="644"/>
      <c r="J16" s="1206">
        <v>390.00000000000449</v>
      </c>
      <c r="K16" s="1206">
        <v>739.99999999999955</v>
      </c>
      <c r="L16" s="643">
        <v>655.99999999999579</v>
      </c>
      <c r="M16" s="175"/>
    </row>
    <row r="17" spans="1:13" ht="10.199999999999999">
      <c r="A17" s="21"/>
      <c r="B17" s="603" t="s">
        <v>336</v>
      </c>
      <c r="C17" s="831">
        <v>174.99999999999972</v>
      </c>
      <c r="D17" s="51"/>
      <c r="E17" s="850">
        <v>437.99999999999915</v>
      </c>
      <c r="F17" s="51">
        <v>-907.00000000000011</v>
      </c>
      <c r="G17" s="52">
        <v>328.00000000000136</v>
      </c>
      <c r="H17" s="1234">
        <v>421.9999999999996</v>
      </c>
      <c r="I17" s="51"/>
      <c r="J17" s="51">
        <v>241</v>
      </c>
      <c r="K17" s="51">
        <v>510</v>
      </c>
      <c r="L17" s="52">
        <v>473</v>
      </c>
      <c r="M17" s="52"/>
    </row>
    <row r="18" spans="1:13" ht="12" customHeight="1">
      <c r="A18" s="21"/>
      <c r="B18" s="655"/>
      <c r="C18" s="882"/>
      <c r="D18" s="51"/>
      <c r="E18" s="882"/>
      <c r="F18" s="51"/>
      <c r="G18" s="987"/>
      <c r="H18" s="52"/>
      <c r="I18" s="51"/>
      <c r="J18" s="51"/>
      <c r="K18" s="51"/>
      <c r="L18" s="52"/>
      <c r="M18" s="52"/>
    </row>
    <row r="19" spans="1:13" s="8" customFormat="1" ht="12" customHeight="1">
      <c r="A19" s="23"/>
      <c r="B19" s="604" t="s">
        <v>293</v>
      </c>
      <c r="C19" s="619" t="s">
        <v>263</v>
      </c>
      <c r="D19" s="156"/>
      <c r="E19" s="619" t="s">
        <v>263</v>
      </c>
      <c r="F19" s="619" t="s">
        <v>263</v>
      </c>
      <c r="G19" s="1241" t="s">
        <v>263</v>
      </c>
      <c r="H19" s="1241" t="s">
        <v>263</v>
      </c>
      <c r="I19" s="156"/>
      <c r="J19" s="619" t="s">
        <v>263</v>
      </c>
      <c r="K19" s="619" t="s">
        <v>263</v>
      </c>
      <c r="L19" s="1241" t="s">
        <v>263</v>
      </c>
      <c r="M19" s="661"/>
    </row>
    <row r="20" spans="1:13" ht="12" customHeight="1">
      <c r="A20" s="21"/>
      <c r="B20" s="554" t="s">
        <v>294</v>
      </c>
      <c r="C20" s="1243">
        <v>195700</v>
      </c>
      <c r="D20" s="601"/>
      <c r="E20" s="832">
        <v>193700</v>
      </c>
      <c r="F20" s="620">
        <v>193200</v>
      </c>
      <c r="G20" s="1242">
        <v>189100</v>
      </c>
      <c r="H20" s="1243">
        <v>187500</v>
      </c>
      <c r="I20" s="601"/>
      <c r="J20" s="620">
        <v>187600</v>
      </c>
      <c r="K20" s="620">
        <v>186700</v>
      </c>
      <c r="L20" s="1242">
        <v>185300</v>
      </c>
      <c r="M20" s="56"/>
    </row>
    <row r="21" spans="1:13" ht="12" customHeight="1">
      <c r="A21" s="21"/>
      <c r="B21" s="603" t="s">
        <v>286</v>
      </c>
      <c r="C21" s="833">
        <v>267542</v>
      </c>
      <c r="D21" s="601"/>
      <c r="E21" s="834">
        <v>257775.99999999988</v>
      </c>
      <c r="F21" s="601">
        <v>257908</v>
      </c>
      <c r="G21" s="56">
        <v>258953.00000000003</v>
      </c>
      <c r="H21" s="1246">
        <v>253086</v>
      </c>
      <c r="I21" s="601"/>
      <c r="J21" s="601">
        <v>249669.00000000006</v>
      </c>
      <c r="K21" s="601">
        <v>251976.00000000006</v>
      </c>
      <c r="L21" s="56">
        <v>245947.99999999997</v>
      </c>
      <c r="M21" s="56"/>
    </row>
    <row r="22" spans="1:13" ht="12" customHeight="1">
      <c r="A22" s="21"/>
      <c r="B22" s="603" t="s">
        <v>295</v>
      </c>
      <c r="C22" s="833">
        <v>207489.79166153999</v>
      </c>
      <c r="D22" s="601"/>
      <c r="E22" s="834">
        <v>205477.23682473</v>
      </c>
      <c r="F22" s="601">
        <v>203262.54680023997</v>
      </c>
      <c r="G22" s="56">
        <v>200921.81711737</v>
      </c>
      <c r="H22" s="1246">
        <v>197284.40784581</v>
      </c>
      <c r="I22" s="601"/>
      <c r="J22" s="601">
        <v>197279.45796418999</v>
      </c>
      <c r="K22" s="601">
        <v>195751.69834442998</v>
      </c>
      <c r="L22" s="56">
        <v>194305.77544900999</v>
      </c>
      <c r="M22" s="56"/>
    </row>
    <row r="23" spans="1:13" s="74" customFormat="1" ht="12" customHeight="1">
      <c r="A23" s="65"/>
      <c r="B23" s="603" t="s">
        <v>273</v>
      </c>
      <c r="C23" s="936">
        <v>0.96</v>
      </c>
      <c r="D23" s="938"/>
      <c r="E23" s="835">
        <v>0.96</v>
      </c>
      <c r="F23" s="1260">
        <v>0.97</v>
      </c>
      <c r="G23" s="1261">
        <v>0.97</v>
      </c>
      <c r="H23" s="936">
        <v>0.96</v>
      </c>
      <c r="I23" s="938"/>
      <c r="J23" s="938">
        <v>0.96</v>
      </c>
      <c r="K23" s="938">
        <v>0.96</v>
      </c>
      <c r="L23" s="937">
        <v>0.96</v>
      </c>
      <c r="M23" s="455"/>
    </row>
    <row r="24" spans="1:13" ht="12" customHeight="1">
      <c r="A24" s="21"/>
      <c r="B24" s="603" t="s">
        <v>267</v>
      </c>
      <c r="C24" s="833">
        <v>77677.999999999971</v>
      </c>
      <c r="D24" s="601"/>
      <c r="E24" s="834">
        <v>74900.809200652569</v>
      </c>
      <c r="F24" s="601">
        <v>76791.999999999971</v>
      </c>
      <c r="G24" s="56">
        <v>76150</v>
      </c>
      <c r="H24" s="1246">
        <v>76558.949245890108</v>
      </c>
      <c r="I24" s="601"/>
      <c r="J24" s="601">
        <v>75181.000000000044</v>
      </c>
      <c r="K24" s="601">
        <v>74772.999999999956</v>
      </c>
      <c r="L24" s="56">
        <v>74998</v>
      </c>
      <c r="M24" s="56"/>
    </row>
    <row r="25" spans="1:13" s="74" customFormat="1" ht="12" customHeight="1">
      <c r="A25" s="65"/>
      <c r="B25" s="603" t="s">
        <v>296</v>
      </c>
      <c r="C25" s="833">
        <v>10645.223208677426</v>
      </c>
      <c r="D25" s="601"/>
      <c r="E25" s="834">
        <v>10253.791659372289</v>
      </c>
      <c r="F25" s="601">
        <v>10382.929875414209</v>
      </c>
      <c r="G25" s="56">
        <v>10288.713936531452</v>
      </c>
      <c r="H25" s="1246">
        <v>10466.111789959506</v>
      </c>
      <c r="I25" s="601"/>
      <c r="J25" s="601">
        <v>10201.51053444723</v>
      </c>
      <c r="K25" s="601">
        <v>10063.319996247174</v>
      </c>
      <c r="L25" s="56">
        <v>10158.490170729485</v>
      </c>
      <c r="M25" s="56"/>
    </row>
    <row r="26" spans="1:13" ht="12" customHeight="1">
      <c r="A26" s="21"/>
      <c r="B26" s="603"/>
      <c r="C26" s="974"/>
      <c r="D26" s="57"/>
      <c r="E26" s="974"/>
      <c r="F26" s="57"/>
      <c r="G26" s="656"/>
      <c r="H26" s="656"/>
      <c r="I26" s="57"/>
      <c r="J26" s="57"/>
      <c r="K26" s="57"/>
      <c r="L26" s="656"/>
      <c r="M26" s="656"/>
    </row>
    <row r="27" spans="1:13" ht="12" customHeight="1">
      <c r="A27" s="21"/>
      <c r="B27" s="604" t="s">
        <v>254</v>
      </c>
      <c r="C27" s="973"/>
      <c r="D27" s="974"/>
      <c r="E27" s="973"/>
      <c r="F27" s="973"/>
      <c r="G27" s="979"/>
      <c r="H27" s="979"/>
      <c r="I27" s="974"/>
      <c r="J27" s="973"/>
      <c r="K27" s="973"/>
      <c r="L27" s="979"/>
      <c r="M27" s="457"/>
    </row>
    <row r="28" spans="1:13" ht="12" customHeight="1">
      <c r="A28" s="21"/>
      <c r="B28" s="603" t="s">
        <v>297</v>
      </c>
      <c r="C28" s="933">
        <v>6.7000000000000004E-2</v>
      </c>
      <c r="D28" s="935"/>
      <c r="E28" s="935">
        <v>0.17</v>
      </c>
      <c r="F28" s="935">
        <v>-0.34899999999999998</v>
      </c>
      <c r="G28" s="934">
        <v>0.127</v>
      </c>
      <c r="H28" s="933">
        <v>0.16300000000000001</v>
      </c>
      <c r="I28" s="935"/>
      <c r="J28" s="935">
        <v>9.6000000000000002E-2</v>
      </c>
      <c r="K28" s="935">
        <v>0.20100000000000001</v>
      </c>
      <c r="L28" s="934">
        <v>0.188</v>
      </c>
      <c r="M28" s="454"/>
    </row>
    <row r="29" spans="1:13" ht="12" customHeight="1">
      <c r="A29" s="21"/>
      <c r="B29" s="603" t="s">
        <v>298</v>
      </c>
      <c r="C29" s="836">
        <v>10525.026895348437</v>
      </c>
      <c r="D29" s="616"/>
      <c r="E29" s="837">
        <v>10280.540957689675</v>
      </c>
      <c r="F29" s="616">
        <v>10387.153314621139</v>
      </c>
      <c r="G29" s="59">
        <v>10305.550564251227</v>
      </c>
      <c r="H29" s="608">
        <v>10359.544322966038</v>
      </c>
      <c r="I29" s="616"/>
      <c r="J29" s="616">
        <v>10094.61452789346</v>
      </c>
      <c r="K29" s="616">
        <v>10129.03595257748</v>
      </c>
      <c r="L29" s="59">
        <v>10086.740376839451</v>
      </c>
      <c r="M29" s="59"/>
    </row>
    <row r="30" spans="1:13" ht="12" customHeight="1">
      <c r="A30" s="21"/>
      <c r="B30" s="603" t="s">
        <v>299</v>
      </c>
      <c r="C30" s="936">
        <v>0.6</v>
      </c>
      <c r="D30" s="938"/>
      <c r="E30" s="938">
        <v>0.56999999999999995</v>
      </c>
      <c r="F30" s="938">
        <v>1.32</v>
      </c>
      <c r="G30" s="937">
        <v>0.6</v>
      </c>
      <c r="H30" s="936">
        <v>0.56000000000000005</v>
      </c>
      <c r="I30" s="938"/>
      <c r="J30" s="938">
        <v>0.63</v>
      </c>
      <c r="K30" s="938">
        <v>0.55000000000000004</v>
      </c>
      <c r="L30" s="937">
        <v>0.53</v>
      </c>
      <c r="M30" s="455"/>
    </row>
    <row r="31" spans="1:13" ht="12" customHeight="1">
      <c r="A31" s="21"/>
      <c r="B31" s="657" t="s">
        <v>258</v>
      </c>
      <c r="C31" s="881">
        <v>96.138473246375369</v>
      </c>
      <c r="D31" s="975"/>
      <c r="E31" s="975">
        <v>37.661420133301618</v>
      </c>
      <c r="F31" s="975">
        <v>19.973790844132154</v>
      </c>
      <c r="G31" s="878">
        <v>46.787011052555947</v>
      </c>
      <c r="H31" s="881">
        <v>40.249101897444113</v>
      </c>
      <c r="I31" s="975"/>
      <c r="J31" s="975">
        <v>61</v>
      </c>
      <c r="K31" s="975">
        <v>24</v>
      </c>
      <c r="L31" s="878">
        <v>45</v>
      </c>
      <c r="M31" s="435"/>
    </row>
    <row r="32" spans="1:13" ht="12" customHeight="1">
      <c r="A32" s="21"/>
      <c r="B32" s="603" t="s">
        <v>300</v>
      </c>
      <c r="C32" s="838">
        <v>2.9100000000000001E-2</v>
      </c>
      <c r="D32" s="1262"/>
      <c r="E32" s="839">
        <v>3.0300000000000001E-2</v>
      </c>
      <c r="F32" s="1263">
        <v>3.1E-2</v>
      </c>
      <c r="G32" s="1264">
        <v>3.0499999999999999E-2</v>
      </c>
      <c r="H32" s="1265">
        <v>3.1800000000000002E-2</v>
      </c>
      <c r="I32" s="1262"/>
      <c r="J32" s="851">
        <v>3.2000000000000001E-2</v>
      </c>
      <c r="K32" s="851">
        <v>3.2199999999999999E-2</v>
      </c>
      <c r="L32" s="658">
        <v>3.2199999999999999E-2</v>
      </c>
      <c r="M32" s="658"/>
    </row>
    <row r="33" spans="1:13" s="74" customFormat="1" ht="12" customHeight="1">
      <c r="A33" s="65"/>
      <c r="B33" s="603"/>
      <c r="C33" s="882"/>
      <c r="D33" s="648"/>
      <c r="E33" s="648"/>
      <c r="F33" s="648"/>
      <c r="G33" s="648"/>
      <c r="H33" s="648"/>
      <c r="I33" s="648"/>
      <c r="J33" s="648"/>
      <c r="K33" s="648"/>
      <c r="L33" s="648"/>
      <c r="M33" s="648"/>
    </row>
    <row r="34" spans="1:13" s="74" customFormat="1" ht="28.8">
      <c r="A34" s="65"/>
      <c r="B34" s="604" t="s">
        <v>36</v>
      </c>
      <c r="C34" s="972" t="s">
        <v>25</v>
      </c>
      <c r="D34" s="971"/>
      <c r="E34" s="972" t="s">
        <v>25</v>
      </c>
      <c r="F34" s="972" t="s">
        <v>25</v>
      </c>
      <c r="G34" s="970" t="s">
        <v>25</v>
      </c>
      <c r="H34" s="970" t="s">
        <v>25</v>
      </c>
      <c r="I34" s="971"/>
      <c r="J34" s="972" t="s">
        <v>25</v>
      </c>
      <c r="K34" s="972" t="s">
        <v>25</v>
      </c>
      <c r="L34" s="972" t="s">
        <v>25</v>
      </c>
      <c r="M34" s="466"/>
    </row>
    <row r="35" spans="1:13" s="74" customFormat="1" ht="12" customHeight="1">
      <c r="A35" s="65"/>
      <c r="B35" s="605" t="s">
        <v>261</v>
      </c>
      <c r="C35" s="883">
        <v>199.77423431999972</v>
      </c>
      <c r="D35" s="884"/>
      <c r="E35" s="885">
        <v>704.87055034999901</v>
      </c>
      <c r="F35" s="885">
        <v>793</v>
      </c>
      <c r="G35" s="885">
        <v>517.87167124000121</v>
      </c>
      <c r="H35" s="883">
        <v>588.03969999999913</v>
      </c>
      <c r="I35" s="884"/>
      <c r="J35" s="886">
        <v>405.36069379000452</v>
      </c>
      <c r="K35" s="886">
        <v>793.79052286999945</v>
      </c>
      <c r="L35" s="885">
        <v>659.22503753999581</v>
      </c>
      <c r="M35" s="437"/>
    </row>
    <row r="36" spans="1:13" s="74" customFormat="1" ht="12" customHeight="1">
      <c r="A36" s="65"/>
      <c r="B36" s="603" t="s">
        <v>262</v>
      </c>
      <c r="C36" s="840">
        <v>178.48519105359975</v>
      </c>
      <c r="D36" s="659"/>
      <c r="E36" s="126">
        <v>481.29205893285609</v>
      </c>
      <c r="F36" s="126">
        <v>550</v>
      </c>
      <c r="G36" s="126">
        <v>357.61307595370135</v>
      </c>
      <c r="H36" s="1266">
        <v>423.73969999999963</v>
      </c>
      <c r="I36" s="659"/>
      <c r="J36" s="659">
        <v>253</v>
      </c>
      <c r="K36" s="659">
        <v>558</v>
      </c>
      <c r="L36" s="126">
        <v>474</v>
      </c>
      <c r="M36" s="126"/>
    </row>
    <row r="37" spans="1:13" s="74" customFormat="1" ht="12" customHeight="1">
      <c r="A37" s="65"/>
      <c r="B37" s="603" t="s">
        <v>297</v>
      </c>
      <c r="C37" s="933">
        <v>6.8000000000000005E-2</v>
      </c>
      <c r="D37" s="935"/>
      <c r="E37" s="934">
        <v>0.187</v>
      </c>
      <c r="F37" s="934">
        <v>0.21199999999999999</v>
      </c>
      <c r="G37" s="934">
        <v>0.13900000000000001</v>
      </c>
      <c r="H37" s="933">
        <v>0.16400000000000001</v>
      </c>
      <c r="I37" s="935"/>
      <c r="J37" s="935">
        <v>0.10100000000000001</v>
      </c>
      <c r="K37" s="935">
        <v>0.22</v>
      </c>
      <c r="L37" s="934">
        <v>0.188</v>
      </c>
      <c r="M37" s="454"/>
    </row>
    <row r="38" spans="1:13" s="74" customFormat="1" ht="12" customHeight="1">
      <c r="A38" s="65"/>
      <c r="B38" s="603" t="s">
        <v>257</v>
      </c>
      <c r="C38" s="936">
        <v>0.6</v>
      </c>
      <c r="D38" s="938"/>
      <c r="E38" s="937">
        <v>0.54</v>
      </c>
      <c r="F38" s="937">
        <v>0.52</v>
      </c>
      <c r="G38" s="937">
        <v>0.57999999999999996</v>
      </c>
      <c r="H38" s="936">
        <v>0.56000000000000005</v>
      </c>
      <c r="I38" s="938"/>
      <c r="J38" s="938">
        <v>0.62</v>
      </c>
      <c r="K38" s="938">
        <v>0.52</v>
      </c>
      <c r="L38" s="937">
        <v>0.53</v>
      </c>
      <c r="M38" s="455"/>
    </row>
    <row r="39" spans="1:13" ht="12" customHeight="1">
      <c r="A39" s="24"/>
      <c r="B39" s="5"/>
      <c r="C39" s="75"/>
      <c r="D39" s="486"/>
      <c r="F39" s="75"/>
      <c r="G39" s="75"/>
      <c r="H39" s="75"/>
      <c r="I39" s="75"/>
      <c r="K39" s="75"/>
      <c r="L39" s="75"/>
      <c r="M39" s="486"/>
    </row>
    <row r="40" spans="1:13" ht="15.6">
      <c r="A40" s="5"/>
      <c r="B40" s="162" t="s">
        <v>78</v>
      </c>
      <c r="C40" s="721" t="s">
        <v>274</v>
      </c>
      <c r="D40" s="163"/>
      <c r="E40" s="722" t="s">
        <v>159</v>
      </c>
      <c r="F40" s="163" t="s">
        <v>152</v>
      </c>
      <c r="G40" s="163" t="s">
        <v>52</v>
      </c>
      <c r="H40" s="163" t="s">
        <v>53</v>
      </c>
      <c r="I40" s="163"/>
      <c r="J40" s="163" t="s">
        <v>54</v>
      </c>
      <c r="K40" s="163" t="s">
        <v>55</v>
      </c>
      <c r="L40" s="163" t="s">
        <v>56</v>
      </c>
      <c r="M40" s="163"/>
    </row>
    <row r="41" spans="1:13" s="74" customFormat="1" ht="17.25" customHeight="1">
      <c r="A41" s="75"/>
      <c r="B41" s="426" t="s">
        <v>301</v>
      </c>
      <c r="C41" s="467" t="s">
        <v>25</v>
      </c>
      <c r="D41" s="466"/>
      <c r="E41" s="465" t="s">
        <v>25</v>
      </c>
      <c r="F41" s="467" t="s">
        <v>25</v>
      </c>
      <c r="G41" s="467" t="s">
        <v>25</v>
      </c>
      <c r="H41" s="467" t="s">
        <v>25</v>
      </c>
      <c r="I41" s="466"/>
      <c r="J41" s="467" t="s">
        <v>25</v>
      </c>
      <c r="K41" s="467" t="s">
        <v>25</v>
      </c>
      <c r="L41" s="467" t="s">
        <v>25</v>
      </c>
      <c r="M41" s="466"/>
    </row>
    <row r="42" spans="1:13" ht="10.199999999999999">
      <c r="A42" s="5"/>
      <c r="B42" s="463" t="s">
        <v>302</v>
      </c>
      <c r="C42" s="593">
        <v>967.99999999999989</v>
      </c>
      <c r="D42" s="52"/>
      <c r="E42" s="841">
        <v>1063.9999999999991</v>
      </c>
      <c r="F42" s="660">
        <v>1034.9999999999984</v>
      </c>
      <c r="G42" s="660">
        <v>946.00000000000057</v>
      </c>
      <c r="H42" s="1267">
        <v>963.99999999999943</v>
      </c>
      <c r="I42" s="52"/>
      <c r="J42" s="1228">
        <v>998.00000000000455</v>
      </c>
      <c r="K42" s="1228">
        <v>1020.9999999999992</v>
      </c>
      <c r="L42" s="1228">
        <v>1014.9999999999964</v>
      </c>
      <c r="M42" s="51"/>
    </row>
    <row r="43" spans="1:13" ht="12" customHeight="1">
      <c r="A43" s="5"/>
      <c r="B43" s="461" t="s">
        <v>303</v>
      </c>
      <c r="C43" s="594">
        <v>436</v>
      </c>
      <c r="D43" s="52"/>
      <c r="E43" s="850">
        <v>533</v>
      </c>
      <c r="F43" s="52">
        <v>472.00000000000006</v>
      </c>
      <c r="G43" s="52">
        <v>496.99999999999977</v>
      </c>
      <c r="H43" s="1234">
        <v>490</v>
      </c>
      <c r="I43" s="52"/>
      <c r="J43" s="51">
        <v>522</v>
      </c>
      <c r="K43" s="51">
        <v>551.00000000000011</v>
      </c>
      <c r="L43" s="51">
        <v>503.99999999999909</v>
      </c>
      <c r="M43" s="51"/>
    </row>
    <row r="44" spans="1:13" ht="12" customHeight="1">
      <c r="A44" s="5"/>
      <c r="B44" s="460" t="s">
        <v>304</v>
      </c>
      <c r="C44" s="1203">
        <v>299.99999999999989</v>
      </c>
      <c r="D44" s="52"/>
      <c r="E44" s="848">
        <v>361.99999999999989</v>
      </c>
      <c r="F44" s="1230">
        <v>338.99999999999989</v>
      </c>
      <c r="G44" s="1230">
        <v>328.00000000000011</v>
      </c>
      <c r="H44" s="1231">
        <v>322.99999999999994</v>
      </c>
      <c r="I44" s="52"/>
      <c r="J44" s="1204">
        <v>343</v>
      </c>
      <c r="K44" s="1204">
        <v>324.00000000000011</v>
      </c>
      <c r="L44" s="1204">
        <v>316.99999999999994</v>
      </c>
      <c r="M44" s="51"/>
    </row>
    <row r="45" spans="1:13" ht="12" customHeight="1">
      <c r="A45" s="5"/>
      <c r="B45" s="442" t="s">
        <v>278</v>
      </c>
      <c r="C45" s="1205">
        <v>1703.9999999999998</v>
      </c>
      <c r="D45" s="175"/>
      <c r="E45" s="847">
        <v>1958.9999999999995</v>
      </c>
      <c r="F45" s="643">
        <v>1845.9999999999982</v>
      </c>
      <c r="G45" s="643">
        <v>1771.0000000000007</v>
      </c>
      <c r="H45" s="1229">
        <v>1776.9999999999998</v>
      </c>
      <c r="I45" s="175"/>
      <c r="J45" s="1206">
        <v>1863.0000000000048</v>
      </c>
      <c r="K45" s="1206">
        <v>1895.9999999999991</v>
      </c>
      <c r="L45" s="1206">
        <v>1835.9999999999957</v>
      </c>
      <c r="M45" s="644"/>
    </row>
    <row r="46" spans="1:13" ht="12" customHeight="1">
      <c r="A46" s="5"/>
      <c r="B46" s="461"/>
      <c r="C46" s="974"/>
      <c r="D46" s="52"/>
      <c r="E46" s="882"/>
      <c r="F46" s="52"/>
      <c r="G46" s="52"/>
      <c r="H46" s="52"/>
      <c r="I46" s="52"/>
      <c r="J46" s="51"/>
      <c r="K46" s="51"/>
      <c r="L46" s="51"/>
      <c r="M46" s="51"/>
    </row>
    <row r="47" spans="1:13" ht="11.4">
      <c r="A47" s="5"/>
      <c r="B47" s="512" t="s">
        <v>305</v>
      </c>
      <c r="C47" s="973"/>
      <c r="D47" s="52"/>
      <c r="E47" s="852"/>
      <c r="F47" s="1230"/>
      <c r="G47" s="1230"/>
      <c r="H47" s="1230"/>
      <c r="I47" s="52"/>
      <c r="J47" s="1204"/>
      <c r="K47" s="1204"/>
      <c r="L47" s="1204"/>
      <c r="M47" s="51"/>
    </row>
    <row r="48" spans="1:13" ht="12" customHeight="1">
      <c r="B48" s="463" t="s">
        <v>302</v>
      </c>
      <c r="C48" s="593">
        <v>-133.99999999999997</v>
      </c>
      <c r="D48" s="52"/>
      <c r="E48" s="841">
        <v>-71.000000000000014</v>
      </c>
      <c r="F48" s="660">
        <v>-35.999999999999972</v>
      </c>
      <c r="G48" s="660">
        <v>-35.999999999999972</v>
      </c>
      <c r="H48" s="1267">
        <v>-52.000000000000036</v>
      </c>
      <c r="I48" s="52"/>
      <c r="J48" s="1228">
        <v>-43.999999999999972</v>
      </c>
      <c r="K48" s="1228">
        <v>-8.0000000000000036</v>
      </c>
      <c r="L48" s="1228">
        <v>-49.00000000000005</v>
      </c>
      <c r="M48" s="51"/>
    </row>
    <row r="49" spans="1:13" ht="10.199999999999999">
      <c r="B49" s="461" t="s">
        <v>303</v>
      </c>
      <c r="C49" s="594">
        <v>-300.99999999999994</v>
      </c>
      <c r="D49" s="52"/>
      <c r="E49" s="850">
        <v>-108.00000000000001</v>
      </c>
      <c r="F49" s="52">
        <v>-49.000000000000036</v>
      </c>
      <c r="G49" s="52">
        <v>-175</v>
      </c>
      <c r="H49" s="1234">
        <v>-140.00000000000003</v>
      </c>
      <c r="I49" s="52"/>
      <c r="J49" s="51">
        <v>-249.99999999999997</v>
      </c>
      <c r="K49" s="51">
        <v>-88</v>
      </c>
      <c r="L49" s="51">
        <v>-138.99999999999997</v>
      </c>
      <c r="M49" s="51"/>
    </row>
    <row r="50" spans="1:13" ht="12" customHeight="1">
      <c r="B50" s="460" t="s">
        <v>304</v>
      </c>
      <c r="C50" s="1203">
        <v>-45.999999999999993</v>
      </c>
      <c r="D50" s="52"/>
      <c r="E50" s="848">
        <v>-11</v>
      </c>
      <c r="F50" s="1230">
        <v>-15.999999999999995</v>
      </c>
      <c r="G50" s="1230">
        <v>-19.000000000000007</v>
      </c>
      <c r="H50" s="1231">
        <v>0.999999999999999</v>
      </c>
      <c r="I50" s="52"/>
      <c r="J50" s="1204">
        <v>-2.0000000000000009</v>
      </c>
      <c r="K50" s="1204">
        <v>-18.999999999999996</v>
      </c>
      <c r="L50" s="1204">
        <v>-26.000000000000004</v>
      </c>
      <c r="M50" s="51"/>
    </row>
    <row r="51" spans="1:13" ht="11.7" customHeight="1">
      <c r="B51" s="513" t="s">
        <v>306</v>
      </c>
      <c r="C51" s="1205">
        <v>-480.99999999999994</v>
      </c>
      <c r="D51" s="175"/>
      <c r="E51" s="847">
        <v>-190</v>
      </c>
      <c r="F51" s="643">
        <v>-100.99999999999999</v>
      </c>
      <c r="G51" s="643">
        <v>-229.99999999999997</v>
      </c>
      <c r="H51" s="1229">
        <v>-191.00000000000006</v>
      </c>
      <c r="I51" s="175"/>
      <c r="J51" s="1206">
        <v>-295.99999999999994</v>
      </c>
      <c r="K51" s="1206">
        <v>-115</v>
      </c>
      <c r="L51" s="1206">
        <v>-214.00000000000003</v>
      </c>
      <c r="M51" s="644"/>
    </row>
    <row r="52" spans="1:13" ht="12" customHeight="1">
      <c r="B52" s="461"/>
      <c r="C52" s="882"/>
      <c r="D52" s="1238"/>
      <c r="E52" s="882"/>
      <c r="F52" s="1238"/>
      <c r="G52" s="1238"/>
      <c r="H52" s="1238"/>
      <c r="I52" s="1238"/>
      <c r="J52" s="648"/>
      <c r="K52" s="648"/>
      <c r="L52" s="648"/>
      <c r="M52" s="648"/>
    </row>
    <row r="53" spans="1:13" ht="22.8">
      <c r="B53" s="512" t="s">
        <v>307</v>
      </c>
      <c r="C53" s="1241" t="s">
        <v>263</v>
      </c>
      <c r="D53" s="661"/>
      <c r="E53" s="853" t="s">
        <v>263</v>
      </c>
      <c r="F53" s="1241" t="s">
        <v>263</v>
      </c>
      <c r="G53" s="1241" t="s">
        <v>263</v>
      </c>
      <c r="H53" s="1241" t="s">
        <v>263</v>
      </c>
      <c r="I53" s="661"/>
      <c r="J53" s="619" t="s">
        <v>263</v>
      </c>
      <c r="K53" s="619" t="s">
        <v>263</v>
      </c>
      <c r="L53" s="619" t="s">
        <v>263</v>
      </c>
      <c r="M53" s="156"/>
    </row>
    <row r="54" spans="1:13" ht="10.199999999999999">
      <c r="B54" s="463" t="s">
        <v>302</v>
      </c>
      <c r="C54" s="606">
        <v>153400</v>
      </c>
      <c r="D54" s="56"/>
      <c r="E54" s="1242">
        <v>151900</v>
      </c>
      <c r="F54" s="1242">
        <v>150100</v>
      </c>
      <c r="G54" s="1242">
        <v>147300</v>
      </c>
      <c r="H54" s="1243">
        <v>145900</v>
      </c>
      <c r="I54" s="56"/>
      <c r="J54" s="620">
        <v>146000</v>
      </c>
      <c r="K54" s="620">
        <v>145400</v>
      </c>
      <c r="L54" s="620">
        <v>143600</v>
      </c>
      <c r="M54" s="601"/>
    </row>
    <row r="55" spans="1:13" ht="12.75" customHeight="1">
      <c r="B55" s="461" t="s">
        <v>303</v>
      </c>
      <c r="C55" s="608">
        <v>13600</v>
      </c>
      <c r="D55" s="56"/>
      <c r="E55" s="56">
        <v>14700</v>
      </c>
      <c r="F55" s="56">
        <v>14900</v>
      </c>
      <c r="G55" s="56">
        <v>15100</v>
      </c>
      <c r="H55" s="1246">
        <v>15000</v>
      </c>
      <c r="I55" s="56"/>
      <c r="J55" s="601">
        <v>15300</v>
      </c>
      <c r="K55" s="601">
        <v>15300</v>
      </c>
      <c r="L55" s="601">
        <v>15200</v>
      </c>
      <c r="M55" s="601"/>
    </row>
    <row r="56" spans="1:13" ht="12" customHeight="1">
      <c r="B56" s="460" t="s">
        <v>304</v>
      </c>
      <c r="C56" s="1268">
        <v>28700</v>
      </c>
      <c r="D56" s="56"/>
      <c r="E56" s="1269">
        <v>27100</v>
      </c>
      <c r="F56" s="1269">
        <v>28200</v>
      </c>
      <c r="G56" s="1269">
        <v>26700</v>
      </c>
      <c r="H56" s="1270">
        <v>26600</v>
      </c>
      <c r="I56" s="56"/>
      <c r="J56" s="1249">
        <v>26300</v>
      </c>
      <c r="K56" s="1249">
        <v>26000</v>
      </c>
      <c r="L56" s="1249">
        <v>26500</v>
      </c>
      <c r="M56" s="601"/>
    </row>
    <row r="57" spans="1:13" ht="22.8">
      <c r="B57" s="513" t="s">
        <v>308</v>
      </c>
      <c r="C57" s="1271">
        <v>195700</v>
      </c>
      <c r="D57" s="1272"/>
      <c r="E57" s="1273">
        <v>193700</v>
      </c>
      <c r="F57" s="1273">
        <v>193200</v>
      </c>
      <c r="G57" s="1273">
        <v>189100</v>
      </c>
      <c r="H57" s="1271">
        <v>187500</v>
      </c>
      <c r="I57" s="1272"/>
      <c r="J57" s="1274">
        <v>187600</v>
      </c>
      <c r="K57" s="1274">
        <v>186700</v>
      </c>
      <c r="L57" s="1274">
        <v>185300</v>
      </c>
      <c r="M57" s="730"/>
    </row>
    <row r="58" spans="1:13" ht="12" customHeight="1">
      <c r="B58" s="461"/>
      <c r="C58" s="974"/>
      <c r="D58" s="842"/>
      <c r="E58" s="882"/>
      <c r="F58" s="842"/>
      <c r="G58" s="842"/>
      <c r="H58" s="842"/>
      <c r="I58" s="842"/>
      <c r="J58" s="57"/>
      <c r="K58" s="57"/>
      <c r="L58" s="57"/>
      <c r="M58" s="57"/>
    </row>
    <row r="59" spans="1:13" ht="11.4">
      <c r="B59" s="427" t="s">
        <v>309</v>
      </c>
      <c r="C59" s="973"/>
      <c r="D59" s="842"/>
      <c r="E59" s="852"/>
      <c r="F59" s="843"/>
      <c r="G59" s="843"/>
      <c r="H59" s="843"/>
      <c r="I59" s="842"/>
      <c r="J59" s="1275"/>
      <c r="K59" s="1275"/>
      <c r="L59" s="1275"/>
      <c r="M59" s="57"/>
    </row>
    <row r="60" spans="1:13" ht="12" customHeight="1">
      <c r="B60" s="463" t="s">
        <v>302</v>
      </c>
      <c r="C60" s="606">
        <v>161373.91482760001</v>
      </c>
      <c r="D60" s="56"/>
      <c r="E60" s="854">
        <v>159197.24836102998</v>
      </c>
      <c r="F60" s="1242">
        <v>157900</v>
      </c>
      <c r="G60" s="1242">
        <v>156280.03075036002</v>
      </c>
      <c r="H60" s="1243">
        <v>154068.32852000999</v>
      </c>
      <c r="I60" s="56"/>
      <c r="J60" s="620">
        <v>154002.98700114002</v>
      </c>
      <c r="K60" s="620">
        <v>153419.23670242997</v>
      </c>
      <c r="L60" s="620">
        <v>152860.97197370999</v>
      </c>
      <c r="M60" s="601"/>
    </row>
    <row r="61" spans="1:13" ht="12" customHeight="1">
      <c r="B61" s="461" t="s">
        <v>303</v>
      </c>
      <c r="C61" s="608">
        <v>0</v>
      </c>
      <c r="D61" s="56"/>
      <c r="E61" s="855">
        <v>0</v>
      </c>
      <c r="F61" s="56">
        <v>0</v>
      </c>
      <c r="G61" s="56">
        <v>0</v>
      </c>
      <c r="H61" s="1246" t="s">
        <v>397</v>
      </c>
      <c r="I61" s="56"/>
      <c r="J61" s="662">
        <v>0</v>
      </c>
      <c r="K61" s="662">
        <v>0</v>
      </c>
      <c r="L61" s="662">
        <v>0</v>
      </c>
      <c r="M61" s="662"/>
    </row>
    <row r="62" spans="1:13" ht="12" customHeight="1">
      <c r="B62" s="460" t="s">
        <v>304</v>
      </c>
      <c r="C62" s="1268">
        <v>46079.939217549996</v>
      </c>
      <c r="D62" s="56"/>
      <c r="E62" s="844">
        <v>46344.898027809999</v>
      </c>
      <c r="F62" s="1269">
        <v>45443.398645459994</v>
      </c>
      <c r="G62" s="1269">
        <v>44602.103071269994</v>
      </c>
      <c r="H62" s="1270">
        <v>43177.067635879997</v>
      </c>
      <c r="I62" s="56"/>
      <c r="J62" s="1249">
        <v>43337.527923099995</v>
      </c>
      <c r="K62" s="1249">
        <v>42389.850120690004</v>
      </c>
      <c r="L62" s="1249">
        <v>41400.335442309995</v>
      </c>
      <c r="M62" s="601"/>
    </row>
    <row r="63" spans="1:13" ht="12" customHeight="1">
      <c r="B63" s="513" t="s">
        <v>310</v>
      </c>
      <c r="C63" s="1276">
        <v>207489.79166153999</v>
      </c>
      <c r="D63" s="1272"/>
      <c r="E63" s="845">
        <v>205477.23682473</v>
      </c>
      <c r="F63" s="1273">
        <v>203262.54680023997</v>
      </c>
      <c r="G63" s="1273">
        <v>200921.81711737</v>
      </c>
      <c r="H63" s="1271">
        <v>197284.40784581</v>
      </c>
      <c r="I63" s="1272"/>
      <c r="J63" s="1274">
        <v>197279.45796418999</v>
      </c>
      <c r="K63" s="1274">
        <v>195751.69834442998</v>
      </c>
      <c r="L63" s="1274">
        <v>194305.77544900999</v>
      </c>
      <c r="M63" s="730"/>
    </row>
    <row r="64" spans="1:13" ht="12" customHeight="1">
      <c r="A64" s="5"/>
      <c r="B64" s="5"/>
      <c r="C64" s="75"/>
      <c r="D64" s="486"/>
      <c r="E64" s="22"/>
      <c r="F64" s="22"/>
      <c r="G64" s="22"/>
      <c r="H64" s="5"/>
      <c r="I64" s="75"/>
      <c r="J64" s="22"/>
      <c r="K64" s="5"/>
      <c r="L64" s="5"/>
      <c r="M64" s="486"/>
    </row>
    <row r="65" spans="1:13" ht="12" customHeight="1">
      <c r="A65" s="5"/>
      <c r="B65" s="5"/>
      <c r="C65" s="75"/>
      <c r="D65" s="486"/>
      <c r="E65" s="22"/>
      <c r="F65" s="22"/>
      <c r="G65" s="22"/>
      <c r="H65" s="5"/>
      <c r="I65" s="75"/>
      <c r="J65" s="22"/>
      <c r="K65" s="5"/>
      <c r="L65" s="5"/>
      <c r="M65" s="486"/>
    </row>
    <row r="66" spans="1:13" s="237" customFormat="1" ht="12" customHeight="1">
      <c r="A66" s="236"/>
      <c r="B66" s="236"/>
      <c r="C66" s="236"/>
      <c r="D66" s="486"/>
      <c r="E66" s="22"/>
      <c r="F66" s="22"/>
      <c r="G66" s="22"/>
      <c r="H66" s="236"/>
      <c r="I66" s="236"/>
      <c r="J66" s="22"/>
      <c r="K66" s="236"/>
      <c r="L66" s="236"/>
      <c r="M66" s="486"/>
    </row>
    <row r="67" spans="1:13" s="237" customFormat="1" ht="12" hidden="1" customHeight="1" outlineLevel="1">
      <c r="A67" s="236"/>
      <c r="B67" s="236"/>
      <c r="C67" s="236"/>
      <c r="D67" s="486"/>
      <c r="E67" s="22"/>
      <c r="F67" s="22"/>
      <c r="G67" s="22"/>
      <c r="H67" s="236"/>
      <c r="I67" s="236"/>
      <c r="J67" s="22"/>
      <c r="K67" s="236"/>
      <c r="L67" s="236"/>
      <c r="M67" s="486"/>
    </row>
    <row r="68" spans="1:13" ht="12" hidden="1" customHeight="1" outlineLevel="1">
      <c r="A68" s="5"/>
      <c r="B68" s="5"/>
      <c r="C68" s="75"/>
      <c r="D68" s="486"/>
      <c r="E68" s="22"/>
      <c r="F68" s="22"/>
      <c r="G68" s="22"/>
      <c r="H68" s="5"/>
      <c r="I68" s="75"/>
      <c r="J68" s="22"/>
      <c r="K68" s="5"/>
      <c r="L68" s="5"/>
      <c r="M68" s="486"/>
    </row>
    <row r="69" spans="1:13" ht="12" hidden="1" customHeight="1" outlineLevel="1">
      <c r="A69" s="5"/>
      <c r="B69" s="5"/>
      <c r="C69" s="75"/>
      <c r="D69" s="486"/>
      <c r="E69" s="22"/>
      <c r="F69" s="22"/>
      <c r="G69" s="22"/>
      <c r="H69" s="5"/>
      <c r="I69" s="75"/>
      <c r="J69" s="22"/>
      <c r="K69" s="5"/>
      <c r="L69" s="5"/>
      <c r="M69" s="486"/>
    </row>
    <row r="70" spans="1:13" ht="12" hidden="1" customHeight="1" outlineLevel="1">
      <c r="A70" s="5"/>
      <c r="B70" s="5"/>
      <c r="C70" s="75"/>
      <c r="D70" s="486"/>
      <c r="F70" s="75"/>
      <c r="G70" s="5"/>
      <c r="H70" s="5"/>
      <c r="I70" s="75"/>
      <c r="K70" s="5"/>
      <c r="L70" s="5"/>
      <c r="M70" s="486"/>
    </row>
    <row r="71" spans="1:13" ht="12" hidden="1" customHeight="1" outlineLevel="1">
      <c r="A71" s="5"/>
      <c r="B71" s="5"/>
      <c r="C71" s="75"/>
      <c r="D71" s="486"/>
      <c r="F71" s="75"/>
      <c r="G71" s="5"/>
      <c r="H71" s="5"/>
      <c r="I71" s="75"/>
      <c r="K71" s="5"/>
      <c r="L71" s="5"/>
      <c r="M71" s="486"/>
    </row>
    <row r="72" spans="1:13" ht="12" hidden="1" customHeight="1" outlineLevel="1">
      <c r="A72" s="5"/>
      <c r="B72" s="5"/>
      <c r="C72" s="75"/>
      <c r="D72" s="486"/>
      <c r="F72" s="75"/>
      <c r="G72" s="5"/>
      <c r="H72" s="5"/>
      <c r="I72" s="75"/>
      <c r="K72" s="5"/>
      <c r="L72" s="5"/>
      <c r="M72" s="486"/>
    </row>
    <row r="73" spans="1:13" ht="12" hidden="1" customHeight="1" outlineLevel="1">
      <c r="A73" s="5"/>
      <c r="B73" s="5"/>
      <c r="C73" s="75"/>
      <c r="D73" s="486"/>
      <c r="F73" s="75"/>
      <c r="G73" s="5"/>
      <c r="H73" s="5"/>
      <c r="I73" s="75"/>
      <c r="K73" s="5"/>
      <c r="L73" s="5"/>
      <c r="M73" s="486"/>
    </row>
    <row r="74" spans="1:13" ht="12" hidden="1" customHeight="1" outlineLevel="1">
      <c r="A74" s="5"/>
      <c r="B74" s="5"/>
      <c r="C74" s="75"/>
      <c r="D74" s="486"/>
      <c r="F74" s="75"/>
      <c r="G74" s="5"/>
      <c r="H74" s="5"/>
      <c r="I74" s="75"/>
      <c r="K74" s="75"/>
      <c r="L74" s="5"/>
      <c r="M74" s="486"/>
    </row>
    <row r="75" spans="1:13" ht="12" customHeight="1" collapsed="1">
      <c r="A75" s="5"/>
      <c r="B75" s="5"/>
      <c r="C75" s="75"/>
      <c r="D75" s="486"/>
      <c r="F75" s="75"/>
      <c r="G75" s="5"/>
      <c r="H75" s="5"/>
      <c r="I75" s="75"/>
      <c r="K75" s="5"/>
      <c r="L75" s="5"/>
      <c r="M75" s="486"/>
    </row>
    <row r="76" spans="1:13" ht="12" customHeight="1">
      <c r="A76" s="5"/>
      <c r="B76" s="5"/>
      <c r="C76" s="75"/>
      <c r="D76" s="486"/>
      <c r="F76" s="75"/>
      <c r="G76" s="5"/>
      <c r="H76" s="5"/>
      <c r="I76" s="75"/>
      <c r="K76" s="5"/>
      <c r="L76" s="5"/>
      <c r="M76" s="486"/>
    </row>
  </sheetData>
  <conditionalFormatting sqref="F64:G69">
    <cfRule type="cellIs" dxfId="128" priority="152" operator="notEqual">
      <formula>0</formula>
    </cfRule>
  </conditionalFormatting>
  <conditionalFormatting sqref="E64:E69">
    <cfRule type="cellIs" dxfId="127" priority="45" operator="notEqual">
      <formula>0</formula>
    </cfRule>
  </conditionalFormatting>
  <conditionalFormatting sqref="J64:J69">
    <cfRule type="cellIs" dxfId="126" priority="44" operator="notEqual">
      <formula>0</formula>
    </cfRule>
  </conditionalFormatting>
  <pageMargins left="0.75" right="0.75" top="1" bottom="1" header="0.5" footer="0.5"/>
  <pageSetup paperSize="9" scale="89" fitToWidth="2" fitToHeight="2" orientation="portrait" horizontalDpi="300" verticalDpi="300" r:id="rId1"/>
  <rowBreaks count="1" manualBreakCount="1">
    <brk id="39" min="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187"/>
  <sheetViews>
    <sheetView showGridLines="0" view="pageBreakPreview" topLeftCell="A25" zoomScale="70" zoomScaleNormal="100" zoomScaleSheetLayoutView="70" workbookViewId="0">
      <selection activeCell="C47" sqref="C47"/>
    </sheetView>
  </sheetViews>
  <sheetFormatPr defaultColWidth="9" defaultRowHeight="12" customHeight="1" outlineLevelRow="1"/>
  <cols>
    <col min="1" max="1" width="10.21875" style="491" customWidth="1"/>
    <col min="2" max="2" width="35.6640625" style="15" bestFit="1" customWidth="1"/>
    <col min="3" max="3" width="7.6640625" style="74" customWidth="1"/>
    <col min="4" max="4" width="2.21875" style="491" customWidth="1"/>
    <col min="5" max="5" width="7.6640625" style="75" customWidth="1"/>
    <col min="6" max="6" width="7.6640625" style="74" customWidth="1"/>
    <col min="7" max="8" width="7.6640625" style="15" customWidth="1"/>
    <col min="9" max="9" width="2.21875" style="74" customWidth="1"/>
    <col min="10" max="10" width="7.6640625" style="75" customWidth="1"/>
    <col min="11" max="11" width="8.77734375" style="74" customWidth="1"/>
    <col min="12" max="12" width="7.77734375" style="15" customWidth="1"/>
    <col min="13" max="13" width="7.77734375" style="74" customWidth="1"/>
    <col min="14" max="229" width="8" style="15" customWidth="1"/>
    <col min="230" max="16384" width="9" style="15"/>
  </cols>
  <sheetData>
    <row r="1" spans="1:13" s="16" customFormat="1" ht="12" customHeight="1">
      <c r="A1" s="43"/>
      <c r="B1" s="15"/>
      <c r="C1" s="74"/>
      <c r="D1" s="491"/>
      <c r="E1" s="75"/>
      <c r="F1" s="74"/>
      <c r="G1" s="15"/>
      <c r="H1" s="15"/>
      <c r="I1" s="74"/>
      <c r="J1" s="75"/>
      <c r="K1" s="74"/>
      <c r="L1" s="15"/>
      <c r="M1" s="74"/>
    </row>
    <row r="2" spans="1:13" s="16" customFormat="1" ht="17.25" customHeight="1">
      <c r="A2" s="43"/>
      <c r="B2" s="162" t="s">
        <v>27</v>
      </c>
      <c r="C2" s="162"/>
      <c r="D2" s="162"/>
      <c r="E2" s="162"/>
      <c r="F2" s="162"/>
      <c r="G2" s="511"/>
      <c r="H2" s="511"/>
      <c r="I2" s="162"/>
      <c r="J2" s="511"/>
      <c r="K2" s="511"/>
      <c r="L2" s="511"/>
      <c r="M2" s="14"/>
    </row>
    <row r="3" spans="1:13" s="16" customFormat="1" ht="12" customHeight="1">
      <c r="A3" s="43"/>
      <c r="B3" s="26"/>
      <c r="C3" s="164" t="s">
        <v>274</v>
      </c>
      <c r="D3" s="163"/>
      <c r="E3" s="164" t="s">
        <v>159</v>
      </c>
      <c r="F3" s="164" t="s">
        <v>152</v>
      </c>
      <c r="G3" s="164" t="s">
        <v>52</v>
      </c>
      <c r="H3" s="164" t="s">
        <v>53</v>
      </c>
      <c r="I3" s="163"/>
      <c r="J3" s="164" t="s">
        <v>54</v>
      </c>
      <c r="K3" s="164" t="s">
        <v>55</v>
      </c>
      <c r="L3" s="164" t="s">
        <v>56</v>
      </c>
      <c r="M3" s="54"/>
    </row>
    <row r="4" spans="1:13" s="16" customFormat="1" ht="13.5" customHeight="1">
      <c r="A4" s="43"/>
      <c r="B4" s="468" t="s">
        <v>275</v>
      </c>
      <c r="C4" s="467" t="s">
        <v>25</v>
      </c>
      <c r="D4" s="466"/>
      <c r="E4" s="467" t="s">
        <v>25</v>
      </c>
      <c r="F4" s="467" t="s">
        <v>25</v>
      </c>
      <c r="G4" s="467" t="s">
        <v>25</v>
      </c>
      <c r="H4" s="467" t="s">
        <v>25</v>
      </c>
      <c r="I4" s="466"/>
      <c r="J4" s="467" t="s">
        <v>25</v>
      </c>
      <c r="K4" s="467" t="s">
        <v>25</v>
      </c>
      <c r="L4" s="467" t="s">
        <v>25</v>
      </c>
      <c r="M4" s="68"/>
    </row>
    <row r="5" spans="1:13" s="43" customFormat="1" ht="13.5" customHeight="1">
      <c r="B5" s="463" t="s">
        <v>276</v>
      </c>
      <c r="C5" s="1277">
        <v>997.99999999999773</v>
      </c>
      <c r="D5" s="856"/>
      <c r="E5" s="1278">
        <v>964.99999999999807</v>
      </c>
      <c r="F5" s="1279">
        <v>1058.999999999997</v>
      </c>
      <c r="G5" s="1279">
        <v>1016.9999999999992</v>
      </c>
      <c r="H5" s="857">
        <v>899.99999999999932</v>
      </c>
      <c r="I5" s="856"/>
      <c r="J5" s="858">
        <v>984.00000000000125</v>
      </c>
      <c r="K5" s="858">
        <v>964.99999999999704</v>
      </c>
      <c r="L5" s="859">
        <v>852.99999999999898</v>
      </c>
      <c r="M5" s="168"/>
    </row>
    <row r="6" spans="1:13" s="43" customFormat="1" ht="13.5" customHeight="1">
      <c r="B6" s="461" t="s">
        <v>311</v>
      </c>
      <c r="C6" s="1280">
        <v>2359.9999999999995</v>
      </c>
      <c r="D6" s="856"/>
      <c r="E6" s="1281">
        <v>928.99999999999977</v>
      </c>
      <c r="F6" s="1282">
        <v>1109.9999999999991</v>
      </c>
      <c r="G6" s="1282">
        <v>1016.0000000000002</v>
      </c>
      <c r="H6" s="860">
        <v>1144</v>
      </c>
      <c r="I6" s="856"/>
      <c r="J6" s="846">
        <v>836.99999999999966</v>
      </c>
      <c r="K6" s="846">
        <v>1103.0000000000005</v>
      </c>
      <c r="L6" s="861">
        <v>1093.9999999999998</v>
      </c>
      <c r="M6" s="168"/>
    </row>
    <row r="7" spans="1:13" s="43" customFormat="1" ht="13.5" customHeight="1">
      <c r="B7" s="430" t="s">
        <v>277</v>
      </c>
      <c r="C7" s="862">
        <v>1286</v>
      </c>
      <c r="D7" s="878"/>
      <c r="E7" s="863">
        <v>1558</v>
      </c>
      <c r="F7" s="864">
        <v>1581</v>
      </c>
      <c r="G7" s="864">
        <v>1870</v>
      </c>
      <c r="H7" s="865">
        <v>1526</v>
      </c>
      <c r="I7" s="878"/>
      <c r="J7" s="866">
        <v>1400</v>
      </c>
      <c r="K7" s="866">
        <v>1222</v>
      </c>
      <c r="L7" s="864">
        <v>1760</v>
      </c>
      <c r="M7" s="69"/>
    </row>
    <row r="8" spans="1:13" s="16" customFormat="1" ht="12" customHeight="1">
      <c r="A8" s="43"/>
      <c r="B8" s="663" t="s">
        <v>278</v>
      </c>
      <c r="C8" s="1283">
        <v>4643.9999999999982</v>
      </c>
      <c r="D8" s="175"/>
      <c r="E8" s="867">
        <v>3451.9999999999977</v>
      </c>
      <c r="F8" s="1284">
        <v>3749.9999999999968</v>
      </c>
      <c r="G8" s="1284">
        <v>3903.0000000000005</v>
      </c>
      <c r="H8" s="1285">
        <v>3570</v>
      </c>
      <c r="I8" s="175"/>
      <c r="J8" s="1286">
        <v>3221.0000000000027</v>
      </c>
      <c r="K8" s="1286">
        <v>3289.9999999999977</v>
      </c>
      <c r="L8" s="1284">
        <v>3706.9999999999991</v>
      </c>
      <c r="M8" s="175"/>
    </row>
    <row r="9" spans="1:13" s="16" customFormat="1" ht="12" customHeight="1">
      <c r="A9" s="19"/>
      <c r="B9" s="664" t="s">
        <v>243</v>
      </c>
      <c r="C9" s="1287">
        <v>-1609</v>
      </c>
      <c r="D9" s="52"/>
      <c r="E9" s="848">
        <v>-329.00000000000006</v>
      </c>
      <c r="F9" s="1230">
        <v>-352</v>
      </c>
      <c r="G9" s="1230">
        <v>-247</v>
      </c>
      <c r="H9" s="1231">
        <v>-245.00000000000003</v>
      </c>
      <c r="I9" s="52"/>
      <c r="J9" s="1204">
        <v>-354.00000000000006</v>
      </c>
      <c r="K9" s="1204">
        <v>-143</v>
      </c>
      <c r="L9" s="1230">
        <v>-68.000000000000028</v>
      </c>
      <c r="M9" s="52"/>
    </row>
    <row r="10" spans="1:13" s="16" customFormat="1" ht="12" customHeight="1">
      <c r="A10" s="19"/>
      <c r="B10" s="642" t="s">
        <v>289</v>
      </c>
      <c r="C10" s="1288">
        <v>3034.9999999999982</v>
      </c>
      <c r="D10" s="175"/>
      <c r="E10" s="847">
        <v>3122.9999999999986</v>
      </c>
      <c r="F10" s="643">
        <v>3397.9999999999968</v>
      </c>
      <c r="G10" s="643">
        <v>3656.0000000000005</v>
      </c>
      <c r="H10" s="1229">
        <v>3324.9999999999986</v>
      </c>
      <c r="I10" s="175"/>
      <c r="J10" s="1206">
        <v>2867.0000000000023</v>
      </c>
      <c r="K10" s="1206">
        <v>3146.9999999999964</v>
      </c>
      <c r="L10" s="643">
        <v>3638.9999999999982</v>
      </c>
      <c r="M10" s="175"/>
    </row>
    <row r="11" spans="1:13" s="16" customFormat="1" ht="10.199999999999999">
      <c r="A11" s="19"/>
      <c r="B11" s="603" t="s">
        <v>279</v>
      </c>
      <c r="C11" s="1289">
        <v>-2219</v>
      </c>
      <c r="D11" s="52"/>
      <c r="E11" s="849">
        <v>-2240</v>
      </c>
      <c r="F11" s="55">
        <v>-2282</v>
      </c>
      <c r="G11" s="55">
        <v>-2435</v>
      </c>
      <c r="H11" s="1233">
        <v>-2206</v>
      </c>
      <c r="I11" s="52"/>
      <c r="J11" s="646">
        <v>-2441</v>
      </c>
      <c r="K11" s="646">
        <v>-2277</v>
      </c>
      <c r="L11" s="55">
        <v>-2306</v>
      </c>
      <c r="M11" s="55"/>
    </row>
    <row r="12" spans="1:13" s="16" customFormat="1" ht="12" customHeight="1">
      <c r="A12" s="19"/>
      <c r="B12" s="645" t="s">
        <v>290</v>
      </c>
      <c r="C12" s="1287">
        <v>0</v>
      </c>
      <c r="D12" s="52"/>
      <c r="E12" s="848">
        <v>-174.39999999999995</v>
      </c>
      <c r="F12" s="1230">
        <v>0</v>
      </c>
      <c r="G12" s="1230">
        <v>0</v>
      </c>
      <c r="H12" s="1231">
        <v>0</v>
      </c>
      <c r="I12" s="52"/>
      <c r="J12" s="1204">
        <v>-210.29999997999997</v>
      </c>
      <c r="K12" s="1204">
        <v>0</v>
      </c>
      <c r="L12" s="1230">
        <v>0</v>
      </c>
      <c r="M12" s="55"/>
    </row>
    <row r="13" spans="1:13" s="43" customFormat="1" ht="12" customHeight="1">
      <c r="A13" s="19"/>
      <c r="B13" s="642" t="s">
        <v>281</v>
      </c>
      <c r="C13" s="1288">
        <v>-2219</v>
      </c>
      <c r="D13" s="175"/>
      <c r="E13" s="847">
        <v>-2414.4</v>
      </c>
      <c r="F13" s="643">
        <v>-2282</v>
      </c>
      <c r="G13" s="643">
        <v>-2435</v>
      </c>
      <c r="H13" s="1229">
        <v>-2206</v>
      </c>
      <c r="I13" s="175"/>
      <c r="J13" s="1206">
        <v>-2651.2999999799999</v>
      </c>
      <c r="K13" s="1206">
        <v>-2277</v>
      </c>
      <c r="L13" s="643">
        <v>-2306</v>
      </c>
      <c r="M13" s="55"/>
    </row>
    <row r="14" spans="1:13" s="16" customFormat="1" ht="12" customHeight="1">
      <c r="A14" s="19"/>
      <c r="B14" s="665" t="s">
        <v>246</v>
      </c>
      <c r="C14" s="1290">
        <v>0</v>
      </c>
      <c r="D14" s="52"/>
      <c r="E14" s="868">
        <v>-86.480076068362692</v>
      </c>
      <c r="F14" s="1291">
        <v>0</v>
      </c>
      <c r="G14" s="1291">
        <v>-11.39401378</v>
      </c>
      <c r="H14" s="1292">
        <v>-19.153093810000001</v>
      </c>
      <c r="I14" s="52"/>
      <c r="J14" s="1293">
        <v>-32.751779531307932</v>
      </c>
      <c r="K14" s="1293">
        <v>-32.10699958</v>
      </c>
      <c r="L14" s="1291">
        <v>-46.558188129830448</v>
      </c>
      <c r="M14" s="52"/>
    </row>
    <row r="15" spans="1:13" s="16" customFormat="1" ht="12" customHeight="1">
      <c r="A15" s="19"/>
      <c r="B15" s="663" t="s">
        <v>247</v>
      </c>
      <c r="C15" s="1283">
        <v>-2219</v>
      </c>
      <c r="D15" s="175"/>
      <c r="E15" s="867">
        <v>-2500.0000000000005</v>
      </c>
      <c r="F15" s="1284">
        <v>-2281.9999999999995</v>
      </c>
      <c r="G15" s="1284">
        <v>-2445.9999999999991</v>
      </c>
      <c r="H15" s="1285">
        <v>-2224.9999999999995</v>
      </c>
      <c r="I15" s="175"/>
      <c r="J15" s="1286">
        <v>-2683.9999999999991</v>
      </c>
      <c r="K15" s="1286">
        <v>-2309.0000000000009</v>
      </c>
      <c r="L15" s="1284">
        <v>-2353</v>
      </c>
      <c r="M15" s="175"/>
    </row>
    <row r="16" spans="1:13" s="16" customFormat="1" ht="12" customHeight="1">
      <c r="A16" s="19"/>
      <c r="B16" s="645" t="s">
        <v>248</v>
      </c>
      <c r="C16" s="1287">
        <v>6.0000000000003837</v>
      </c>
      <c r="D16" s="52"/>
      <c r="E16" s="848">
        <v>16.99999999999941</v>
      </c>
      <c r="F16" s="1230">
        <v>20.999999999998835</v>
      </c>
      <c r="G16" s="1230">
        <v>12.999999999999019</v>
      </c>
      <c r="H16" s="1231">
        <v>17.999999999999897</v>
      </c>
      <c r="I16" s="52"/>
      <c r="J16" s="1204">
        <v>31.999999999999318</v>
      </c>
      <c r="K16" s="1204">
        <v>12.000000000000004</v>
      </c>
      <c r="L16" s="1230">
        <v>10.999999999999998</v>
      </c>
      <c r="M16" s="52"/>
    </row>
    <row r="17" spans="1:13" s="17" customFormat="1" ht="12" customHeight="1">
      <c r="A17" s="28"/>
      <c r="B17" s="642" t="s">
        <v>312</v>
      </c>
      <c r="C17" s="1288">
        <v>821.99999999999829</v>
      </c>
      <c r="D17" s="175"/>
      <c r="E17" s="847">
        <v>639.99999999999807</v>
      </c>
      <c r="F17" s="643">
        <v>1136.999999999997</v>
      </c>
      <c r="G17" s="643">
        <v>1222.9999999999993</v>
      </c>
      <c r="H17" s="1229">
        <v>1117.9999999999991</v>
      </c>
      <c r="I17" s="175"/>
      <c r="J17" s="1206">
        <v>215.00000000000097</v>
      </c>
      <c r="K17" s="1206">
        <v>849.99999999999864</v>
      </c>
      <c r="L17" s="643">
        <v>1296.9999999999982</v>
      </c>
      <c r="M17" s="175"/>
    </row>
    <row r="18" spans="1:13" s="16" customFormat="1" ht="10.199999999999999">
      <c r="A18" s="19"/>
      <c r="B18" s="603" t="s">
        <v>336</v>
      </c>
      <c r="C18" s="1294">
        <v>528.99999999999829</v>
      </c>
      <c r="D18" s="52"/>
      <c r="E18" s="850">
        <v>396.99999999999778</v>
      </c>
      <c r="F18" s="52">
        <v>798.99999999999568</v>
      </c>
      <c r="G18" s="52">
        <v>831.99999999999886</v>
      </c>
      <c r="H18" s="1234">
        <v>788</v>
      </c>
      <c r="I18" s="52"/>
      <c r="J18" s="51">
        <v>-21</v>
      </c>
      <c r="K18" s="51">
        <v>687</v>
      </c>
      <c r="L18" s="52">
        <v>926</v>
      </c>
      <c r="M18" s="52"/>
    </row>
    <row r="19" spans="1:13" s="16" customFormat="1" ht="12" customHeight="1">
      <c r="A19" s="19"/>
      <c r="B19" s="655"/>
      <c r="C19" s="882"/>
      <c r="D19" s="52"/>
      <c r="E19" s="882"/>
      <c r="F19" s="52"/>
      <c r="G19" s="52"/>
      <c r="H19" s="52"/>
      <c r="I19" s="52"/>
      <c r="J19" s="51"/>
      <c r="K19" s="51"/>
      <c r="L19" s="52"/>
      <c r="M19" s="51"/>
    </row>
    <row r="20" spans="1:13" s="17" customFormat="1" ht="12" customHeight="1">
      <c r="A20" s="28"/>
      <c r="B20" s="666" t="s">
        <v>293</v>
      </c>
      <c r="C20" s="1241" t="s">
        <v>263</v>
      </c>
      <c r="D20" s="661"/>
      <c r="E20" s="853" t="s">
        <v>263</v>
      </c>
      <c r="F20" s="1241" t="s">
        <v>263</v>
      </c>
      <c r="G20" s="1241" t="s">
        <v>263</v>
      </c>
      <c r="H20" s="1241" t="s">
        <v>263</v>
      </c>
      <c r="I20" s="661"/>
      <c r="J20" s="619" t="s">
        <v>263</v>
      </c>
      <c r="K20" s="619" t="s">
        <v>263</v>
      </c>
      <c r="L20" s="1241" t="s">
        <v>263</v>
      </c>
      <c r="M20" s="173"/>
    </row>
    <row r="21" spans="1:13" s="16" customFormat="1" ht="13.5" customHeight="1">
      <c r="A21" s="19"/>
      <c r="B21" s="667" t="s">
        <v>313</v>
      </c>
      <c r="C21" s="606">
        <v>167042.61034857048</v>
      </c>
      <c r="D21" s="56"/>
      <c r="E21" s="854">
        <v>132813.91300599993</v>
      </c>
      <c r="F21" s="1242">
        <v>138077.85834216975</v>
      </c>
      <c r="G21" s="1242">
        <v>134842.81809569008</v>
      </c>
      <c r="H21" s="1243">
        <v>130931.97220735015</v>
      </c>
      <c r="I21" s="56"/>
      <c r="J21" s="620">
        <v>127214.91770040014</v>
      </c>
      <c r="K21" s="620">
        <v>132392.74536940991</v>
      </c>
      <c r="L21" s="1242">
        <v>125490.85345451986</v>
      </c>
      <c r="M21" s="56"/>
    </row>
    <row r="22" spans="1:13" s="43" customFormat="1" ht="13.5" customHeight="1">
      <c r="A22" s="19"/>
      <c r="B22" s="511" t="s">
        <v>314</v>
      </c>
      <c r="C22" s="608">
        <v>101595</v>
      </c>
      <c r="D22" s="56"/>
      <c r="E22" s="855">
        <v>113332.14104000002</v>
      </c>
      <c r="F22" s="56">
        <v>119384</v>
      </c>
      <c r="G22" s="56">
        <v>120019.99999999999</v>
      </c>
      <c r="H22" s="1246">
        <v>117236</v>
      </c>
      <c r="I22" s="56"/>
      <c r="J22" s="601">
        <v>104033</v>
      </c>
      <c r="K22" s="601">
        <v>124592</v>
      </c>
      <c r="L22" s="56">
        <v>116533.99999999999</v>
      </c>
      <c r="M22" s="56"/>
    </row>
    <row r="23" spans="1:13" s="16" customFormat="1" ht="12" customHeight="1">
      <c r="A23" s="19"/>
      <c r="B23" s="511" t="s">
        <v>315</v>
      </c>
      <c r="C23" s="608">
        <v>341541.99999999959</v>
      </c>
      <c r="D23" s="56"/>
      <c r="E23" s="855">
        <v>228863.99999999959</v>
      </c>
      <c r="F23" s="56">
        <v>286021.00000000006</v>
      </c>
      <c r="G23" s="56">
        <v>243795.99999999985</v>
      </c>
      <c r="H23" s="1246">
        <v>217298.0000000002</v>
      </c>
      <c r="I23" s="56"/>
      <c r="J23" s="601">
        <v>222099.00000000015</v>
      </c>
      <c r="K23" s="601">
        <v>214796.9999999998</v>
      </c>
      <c r="L23" s="56">
        <v>228150.00000000041</v>
      </c>
      <c r="M23" s="56"/>
    </row>
    <row r="24" spans="1:13" s="16" customFormat="1" ht="22.2" customHeight="1">
      <c r="A24" s="19"/>
      <c r="B24" s="511" t="s">
        <v>316</v>
      </c>
      <c r="C24" s="608">
        <v>188407.75363888999</v>
      </c>
      <c r="D24" s="56"/>
      <c r="E24" s="855">
        <v>128383.28827738011</v>
      </c>
      <c r="F24" s="56">
        <v>157971.06743020992</v>
      </c>
      <c r="G24" s="56">
        <v>154747.20414643994</v>
      </c>
      <c r="H24" s="1246">
        <v>153482.59807947997</v>
      </c>
      <c r="I24" s="56"/>
      <c r="J24" s="601">
        <v>144719.45480896006</v>
      </c>
      <c r="K24" s="601">
        <v>147818.07632054004</v>
      </c>
      <c r="L24" s="56">
        <v>141202.41498812</v>
      </c>
      <c r="M24" s="56"/>
    </row>
    <row r="25" spans="1:13" s="16" customFormat="1" ht="10.199999999999999">
      <c r="A25" s="19"/>
      <c r="B25" s="491" t="s">
        <v>317</v>
      </c>
      <c r="C25" s="608">
        <v>153222.04710938997</v>
      </c>
      <c r="D25" s="56"/>
      <c r="E25" s="855">
        <v>79379.067021339986</v>
      </c>
      <c r="F25" s="56">
        <v>112457.70509418998</v>
      </c>
      <c r="G25" s="56">
        <v>101259.79807968</v>
      </c>
      <c r="H25" s="1246">
        <v>97800</v>
      </c>
      <c r="I25" s="56"/>
      <c r="J25" s="601">
        <v>74300</v>
      </c>
      <c r="K25" s="601">
        <v>94300</v>
      </c>
      <c r="L25" s="56">
        <v>91500</v>
      </c>
      <c r="M25" s="56"/>
    </row>
    <row r="26" spans="1:13" s="43" customFormat="1" ht="10.199999999999999">
      <c r="A26" s="19"/>
      <c r="B26" s="665" t="s">
        <v>318</v>
      </c>
      <c r="C26" s="1295">
        <v>201500</v>
      </c>
      <c r="D26" s="56"/>
      <c r="E26" s="869">
        <v>178600</v>
      </c>
      <c r="F26" s="1296">
        <v>195600</v>
      </c>
      <c r="G26" s="1296">
        <v>196800</v>
      </c>
      <c r="H26" s="1297">
        <v>202300</v>
      </c>
      <c r="I26" s="56"/>
      <c r="J26" s="1298">
        <v>189800</v>
      </c>
      <c r="K26" s="1298">
        <v>186300</v>
      </c>
      <c r="L26" s="1296">
        <v>183600</v>
      </c>
      <c r="M26" s="56"/>
    </row>
    <row r="27" spans="1:13" s="16" customFormat="1" ht="11.4">
      <c r="A27" s="19"/>
      <c r="B27" s="663" t="s">
        <v>319</v>
      </c>
      <c r="C27" s="1299">
        <v>1153201</v>
      </c>
      <c r="D27" s="1272"/>
      <c r="E27" s="870">
        <v>861358.14104000025</v>
      </c>
      <c r="F27" s="1300">
        <v>1009573.9999999995</v>
      </c>
      <c r="G27" s="1300">
        <v>951413.0000000007</v>
      </c>
      <c r="H27" s="1301">
        <v>918950.00000000047</v>
      </c>
      <c r="I27" s="1272"/>
      <c r="J27" s="1302">
        <v>862128.00000000023</v>
      </c>
      <c r="K27" s="1302">
        <v>900193.99999999977</v>
      </c>
      <c r="L27" s="1300">
        <v>886536.00000000012</v>
      </c>
      <c r="M27" s="56"/>
    </row>
    <row r="28" spans="1:13" s="16" customFormat="1" ht="12" customHeight="1">
      <c r="A28" s="19"/>
      <c r="B28" s="603" t="s">
        <v>320</v>
      </c>
      <c r="C28" s="608">
        <v>263251.72216677992</v>
      </c>
      <c r="D28" s="56"/>
      <c r="E28" s="855">
        <v>209951.37858447005</v>
      </c>
      <c r="F28" s="56">
        <v>217610.23377307018</v>
      </c>
      <c r="G28" s="56">
        <v>212040.66480457009</v>
      </c>
      <c r="H28" s="1246">
        <v>215505.13425512018</v>
      </c>
      <c r="I28" s="56"/>
      <c r="J28" s="601">
        <v>197219.43275432999</v>
      </c>
      <c r="K28" s="601">
        <v>200338.46491608984</v>
      </c>
      <c r="L28" s="56">
        <v>191022.44245958023</v>
      </c>
      <c r="M28" s="56"/>
    </row>
    <row r="29" spans="1:13" s="16" customFormat="1" ht="12" customHeight="1">
      <c r="A29" s="19"/>
      <c r="B29" s="511" t="s">
        <v>321</v>
      </c>
      <c r="C29" s="608">
        <v>338775.99999999977</v>
      </c>
      <c r="D29" s="56"/>
      <c r="E29" s="855">
        <v>228896.99999999994</v>
      </c>
      <c r="F29" s="56">
        <v>283267.00000000029</v>
      </c>
      <c r="G29" s="56">
        <v>242976.99999999997</v>
      </c>
      <c r="H29" s="1246">
        <v>213489</v>
      </c>
      <c r="I29" s="56"/>
      <c r="J29" s="601">
        <v>219576.99999999985</v>
      </c>
      <c r="K29" s="601">
        <v>213694.9999999998</v>
      </c>
      <c r="L29" s="56">
        <v>224909.00000000006</v>
      </c>
      <c r="M29" s="56"/>
    </row>
    <row r="30" spans="1:13" s="74" customFormat="1" ht="12" customHeight="1">
      <c r="A30" s="491"/>
      <c r="B30" s="603" t="s">
        <v>273</v>
      </c>
      <c r="C30" s="668">
        <v>0.63</v>
      </c>
      <c r="D30" s="1261"/>
      <c r="E30" s="871">
        <v>0.63</v>
      </c>
      <c r="F30" s="1261">
        <v>0.63</v>
      </c>
      <c r="G30" s="1261">
        <v>0.64</v>
      </c>
      <c r="H30" s="1303">
        <v>0.61</v>
      </c>
      <c r="I30" s="1261"/>
      <c r="J30" s="938">
        <v>0.65</v>
      </c>
      <c r="K30" s="938">
        <v>0.66</v>
      </c>
      <c r="L30" s="937">
        <v>0.66</v>
      </c>
      <c r="M30" s="60"/>
    </row>
    <row r="31" spans="1:13" s="16" customFormat="1" ht="12" customHeight="1">
      <c r="A31" s="19"/>
      <c r="B31" s="603" t="s">
        <v>267</v>
      </c>
      <c r="C31" s="608">
        <v>237908.00000000006</v>
      </c>
      <c r="D31" s="56"/>
      <c r="E31" s="855">
        <v>209243.29979673817</v>
      </c>
      <c r="F31" s="56">
        <v>223051.00000000009</v>
      </c>
      <c r="G31" s="56">
        <v>214772</v>
      </c>
      <c r="H31" s="1246">
        <v>216070.93822423398</v>
      </c>
      <c r="I31" s="56"/>
      <c r="J31" s="601">
        <v>210741.00000000006</v>
      </c>
      <c r="K31" s="601">
        <v>214595.00000000006</v>
      </c>
      <c r="L31" s="56">
        <v>218015</v>
      </c>
      <c r="M31" s="56"/>
    </row>
    <row r="32" spans="1:13" s="74" customFormat="1" ht="12" customHeight="1">
      <c r="A32" s="491"/>
      <c r="B32" s="603" t="s">
        <v>296</v>
      </c>
      <c r="C32" s="608">
        <v>34241.552147438968</v>
      </c>
      <c r="D32" s="56"/>
      <c r="E32" s="855">
        <v>29622.522133001308</v>
      </c>
      <c r="F32" s="56">
        <v>31409.82052472149</v>
      </c>
      <c r="G32" s="56">
        <v>30214.463987011652</v>
      </c>
      <c r="H32" s="1246">
        <v>30620.902612931292</v>
      </c>
      <c r="I32" s="56"/>
      <c r="J32" s="601">
        <v>29887.857070865113</v>
      </c>
      <c r="K32" s="601">
        <v>30229.836229169494</v>
      </c>
      <c r="L32" s="56">
        <v>30507.802319119754</v>
      </c>
      <c r="M32" s="56"/>
    </row>
    <row r="33" spans="1:13" ht="12" customHeight="1">
      <c r="A33" s="65"/>
      <c r="B33" s="603"/>
      <c r="C33" s="974"/>
      <c r="D33" s="656"/>
      <c r="E33" s="882"/>
      <c r="F33" s="656"/>
      <c r="G33" s="656"/>
      <c r="H33" s="656"/>
      <c r="I33" s="656"/>
      <c r="J33" s="57"/>
      <c r="K33" s="57"/>
      <c r="L33" s="656"/>
      <c r="M33" s="57"/>
    </row>
    <row r="34" spans="1:13" s="16" customFormat="1" ht="12" customHeight="1">
      <c r="A34" s="19"/>
      <c r="B34" s="666" t="s">
        <v>254</v>
      </c>
      <c r="C34" s="973"/>
      <c r="D34" s="939"/>
      <c r="E34" s="852"/>
      <c r="F34" s="979"/>
      <c r="G34" s="979"/>
      <c r="H34" s="979"/>
      <c r="I34" s="939"/>
      <c r="J34" s="973"/>
      <c r="K34" s="973"/>
      <c r="L34" s="979"/>
      <c r="M34" s="161"/>
    </row>
    <row r="35" spans="1:13" s="16" customFormat="1" ht="12" customHeight="1">
      <c r="A35" s="19"/>
      <c r="B35" s="603" t="s">
        <v>297</v>
      </c>
      <c r="C35" s="933">
        <v>6.5000000000000002E-2</v>
      </c>
      <c r="D35" s="934"/>
      <c r="E35" s="935">
        <v>5.0999999999999997E-2</v>
      </c>
      <c r="F35" s="934">
        <v>9.9000000000000005E-2</v>
      </c>
      <c r="G35" s="934">
        <v>0.107</v>
      </c>
      <c r="H35" s="933">
        <v>0.104</v>
      </c>
      <c r="I35" s="934"/>
      <c r="J35" s="935">
        <v>-3.0000000000000001E-3</v>
      </c>
      <c r="K35" s="935">
        <v>8.7999999999999995E-2</v>
      </c>
      <c r="L35" s="934">
        <v>0.11799999999999999</v>
      </c>
      <c r="M35" s="58"/>
    </row>
    <row r="36" spans="1:13" s="16" customFormat="1" ht="12" customHeight="1">
      <c r="A36" s="19"/>
      <c r="B36" s="603" t="s">
        <v>298</v>
      </c>
      <c r="C36" s="608">
        <v>32332.083895265274</v>
      </c>
      <c r="D36" s="59"/>
      <c r="E36" s="855">
        <v>30900.697507567365</v>
      </c>
      <c r="F36" s="59">
        <v>32151.102137715505</v>
      </c>
      <c r="G36" s="59">
        <v>31115.198079764486</v>
      </c>
      <c r="H36" s="608">
        <v>30452.118644383223</v>
      </c>
      <c r="I36" s="59"/>
      <c r="J36" s="616">
        <v>31289.781341632632</v>
      </c>
      <c r="K36" s="616">
        <v>31129.213024833942</v>
      </c>
      <c r="L36" s="59">
        <v>31403.451407121498</v>
      </c>
      <c r="M36" s="59"/>
    </row>
    <row r="37" spans="1:13" s="16" customFormat="1" ht="12" customHeight="1">
      <c r="A37" s="140"/>
      <c r="B37" s="603" t="s">
        <v>299</v>
      </c>
      <c r="C37" s="936">
        <v>0.48</v>
      </c>
      <c r="D37" s="937"/>
      <c r="E37" s="938">
        <v>0.72</v>
      </c>
      <c r="F37" s="937">
        <v>0.61</v>
      </c>
      <c r="G37" s="937">
        <v>0.63</v>
      </c>
      <c r="H37" s="936">
        <v>0.62</v>
      </c>
      <c r="I37" s="937"/>
      <c r="J37" s="938">
        <v>0.83</v>
      </c>
      <c r="K37" s="938">
        <v>0.7</v>
      </c>
      <c r="L37" s="937">
        <v>0.63</v>
      </c>
      <c r="M37" s="60"/>
    </row>
    <row r="38" spans="1:13" s="16" customFormat="1" ht="12" customHeight="1">
      <c r="A38" s="19"/>
      <c r="B38" s="657" t="s">
        <v>258</v>
      </c>
      <c r="C38" s="881">
        <v>376.93220565349304</v>
      </c>
      <c r="D38" s="878"/>
      <c r="E38" s="975">
        <v>95.627063770509807</v>
      </c>
      <c r="F38" s="878">
        <v>98.71613517785589</v>
      </c>
      <c r="G38" s="878">
        <v>72.035379585287785</v>
      </c>
      <c r="H38" s="881">
        <v>73</v>
      </c>
      <c r="I38" s="878"/>
      <c r="J38" s="975">
        <v>107</v>
      </c>
      <c r="K38" s="975">
        <v>41</v>
      </c>
      <c r="L38" s="878">
        <v>22</v>
      </c>
      <c r="M38" s="69"/>
    </row>
    <row r="39" spans="1:13" ht="12" customHeight="1">
      <c r="A39" s="65"/>
      <c r="B39" s="603" t="s">
        <v>300</v>
      </c>
      <c r="C39" s="872">
        <v>3.9300000000000002E-2</v>
      </c>
      <c r="D39" s="873"/>
      <c r="E39" s="851">
        <v>4.2900000000000001E-2</v>
      </c>
      <c r="F39" s="873">
        <v>4.1000000000000002E-2</v>
      </c>
      <c r="G39" s="873">
        <v>3.9100000000000003E-2</v>
      </c>
      <c r="H39" s="872">
        <v>3.9899999999999998E-2</v>
      </c>
      <c r="I39" s="873"/>
      <c r="J39" s="851">
        <v>3.9800000000000002E-2</v>
      </c>
      <c r="K39" s="851">
        <v>3.8699999999999998E-2</v>
      </c>
      <c r="L39" s="873">
        <v>4.0300000000000002E-2</v>
      </c>
      <c r="M39" s="127"/>
    </row>
    <row r="40" spans="1:13" s="74" customFormat="1" ht="12" customHeight="1">
      <c r="A40" s="65"/>
      <c r="B40" s="670"/>
      <c r="C40" s="874"/>
      <c r="D40" s="875"/>
      <c r="E40" s="875"/>
      <c r="F40" s="875"/>
      <c r="G40" s="875"/>
      <c r="H40" s="875"/>
      <c r="I40" s="875"/>
      <c r="J40" s="875"/>
      <c r="K40" s="875"/>
      <c r="L40" s="875"/>
      <c r="M40" s="62"/>
    </row>
    <row r="41" spans="1:13" s="74" customFormat="1" ht="28.8">
      <c r="A41" s="65"/>
      <c r="B41" s="666" t="s">
        <v>36</v>
      </c>
      <c r="C41" s="972" t="s">
        <v>25</v>
      </c>
      <c r="D41" s="887"/>
      <c r="E41" s="972" t="s">
        <v>25</v>
      </c>
      <c r="F41" s="972" t="s">
        <v>25</v>
      </c>
      <c r="G41" s="972" t="s">
        <v>25</v>
      </c>
      <c r="H41" s="970" t="s">
        <v>25</v>
      </c>
      <c r="I41" s="887"/>
      <c r="J41" s="970" t="s">
        <v>25</v>
      </c>
      <c r="K41" s="970" t="s">
        <v>25</v>
      </c>
      <c r="L41" s="972" t="s">
        <v>25</v>
      </c>
      <c r="M41" s="174"/>
    </row>
    <row r="42" spans="1:13" s="74" customFormat="1" ht="12" customHeight="1">
      <c r="A42" s="65"/>
      <c r="B42" s="669" t="s">
        <v>261</v>
      </c>
      <c r="C42" s="883">
        <v>821.98531330999822</v>
      </c>
      <c r="D42" s="888"/>
      <c r="E42" s="886">
        <v>726.48007606836075</v>
      </c>
      <c r="F42" s="886">
        <v>1137</v>
      </c>
      <c r="G42" s="886">
        <v>1234.3940137799991</v>
      </c>
      <c r="H42" s="883">
        <v>1137.1530938099988</v>
      </c>
      <c r="I42" s="888"/>
      <c r="J42" s="886">
        <v>247.7517795313089</v>
      </c>
      <c r="K42" s="886">
        <v>882.10699957999873</v>
      </c>
      <c r="L42" s="886">
        <v>1343.5581881298285</v>
      </c>
      <c r="M42" s="176"/>
    </row>
    <row r="43" spans="1:13" s="74" customFormat="1" ht="12" customHeight="1">
      <c r="A43" s="65"/>
      <c r="B43" s="603" t="s">
        <v>262</v>
      </c>
      <c r="C43" s="1266">
        <v>528.99105538559832</v>
      </c>
      <c r="D43" s="126"/>
      <c r="E43" s="876">
        <v>460.87985784086209</v>
      </c>
      <c r="F43" s="659">
        <v>800.7862743454549</v>
      </c>
      <c r="G43" s="659">
        <v>839.51806643869884</v>
      </c>
      <c r="H43" s="1266">
        <v>803.85309380999922</v>
      </c>
      <c r="I43" s="126"/>
      <c r="J43" s="659">
        <v>13</v>
      </c>
      <c r="K43" s="659">
        <v>713</v>
      </c>
      <c r="L43" s="659">
        <v>960</v>
      </c>
      <c r="M43" s="126"/>
    </row>
    <row r="44" spans="1:13" s="74" customFormat="1" ht="12" customHeight="1">
      <c r="A44" s="65"/>
      <c r="B44" s="657" t="s">
        <v>297</v>
      </c>
      <c r="C44" s="933">
        <v>6.5000000000000002E-2</v>
      </c>
      <c r="D44" s="934"/>
      <c r="E44" s="935">
        <v>0.06</v>
      </c>
      <c r="F44" s="935">
        <v>0.1</v>
      </c>
      <c r="G44" s="935">
        <v>0.108</v>
      </c>
      <c r="H44" s="933">
        <v>0.106</v>
      </c>
      <c r="I44" s="934"/>
      <c r="J44" s="935">
        <v>2E-3</v>
      </c>
      <c r="K44" s="935">
        <v>9.1999999999999998E-2</v>
      </c>
      <c r="L44" s="935">
        <v>0.122</v>
      </c>
      <c r="M44" s="58"/>
    </row>
    <row r="45" spans="1:13" s="74" customFormat="1" ht="12" customHeight="1">
      <c r="A45" s="65"/>
      <c r="B45" s="603" t="s">
        <v>257</v>
      </c>
      <c r="C45" s="936">
        <v>0.48</v>
      </c>
      <c r="D45" s="937"/>
      <c r="E45" s="938">
        <v>0.7</v>
      </c>
      <c r="F45" s="938">
        <v>0.61</v>
      </c>
      <c r="G45" s="938">
        <v>0.62</v>
      </c>
      <c r="H45" s="936">
        <v>0.62</v>
      </c>
      <c r="I45" s="937"/>
      <c r="J45" s="938">
        <v>0.82</v>
      </c>
      <c r="K45" s="938">
        <v>0.69</v>
      </c>
      <c r="L45" s="938">
        <v>0.62</v>
      </c>
      <c r="M45" s="60"/>
    </row>
    <row r="46" spans="1:13" s="74" customFormat="1" ht="12" customHeight="1">
      <c r="A46" s="65"/>
      <c r="D46" s="491"/>
      <c r="E46" s="75"/>
      <c r="J46" s="75"/>
    </row>
    <row r="47" spans="1:13" s="74" customFormat="1" ht="12" customHeight="1">
      <c r="A47" s="65"/>
      <c r="D47" s="491"/>
      <c r="E47" s="75"/>
      <c r="J47" s="75"/>
    </row>
    <row r="48" spans="1:13" ht="12" customHeight="1">
      <c r="K48" s="74" t="s">
        <v>1</v>
      </c>
      <c r="L48" s="74"/>
    </row>
    <row r="49" spans="1:13" ht="15.6">
      <c r="B49" s="272" t="s">
        <v>59</v>
      </c>
      <c r="C49" s="162"/>
      <c r="D49" s="162"/>
      <c r="E49" s="162"/>
      <c r="F49" s="162"/>
      <c r="G49" s="162"/>
      <c r="H49" s="162"/>
      <c r="I49" s="162"/>
      <c r="J49" s="162"/>
      <c r="K49" s="511"/>
      <c r="L49" s="511"/>
      <c r="M49" s="14"/>
    </row>
    <row r="50" spans="1:13" ht="12" customHeight="1">
      <c r="B50" s="50"/>
      <c r="C50" s="698"/>
      <c r="D50" s="699"/>
      <c r="E50" s="698"/>
      <c r="F50" s="698"/>
      <c r="G50" s="698"/>
      <c r="H50" s="698"/>
      <c r="I50" s="699"/>
      <c r="J50" s="698"/>
      <c r="K50" s="698"/>
      <c r="L50" s="698"/>
      <c r="M50" s="14"/>
    </row>
    <row r="51" spans="1:13" ht="15.6">
      <c r="B51" s="77" t="s">
        <v>403</v>
      </c>
      <c r="C51" s="164" t="s">
        <v>274</v>
      </c>
      <c r="D51" s="163"/>
      <c r="E51" s="164" t="s">
        <v>159</v>
      </c>
      <c r="F51" s="164" t="s">
        <v>152</v>
      </c>
      <c r="G51" s="164" t="s">
        <v>52</v>
      </c>
      <c r="H51" s="164" t="s">
        <v>53</v>
      </c>
      <c r="I51" s="163"/>
      <c r="J51" s="164" t="s">
        <v>54</v>
      </c>
      <c r="K51" s="164" t="s">
        <v>55</v>
      </c>
      <c r="L51" s="164" t="s">
        <v>56</v>
      </c>
      <c r="M51" s="54"/>
    </row>
    <row r="52" spans="1:13" ht="14.4">
      <c r="B52" s="468" t="s">
        <v>275</v>
      </c>
      <c r="C52" s="467" t="s">
        <v>25</v>
      </c>
      <c r="D52" s="466"/>
      <c r="E52" s="465" t="s">
        <v>25</v>
      </c>
      <c r="F52" s="467" t="s">
        <v>25</v>
      </c>
      <c r="G52" s="467" t="s">
        <v>25</v>
      </c>
      <c r="H52" s="467" t="s">
        <v>25</v>
      </c>
      <c r="I52" s="466"/>
      <c r="J52" s="467" t="s">
        <v>25</v>
      </c>
      <c r="K52" s="467" t="s">
        <v>25</v>
      </c>
      <c r="L52" s="467" t="s">
        <v>25</v>
      </c>
      <c r="M52" s="68"/>
    </row>
    <row r="53" spans="1:13" ht="12" customHeight="1">
      <c r="B53" s="463" t="s">
        <v>322</v>
      </c>
      <c r="C53" s="877">
        <v>1858</v>
      </c>
      <c r="D53" s="940"/>
      <c r="E53" s="879">
        <v>726</v>
      </c>
      <c r="F53" s="879">
        <v>816</v>
      </c>
      <c r="G53" s="880">
        <v>920</v>
      </c>
      <c r="H53" s="941">
        <v>902</v>
      </c>
      <c r="I53" s="940"/>
      <c r="J53" s="942">
        <v>570</v>
      </c>
      <c r="K53" s="942">
        <v>688</v>
      </c>
      <c r="L53" s="943">
        <v>736</v>
      </c>
      <c r="M53" s="25"/>
    </row>
    <row r="54" spans="1:13" ht="12" customHeight="1">
      <c r="B54" s="460" t="s">
        <v>323</v>
      </c>
      <c r="C54" s="976">
        <v>564</v>
      </c>
      <c r="D54" s="940"/>
      <c r="E54" s="977">
        <v>409</v>
      </c>
      <c r="F54" s="977">
        <v>494</v>
      </c>
      <c r="G54" s="978">
        <v>517</v>
      </c>
      <c r="H54" s="944">
        <v>467</v>
      </c>
      <c r="I54" s="940"/>
      <c r="J54" s="945">
        <v>375</v>
      </c>
      <c r="K54" s="945">
        <v>471</v>
      </c>
      <c r="L54" s="946">
        <v>601</v>
      </c>
      <c r="M54" s="25"/>
    </row>
    <row r="55" spans="1:13" ht="12" customHeight="1">
      <c r="B55" s="442" t="s">
        <v>324</v>
      </c>
      <c r="C55" s="889">
        <v>2422</v>
      </c>
      <c r="D55" s="890"/>
      <c r="E55" s="891">
        <v>1135</v>
      </c>
      <c r="F55" s="891">
        <v>1310</v>
      </c>
      <c r="G55" s="892">
        <v>1437</v>
      </c>
      <c r="H55" s="947">
        <v>1369</v>
      </c>
      <c r="I55" s="890"/>
      <c r="J55" s="948">
        <v>945</v>
      </c>
      <c r="K55" s="948">
        <v>1159</v>
      </c>
      <c r="L55" s="949">
        <v>1337</v>
      </c>
      <c r="M55" s="177"/>
    </row>
    <row r="56" spans="1:13" ht="12" customHeight="1">
      <c r="B56" s="461" t="s">
        <v>325</v>
      </c>
      <c r="C56" s="881">
        <v>155</v>
      </c>
      <c r="D56" s="940"/>
      <c r="E56" s="975">
        <v>202</v>
      </c>
      <c r="F56" s="975">
        <v>221</v>
      </c>
      <c r="G56" s="878">
        <v>221</v>
      </c>
      <c r="H56" s="881">
        <v>132</v>
      </c>
      <c r="I56" s="940"/>
      <c r="J56" s="975">
        <v>242</v>
      </c>
      <c r="K56" s="975">
        <v>151</v>
      </c>
      <c r="L56" s="975">
        <v>168</v>
      </c>
      <c r="M56" s="434"/>
    </row>
    <row r="57" spans="1:13" ht="12" customHeight="1">
      <c r="B57" s="461" t="s">
        <v>326</v>
      </c>
      <c r="C57" s="881">
        <v>62</v>
      </c>
      <c r="D57" s="940"/>
      <c r="E57" s="975">
        <v>56</v>
      </c>
      <c r="F57" s="975">
        <v>86</v>
      </c>
      <c r="G57" s="878">
        <v>104</v>
      </c>
      <c r="H57" s="881">
        <v>83</v>
      </c>
      <c r="I57" s="940"/>
      <c r="J57" s="975">
        <v>53</v>
      </c>
      <c r="K57" s="975">
        <v>55</v>
      </c>
      <c r="L57" s="975">
        <v>90</v>
      </c>
      <c r="M57" s="434"/>
    </row>
    <row r="58" spans="1:13" ht="12" customHeight="1">
      <c r="B58" s="460" t="s">
        <v>327</v>
      </c>
      <c r="C58" s="976">
        <v>418</v>
      </c>
      <c r="D58" s="940"/>
      <c r="E58" s="977">
        <v>322</v>
      </c>
      <c r="F58" s="977">
        <v>381</v>
      </c>
      <c r="G58" s="978">
        <v>373</v>
      </c>
      <c r="H58" s="976">
        <v>354</v>
      </c>
      <c r="I58" s="940"/>
      <c r="J58" s="977">
        <v>330</v>
      </c>
      <c r="K58" s="977">
        <v>313</v>
      </c>
      <c r="L58" s="977">
        <v>446</v>
      </c>
      <c r="M58" s="434"/>
    </row>
    <row r="59" spans="1:13" ht="12" customHeight="1">
      <c r="B59" s="442" t="s">
        <v>328</v>
      </c>
      <c r="C59" s="889">
        <v>635</v>
      </c>
      <c r="D59" s="890"/>
      <c r="E59" s="891">
        <v>580</v>
      </c>
      <c r="F59" s="891">
        <v>688</v>
      </c>
      <c r="G59" s="892">
        <v>698</v>
      </c>
      <c r="H59" s="947">
        <v>569</v>
      </c>
      <c r="I59" s="890"/>
      <c r="J59" s="948">
        <v>625</v>
      </c>
      <c r="K59" s="948">
        <v>519</v>
      </c>
      <c r="L59" s="949">
        <v>704</v>
      </c>
      <c r="M59" s="25"/>
    </row>
    <row r="60" spans="1:13" ht="12" customHeight="1">
      <c r="B60" s="461" t="s">
        <v>329</v>
      </c>
      <c r="C60" s="881">
        <v>111</v>
      </c>
      <c r="D60" s="940"/>
      <c r="E60" s="975">
        <v>202</v>
      </c>
      <c r="F60" s="975">
        <v>195</v>
      </c>
      <c r="G60" s="878">
        <v>216</v>
      </c>
      <c r="H60" s="950">
        <v>152</v>
      </c>
      <c r="I60" s="940"/>
      <c r="J60" s="940">
        <v>243</v>
      </c>
      <c r="K60" s="940">
        <v>197</v>
      </c>
      <c r="L60" s="951">
        <v>198</v>
      </c>
      <c r="M60" s="25"/>
    </row>
    <row r="61" spans="1:13" ht="12" customHeight="1">
      <c r="B61" s="460" t="s">
        <v>330</v>
      </c>
      <c r="C61" s="976">
        <v>449</v>
      </c>
      <c r="D61" s="940"/>
      <c r="E61" s="977">
        <v>397</v>
      </c>
      <c r="F61" s="977">
        <v>424</v>
      </c>
      <c r="G61" s="978">
        <v>444</v>
      </c>
      <c r="H61" s="944">
        <v>415</v>
      </c>
      <c r="I61" s="940"/>
      <c r="J61" s="945">
        <v>412</v>
      </c>
      <c r="K61" s="945">
        <v>416</v>
      </c>
      <c r="L61" s="946">
        <v>385</v>
      </c>
      <c r="M61" s="25"/>
    </row>
    <row r="62" spans="1:13" ht="12.45" customHeight="1">
      <c r="B62" s="442" t="s">
        <v>331</v>
      </c>
      <c r="C62" s="889">
        <v>560</v>
      </c>
      <c r="D62" s="890"/>
      <c r="E62" s="891">
        <v>599</v>
      </c>
      <c r="F62" s="891">
        <v>619</v>
      </c>
      <c r="G62" s="892">
        <v>660</v>
      </c>
      <c r="H62" s="947">
        <v>567</v>
      </c>
      <c r="I62" s="890"/>
      <c r="J62" s="948">
        <v>655</v>
      </c>
      <c r="K62" s="948">
        <v>613</v>
      </c>
      <c r="L62" s="949">
        <v>583</v>
      </c>
      <c r="M62" s="177"/>
    </row>
    <row r="63" spans="1:13" s="74" customFormat="1" ht="12" customHeight="1">
      <c r="A63" s="491"/>
      <c r="B63" s="460" t="s">
        <v>332</v>
      </c>
      <c r="C63" s="976">
        <v>0</v>
      </c>
      <c r="D63" s="975"/>
      <c r="E63" s="977">
        <v>0</v>
      </c>
      <c r="F63" s="977">
        <v>0</v>
      </c>
      <c r="G63" s="978">
        <v>0</v>
      </c>
      <c r="H63" s="976">
        <v>0</v>
      </c>
      <c r="I63" s="975"/>
      <c r="J63" s="945">
        <v>-74</v>
      </c>
      <c r="K63" s="945">
        <v>-56</v>
      </c>
      <c r="L63" s="946">
        <v>-44</v>
      </c>
      <c r="M63" s="25"/>
    </row>
    <row r="64" spans="1:13" s="74" customFormat="1" ht="13.95" customHeight="1">
      <c r="A64" s="491"/>
      <c r="B64" s="442" t="s">
        <v>278</v>
      </c>
      <c r="C64" s="947">
        <v>3616.9999999999977</v>
      </c>
      <c r="D64" s="890"/>
      <c r="E64" s="948">
        <v>2313.9999999999982</v>
      </c>
      <c r="F64" s="948">
        <v>2616.9999999999973</v>
      </c>
      <c r="G64" s="949">
        <v>2795</v>
      </c>
      <c r="H64" s="947">
        <v>2504.9999999999995</v>
      </c>
      <c r="I64" s="890"/>
      <c r="J64" s="948">
        <v>2151.0000000000018</v>
      </c>
      <c r="K64" s="948">
        <v>2234.9999999999982</v>
      </c>
      <c r="L64" s="949">
        <v>2579.9999999999982</v>
      </c>
      <c r="M64" s="177"/>
    </row>
    <row r="65" spans="1:13" s="74" customFormat="1" ht="13.5" customHeight="1">
      <c r="A65" s="491"/>
      <c r="B65" s="431" t="s">
        <v>333</v>
      </c>
      <c r="C65" s="944">
        <v>-724</v>
      </c>
      <c r="D65" s="940"/>
      <c r="E65" s="945">
        <v>-29.999999999999961</v>
      </c>
      <c r="F65" s="945">
        <v>-31.000000000000135</v>
      </c>
      <c r="G65" s="946">
        <v>-43.999999999999979</v>
      </c>
      <c r="H65" s="944">
        <v>-51.999999999999993</v>
      </c>
      <c r="I65" s="940"/>
      <c r="J65" s="945">
        <v>-35.000000000000078</v>
      </c>
      <c r="K65" s="945">
        <v>2.9999999999999756</v>
      </c>
      <c r="L65" s="946">
        <v>23.000000000000011</v>
      </c>
      <c r="M65" s="25"/>
    </row>
    <row r="66" spans="1:13" s="74" customFormat="1" ht="12" customHeight="1">
      <c r="A66" s="491"/>
      <c r="B66" s="442" t="s">
        <v>244</v>
      </c>
      <c r="C66" s="947">
        <v>2892.9999999999973</v>
      </c>
      <c r="D66" s="890"/>
      <c r="E66" s="948">
        <v>2283.9999999999986</v>
      </c>
      <c r="F66" s="948">
        <v>2585.9999999999968</v>
      </c>
      <c r="G66" s="949">
        <v>2751</v>
      </c>
      <c r="H66" s="947">
        <v>2452.9999999999991</v>
      </c>
      <c r="I66" s="890"/>
      <c r="J66" s="948">
        <v>2116.0000000000023</v>
      </c>
      <c r="K66" s="948">
        <v>2237.999999999995</v>
      </c>
      <c r="L66" s="949">
        <v>2602.9999999999982</v>
      </c>
      <c r="M66" s="177"/>
    </row>
    <row r="67" spans="1:13" ht="12" customHeight="1">
      <c r="B67" s="461" t="s">
        <v>279</v>
      </c>
      <c r="C67" s="950">
        <v>-1689.6248536899998</v>
      </c>
      <c r="D67" s="940"/>
      <c r="E67" s="940">
        <v>-1691.0386423316379</v>
      </c>
      <c r="F67" s="940">
        <v>-1712</v>
      </c>
      <c r="G67" s="951">
        <v>-1860.1093307199988</v>
      </c>
      <c r="H67" s="950">
        <v>-1619.3382801899995</v>
      </c>
      <c r="I67" s="940"/>
      <c r="J67" s="940">
        <v>-1835</v>
      </c>
      <c r="K67" s="940">
        <v>-1711.7207844200011</v>
      </c>
      <c r="L67" s="951">
        <v>-1772.6741166100001</v>
      </c>
      <c r="M67" s="25"/>
    </row>
    <row r="68" spans="1:13" ht="12" customHeight="1">
      <c r="B68" s="460" t="s">
        <v>280</v>
      </c>
      <c r="C68" s="944">
        <v>0</v>
      </c>
      <c r="D68" s="940"/>
      <c r="E68" s="945">
        <v>-156</v>
      </c>
      <c r="F68" s="945">
        <v>0</v>
      </c>
      <c r="G68" s="946">
        <v>0</v>
      </c>
      <c r="H68" s="944">
        <v>0</v>
      </c>
      <c r="I68" s="940"/>
      <c r="J68" s="945">
        <v>-188</v>
      </c>
      <c r="K68" s="945">
        <v>0</v>
      </c>
      <c r="L68" s="946">
        <v>0</v>
      </c>
      <c r="M68" s="25"/>
    </row>
    <row r="69" spans="1:13" s="491" customFormat="1" ht="12" customHeight="1">
      <c r="B69" s="442" t="s">
        <v>281</v>
      </c>
      <c r="C69" s="947">
        <v>-1689.6248536899998</v>
      </c>
      <c r="D69" s="890"/>
      <c r="E69" s="948">
        <v>-1847.0386423316379</v>
      </c>
      <c r="F69" s="948">
        <v>-1712</v>
      </c>
      <c r="G69" s="949">
        <v>-1860.1093307199988</v>
      </c>
      <c r="H69" s="947">
        <v>-1619.3382801899995</v>
      </c>
      <c r="I69" s="890"/>
      <c r="J69" s="948">
        <v>-2023</v>
      </c>
      <c r="K69" s="948">
        <v>-1711.7207844200011</v>
      </c>
      <c r="L69" s="949">
        <v>-1772.6741166100001</v>
      </c>
      <c r="M69" s="448"/>
    </row>
    <row r="70" spans="1:13" ht="12" customHeight="1">
      <c r="B70" s="460" t="s">
        <v>246</v>
      </c>
      <c r="C70" s="944">
        <v>0</v>
      </c>
      <c r="D70" s="940"/>
      <c r="E70" s="945">
        <v>-78.961357668362709</v>
      </c>
      <c r="F70" s="945">
        <v>-4</v>
      </c>
      <c r="G70" s="946">
        <v>-6.89066928</v>
      </c>
      <c r="H70" s="944">
        <v>-18.661719810000001</v>
      </c>
      <c r="I70" s="940"/>
      <c r="J70" s="945">
        <v>-23.239047739999997</v>
      </c>
      <c r="K70" s="945">
        <v>-32.279215579999999</v>
      </c>
      <c r="L70" s="978" t="s">
        <v>397</v>
      </c>
      <c r="M70" s="25"/>
    </row>
    <row r="71" spans="1:13" s="74" customFormat="1" ht="12" customHeight="1">
      <c r="A71" s="491"/>
      <c r="B71" s="442" t="s">
        <v>247</v>
      </c>
      <c r="C71" s="947">
        <v>-1689.9999999999998</v>
      </c>
      <c r="D71" s="890"/>
      <c r="E71" s="948">
        <v>-1926.0000000000007</v>
      </c>
      <c r="F71" s="948">
        <v>-1715.9999999999998</v>
      </c>
      <c r="G71" s="949">
        <v>-1866.9999999999989</v>
      </c>
      <c r="H71" s="947">
        <v>-1637.9999999999995</v>
      </c>
      <c r="I71" s="890"/>
      <c r="J71" s="948">
        <v>-2045.999999999998</v>
      </c>
      <c r="K71" s="948">
        <v>-1744.0000000000011</v>
      </c>
      <c r="L71" s="949">
        <v>-1773</v>
      </c>
      <c r="M71" s="177"/>
    </row>
    <row r="72" spans="1:13" s="74" customFormat="1" ht="12" customHeight="1">
      <c r="A72" s="491"/>
      <c r="B72" s="460" t="s">
        <v>248</v>
      </c>
      <c r="C72" s="944">
        <v>0</v>
      </c>
      <c r="D72" s="940"/>
      <c r="E72" s="945">
        <v>0.99999999999941092</v>
      </c>
      <c r="F72" s="945">
        <v>11.999999999999101</v>
      </c>
      <c r="G72" s="946">
        <v>2.999999999998662</v>
      </c>
      <c r="H72" s="944">
        <v>11.999999999999847</v>
      </c>
      <c r="I72" s="940"/>
      <c r="J72" s="945">
        <v>14.999999999998927</v>
      </c>
      <c r="K72" s="945">
        <v>4.0000000000000027</v>
      </c>
      <c r="L72" s="946">
        <v>4.9999999999999982</v>
      </c>
      <c r="M72" s="25"/>
    </row>
    <row r="73" spans="1:13" s="74" customFormat="1" ht="12" customHeight="1">
      <c r="A73" s="491"/>
      <c r="B73" s="442" t="s">
        <v>312</v>
      </c>
      <c r="C73" s="947">
        <v>1202.9999999999975</v>
      </c>
      <c r="D73" s="890"/>
      <c r="E73" s="948">
        <v>358.9999999999971</v>
      </c>
      <c r="F73" s="948">
        <v>881.99999999999739</v>
      </c>
      <c r="G73" s="949">
        <v>887.00000000000011</v>
      </c>
      <c r="H73" s="947">
        <v>826.99999999999943</v>
      </c>
      <c r="I73" s="890"/>
      <c r="J73" s="948">
        <v>85.000000000000725</v>
      </c>
      <c r="K73" s="948">
        <v>497.99999999999949</v>
      </c>
      <c r="L73" s="949">
        <v>834.99999999999773</v>
      </c>
      <c r="M73" s="177"/>
    </row>
    <row r="74" spans="1:13" ht="12" customHeight="1">
      <c r="B74" s="461" t="s">
        <v>336</v>
      </c>
      <c r="C74" s="950">
        <v>819.99999999999841</v>
      </c>
      <c r="D74" s="940"/>
      <c r="E74" s="940">
        <v>192.99999999999707</v>
      </c>
      <c r="F74" s="940">
        <v>608.99999999999659</v>
      </c>
      <c r="G74" s="951">
        <v>595.99999999999966</v>
      </c>
      <c r="H74" s="950">
        <v>582</v>
      </c>
      <c r="I74" s="940"/>
      <c r="J74" s="940">
        <v>-84</v>
      </c>
      <c r="K74" s="940">
        <v>431</v>
      </c>
      <c r="L74" s="951">
        <v>600</v>
      </c>
      <c r="M74" s="57"/>
    </row>
    <row r="75" spans="1:13" s="74" customFormat="1" ht="12" customHeight="1">
      <c r="A75" s="491"/>
      <c r="B75" s="603"/>
      <c r="C75" s="882"/>
      <c r="D75" s="57"/>
      <c r="E75" s="974"/>
      <c r="F75" s="57"/>
      <c r="G75" s="57"/>
      <c r="H75" s="57"/>
      <c r="I75" s="57"/>
      <c r="J75" s="57"/>
      <c r="K75" s="57"/>
      <c r="L75" s="57"/>
      <c r="M75" s="57"/>
    </row>
    <row r="76" spans="1:13" s="74" customFormat="1" ht="12" customHeight="1">
      <c r="A76" s="491"/>
      <c r="B76" s="604" t="s">
        <v>293</v>
      </c>
      <c r="C76" s="972" t="s">
        <v>263</v>
      </c>
      <c r="D76" s="887"/>
      <c r="E76" s="972" t="s">
        <v>263</v>
      </c>
      <c r="F76" s="972" t="s">
        <v>263</v>
      </c>
      <c r="G76" s="972" t="s">
        <v>263</v>
      </c>
      <c r="H76" s="972" t="s">
        <v>263</v>
      </c>
      <c r="I76" s="887"/>
      <c r="J76" s="972" t="s">
        <v>263</v>
      </c>
      <c r="K76" s="972" t="s">
        <v>263</v>
      </c>
      <c r="L76" s="972" t="s">
        <v>263</v>
      </c>
      <c r="M76" s="57"/>
    </row>
    <row r="77" spans="1:13" s="74" customFormat="1" ht="10.199999999999999">
      <c r="A77" s="491"/>
      <c r="B77" s="605" t="s">
        <v>313</v>
      </c>
      <c r="C77" s="893">
        <v>128173.97596493</v>
      </c>
      <c r="D77" s="894"/>
      <c r="E77" s="895">
        <v>92042.316142109907</v>
      </c>
      <c r="F77" s="896">
        <v>95826.177187970054</v>
      </c>
      <c r="G77" s="1304">
        <v>92132.642151640277</v>
      </c>
      <c r="H77" s="897">
        <v>90629.572899349907</v>
      </c>
      <c r="I77" s="894"/>
      <c r="J77" s="1304">
        <v>86369.046190870111</v>
      </c>
      <c r="K77" s="1304">
        <v>93252.29449876002</v>
      </c>
      <c r="L77" s="1304">
        <v>87800</v>
      </c>
      <c r="M77" s="174"/>
    </row>
    <row r="78" spans="1:13" s="74" customFormat="1" ht="12" customHeight="1">
      <c r="A78" s="491"/>
      <c r="B78" s="603" t="s">
        <v>314</v>
      </c>
      <c r="C78" s="898">
        <v>101487</v>
      </c>
      <c r="D78" s="899"/>
      <c r="E78" s="899">
        <v>113256.14104000003</v>
      </c>
      <c r="F78" s="899">
        <v>119305</v>
      </c>
      <c r="G78" s="1305">
        <v>119948</v>
      </c>
      <c r="H78" s="1306">
        <v>117200</v>
      </c>
      <c r="I78" s="899"/>
      <c r="J78" s="1305">
        <v>104000</v>
      </c>
      <c r="K78" s="1305">
        <v>124500</v>
      </c>
      <c r="L78" s="1305">
        <v>116500</v>
      </c>
      <c r="M78" s="128"/>
    </row>
    <row r="79" spans="1:13" s="74" customFormat="1" ht="12" customHeight="1">
      <c r="A79" s="491"/>
      <c r="B79" s="603" t="s">
        <v>334</v>
      </c>
      <c r="C79" s="898">
        <v>341438.99999999948</v>
      </c>
      <c r="D79" s="899"/>
      <c r="E79" s="899">
        <v>228825.99999999997</v>
      </c>
      <c r="F79" s="899">
        <v>285966.99999999994</v>
      </c>
      <c r="G79" s="1305">
        <v>243741.99999999988</v>
      </c>
      <c r="H79" s="1306">
        <v>217300</v>
      </c>
      <c r="I79" s="899"/>
      <c r="J79" s="1305">
        <v>222100</v>
      </c>
      <c r="K79" s="1305">
        <v>214800</v>
      </c>
      <c r="L79" s="1305">
        <v>228100</v>
      </c>
      <c r="M79" s="128"/>
    </row>
    <row r="80" spans="1:13" s="74" customFormat="1" ht="20.399999999999999">
      <c r="A80" s="491"/>
      <c r="B80" s="603" t="s">
        <v>316</v>
      </c>
      <c r="C80" s="898">
        <v>187772.95500085995</v>
      </c>
      <c r="D80" s="899"/>
      <c r="E80" s="899">
        <v>127676.90971541002</v>
      </c>
      <c r="F80" s="899">
        <v>157278.82182969991</v>
      </c>
      <c r="G80" s="1305">
        <v>154071.37746247993</v>
      </c>
      <c r="H80" s="1306">
        <v>152900</v>
      </c>
      <c r="I80" s="899"/>
      <c r="J80" s="1305">
        <v>144200</v>
      </c>
      <c r="K80" s="1305">
        <v>147300</v>
      </c>
      <c r="L80" s="1305">
        <v>140700</v>
      </c>
      <c r="M80" s="128"/>
    </row>
    <row r="81" spans="1:13" s="74" customFormat="1" ht="12" customHeight="1">
      <c r="A81" s="491"/>
      <c r="B81" s="649" t="s">
        <v>317</v>
      </c>
      <c r="C81" s="898">
        <v>152246.80845167997</v>
      </c>
      <c r="D81" s="899"/>
      <c r="E81" s="899">
        <v>78508.938921480003</v>
      </c>
      <c r="F81" s="899">
        <v>111587.63329149003</v>
      </c>
      <c r="G81" s="1305">
        <v>100359.14328761</v>
      </c>
      <c r="H81" s="1306">
        <v>96900</v>
      </c>
      <c r="I81" s="899"/>
      <c r="J81" s="1305">
        <v>73400</v>
      </c>
      <c r="K81" s="1305">
        <v>93300</v>
      </c>
      <c r="L81" s="1305">
        <v>90600</v>
      </c>
      <c r="M81" s="128"/>
    </row>
    <row r="82" spans="1:13" s="74" customFormat="1" ht="12" customHeight="1">
      <c r="A82" s="491"/>
      <c r="B82" s="460" t="s">
        <v>318</v>
      </c>
      <c r="C82" s="900">
        <v>171400</v>
      </c>
      <c r="D82" s="901"/>
      <c r="E82" s="902">
        <v>155300</v>
      </c>
      <c r="F82" s="902">
        <v>171512.36769084027</v>
      </c>
      <c r="G82" s="903">
        <v>168100</v>
      </c>
      <c r="H82" s="900">
        <v>163200</v>
      </c>
      <c r="I82" s="901"/>
      <c r="J82" s="904">
        <v>160400</v>
      </c>
      <c r="K82" s="904">
        <v>153800</v>
      </c>
      <c r="L82" s="905">
        <v>151600</v>
      </c>
      <c r="M82" s="128"/>
    </row>
    <row r="83" spans="1:13" s="74" customFormat="1" ht="11.4">
      <c r="A83" s="491"/>
      <c r="B83" s="442" t="s">
        <v>319</v>
      </c>
      <c r="C83" s="906">
        <v>1082486</v>
      </c>
      <c r="D83" s="907"/>
      <c r="E83" s="908">
        <v>795607.14104000013</v>
      </c>
      <c r="F83" s="908">
        <v>941477.00000000023</v>
      </c>
      <c r="G83" s="909">
        <v>878293.99999999988</v>
      </c>
      <c r="H83" s="906">
        <v>838100</v>
      </c>
      <c r="I83" s="907"/>
      <c r="J83" s="908">
        <v>790500</v>
      </c>
      <c r="K83" s="908">
        <v>827000</v>
      </c>
      <c r="L83" s="909">
        <v>815300</v>
      </c>
      <c r="M83" s="128"/>
    </row>
    <row r="84" spans="1:13" s="74" customFormat="1" ht="12" customHeight="1">
      <c r="A84" s="491"/>
      <c r="B84" s="461" t="s">
        <v>320</v>
      </c>
      <c r="C84" s="913">
        <v>198413.721617859</v>
      </c>
      <c r="D84" s="911"/>
      <c r="E84" s="911">
        <v>146227.03872188032</v>
      </c>
      <c r="F84" s="911">
        <v>152107.61403456007</v>
      </c>
      <c r="G84" s="912">
        <v>145382.94866057002</v>
      </c>
      <c r="H84" s="910">
        <v>151408.62508740014</v>
      </c>
      <c r="I84" s="911"/>
      <c r="J84" s="911">
        <v>136278.73094252005</v>
      </c>
      <c r="K84" s="911">
        <v>137647.34260976006</v>
      </c>
      <c r="L84" s="912">
        <v>130300</v>
      </c>
      <c r="M84" s="128"/>
    </row>
    <row r="85" spans="1:13" ht="12" customHeight="1">
      <c r="B85" s="603" t="s">
        <v>321</v>
      </c>
      <c r="C85" s="913">
        <v>338703.00000000006</v>
      </c>
      <c r="D85" s="894"/>
      <c r="E85" s="914">
        <v>228866.99999999971</v>
      </c>
      <c r="F85" s="914">
        <v>283231.99999999988</v>
      </c>
      <c r="G85" s="59">
        <v>242945.99999999983</v>
      </c>
      <c r="H85" s="608">
        <v>213500</v>
      </c>
      <c r="I85" s="894"/>
      <c r="J85" s="914">
        <v>219600</v>
      </c>
      <c r="K85" s="914">
        <v>213700</v>
      </c>
      <c r="L85" s="914">
        <v>224900</v>
      </c>
      <c r="M85" s="128"/>
    </row>
    <row r="86" spans="1:13" ht="12" customHeight="1">
      <c r="B86" s="603" t="s">
        <v>335</v>
      </c>
      <c r="C86" s="1307">
        <v>201747.00000000003</v>
      </c>
      <c r="D86" s="616"/>
      <c r="E86" s="1308">
        <v>171452.98988368188</v>
      </c>
      <c r="F86" s="1308">
        <v>184900</v>
      </c>
      <c r="G86" s="59">
        <v>175907</v>
      </c>
      <c r="H86" s="608">
        <v>176589.56171244648</v>
      </c>
      <c r="I86" s="616"/>
      <c r="J86" s="616">
        <v>170902.00000000006</v>
      </c>
      <c r="K86" s="616">
        <v>175924</v>
      </c>
      <c r="L86" s="915">
        <v>180438</v>
      </c>
      <c r="M86" s="128"/>
    </row>
    <row r="87" spans="1:13" ht="12" customHeight="1">
      <c r="B87" s="603"/>
      <c r="C87" s="974"/>
      <c r="D87" s="935"/>
      <c r="E87" s="974"/>
      <c r="F87" s="935"/>
      <c r="G87" s="935"/>
      <c r="H87" s="935"/>
      <c r="I87" s="935"/>
      <c r="J87" s="935"/>
      <c r="K87" s="935"/>
      <c r="L87" s="935"/>
      <c r="M87" s="129"/>
    </row>
    <row r="88" spans="1:13" ht="12" customHeight="1">
      <c r="B88" s="604" t="s">
        <v>254</v>
      </c>
      <c r="C88" s="979"/>
      <c r="D88" s="939"/>
      <c r="E88" s="979"/>
      <c r="F88" s="979"/>
      <c r="G88" s="979"/>
      <c r="H88" s="979"/>
      <c r="I88" s="939"/>
      <c r="J88" s="979"/>
      <c r="K88" s="979"/>
      <c r="L88" s="979"/>
      <c r="M88" s="62"/>
    </row>
    <row r="89" spans="1:13" s="74" customFormat="1" ht="12" customHeight="1">
      <c r="A89" s="491"/>
      <c r="B89" s="603" t="s">
        <v>297</v>
      </c>
      <c r="C89" s="933">
        <v>0.121</v>
      </c>
      <c r="D89" s="935"/>
      <c r="E89" s="935">
        <v>0.03</v>
      </c>
      <c r="F89" s="934">
        <v>9.0999999999999998E-2</v>
      </c>
      <c r="G89" s="935">
        <v>9.1999999999999998E-2</v>
      </c>
      <c r="H89" s="933">
        <v>9.2999999999999999E-2</v>
      </c>
      <c r="I89" s="935"/>
      <c r="J89" s="934">
        <v>-1.2999999999999999E-2</v>
      </c>
      <c r="K89" s="934">
        <v>6.6000000000000003E-2</v>
      </c>
      <c r="L89" s="934">
        <v>9.0999999999999998E-2</v>
      </c>
      <c r="M89" s="161"/>
    </row>
    <row r="90" spans="1:13" s="74" customFormat="1" ht="10.199999999999999">
      <c r="A90" s="491"/>
      <c r="B90" s="603" t="s">
        <v>298</v>
      </c>
      <c r="C90" s="608">
        <v>27184.286737211063</v>
      </c>
      <c r="D90" s="616"/>
      <c r="E90" s="616">
        <v>25827.793645787413</v>
      </c>
      <c r="F90" s="59">
        <v>26900</v>
      </c>
      <c r="G90" s="616">
        <v>25823.570478726699</v>
      </c>
      <c r="H90" s="608">
        <v>25087.922636579551</v>
      </c>
      <c r="I90" s="616"/>
      <c r="J90" s="952">
        <v>25986.736424934759</v>
      </c>
      <c r="K90" s="952">
        <v>25871.782278996834</v>
      </c>
      <c r="L90" s="952">
        <v>26430.187051959558</v>
      </c>
      <c r="M90" s="62"/>
    </row>
    <row r="91" spans="1:13" s="74" customFormat="1" ht="10.199999999999999">
      <c r="A91" s="491"/>
      <c r="B91" s="603" t="s">
        <v>257</v>
      </c>
      <c r="C91" s="916">
        <v>0.47</v>
      </c>
      <c r="D91" s="917"/>
      <c r="E91" s="918">
        <v>0.83</v>
      </c>
      <c r="F91" s="919">
        <v>0.66</v>
      </c>
      <c r="G91" s="917">
        <v>0.67</v>
      </c>
      <c r="H91" s="920">
        <v>0.65</v>
      </c>
      <c r="I91" s="917"/>
      <c r="J91" s="919">
        <v>0.95</v>
      </c>
      <c r="K91" s="919">
        <v>0.78</v>
      </c>
      <c r="L91" s="919">
        <v>0.69</v>
      </c>
      <c r="M91" s="130"/>
    </row>
    <row r="92" spans="1:13" s="74" customFormat="1" ht="12" customHeight="1">
      <c r="A92" s="491"/>
      <c r="B92" s="603"/>
      <c r="C92" s="974"/>
      <c r="D92" s="1309"/>
      <c r="E92" s="1309"/>
      <c r="F92" s="1309"/>
      <c r="G92" s="1309"/>
      <c r="H92" s="1309"/>
      <c r="I92" s="1309"/>
      <c r="J92" s="1309"/>
      <c r="K92" s="1309"/>
      <c r="L92" s="1309"/>
      <c r="M92" s="130"/>
    </row>
    <row r="93" spans="1:13" s="74" customFormat="1" ht="28.8">
      <c r="A93" s="491"/>
      <c r="B93" s="604" t="s">
        <v>36</v>
      </c>
      <c r="C93" s="972" t="s">
        <v>25</v>
      </c>
      <c r="D93" s="921"/>
      <c r="E93" s="972" t="s">
        <v>25</v>
      </c>
      <c r="F93" s="922" t="s">
        <v>25</v>
      </c>
      <c r="G93" s="922" t="s">
        <v>25</v>
      </c>
      <c r="H93" s="922" t="s">
        <v>25</v>
      </c>
      <c r="I93" s="921"/>
      <c r="J93" s="922" t="s">
        <v>25</v>
      </c>
      <c r="K93" s="922" t="s">
        <v>25</v>
      </c>
      <c r="L93" s="922" t="s">
        <v>25</v>
      </c>
      <c r="M93" s="62"/>
    </row>
    <row r="94" spans="1:13" s="74" customFormat="1" ht="12" customHeight="1">
      <c r="A94" s="491"/>
      <c r="B94" s="605" t="s">
        <v>261</v>
      </c>
      <c r="C94" s="923">
        <v>1203.3751463099975</v>
      </c>
      <c r="D94" s="884"/>
      <c r="E94" s="924">
        <v>437.96135766835988</v>
      </c>
      <c r="F94" s="885">
        <v>886</v>
      </c>
      <c r="G94" s="886">
        <v>893.89066928</v>
      </c>
      <c r="H94" s="883">
        <v>845.66171980999945</v>
      </c>
      <c r="I94" s="884"/>
      <c r="J94" s="885">
        <v>108.23904774000071</v>
      </c>
      <c r="K94" s="885">
        <v>530.27921557999946</v>
      </c>
      <c r="L94" s="885">
        <v>835.32588338999767</v>
      </c>
      <c r="M94" s="179"/>
    </row>
    <row r="95" spans="1:13" s="74" customFormat="1" ht="12" customHeight="1">
      <c r="A95" s="491"/>
      <c r="B95" s="603" t="s">
        <v>336</v>
      </c>
      <c r="C95" s="925">
        <v>820.2945932055984</v>
      </c>
      <c r="D95" s="884"/>
      <c r="E95" s="926">
        <v>251.41124485766136</v>
      </c>
      <c r="F95" s="888">
        <v>613.64999955975588</v>
      </c>
      <c r="G95" s="884">
        <v>601.09329585269961</v>
      </c>
      <c r="H95" s="927">
        <v>598</v>
      </c>
      <c r="I95" s="884"/>
      <c r="J95" s="888">
        <v>-57</v>
      </c>
      <c r="K95" s="888">
        <v>456</v>
      </c>
      <c r="L95" s="888">
        <v>600</v>
      </c>
      <c r="M95" s="167"/>
    </row>
    <row r="96" spans="1:13" ht="12" customHeight="1">
      <c r="B96" s="603" t="s">
        <v>297</v>
      </c>
      <c r="C96" s="928">
        <v>0.121</v>
      </c>
      <c r="D96" s="929"/>
      <c r="E96" s="930">
        <v>3.9E-2</v>
      </c>
      <c r="F96" s="931">
        <v>9.1999999999999998E-2</v>
      </c>
      <c r="G96" s="929">
        <v>9.2999999999999999E-2</v>
      </c>
      <c r="H96" s="932">
        <v>9.5000000000000001E-2</v>
      </c>
      <c r="I96" s="929"/>
      <c r="J96" s="931">
        <v>-8.9999999999999993E-3</v>
      </c>
      <c r="K96" s="931">
        <v>7.0000000000000007E-2</v>
      </c>
      <c r="L96" s="931">
        <v>9.0999999999999998E-2</v>
      </c>
      <c r="M96" s="167"/>
    </row>
    <row r="97" spans="1:13" s="74" customFormat="1" ht="15.75" customHeight="1">
      <c r="A97" s="491"/>
      <c r="B97" s="603" t="s">
        <v>257</v>
      </c>
      <c r="C97" s="916">
        <v>0.47</v>
      </c>
      <c r="D97" s="917"/>
      <c r="E97" s="918">
        <v>0.8</v>
      </c>
      <c r="F97" s="919">
        <v>0.65</v>
      </c>
      <c r="G97" s="917">
        <v>0.67</v>
      </c>
      <c r="H97" s="920">
        <v>0.65</v>
      </c>
      <c r="I97" s="917"/>
      <c r="J97" s="919">
        <v>0.94</v>
      </c>
      <c r="K97" s="919">
        <v>0.77</v>
      </c>
      <c r="L97" s="919">
        <v>0.69</v>
      </c>
      <c r="M97" s="158"/>
    </row>
    <row r="98" spans="1:13" ht="16.5" customHeight="1">
      <c r="B98" s="170"/>
      <c r="C98" s="440"/>
      <c r="D98" s="440"/>
      <c r="E98" s="440"/>
      <c r="F98" s="440"/>
      <c r="G98" s="158"/>
      <c r="H98" s="440"/>
      <c r="I98" s="440"/>
      <c r="J98" s="440"/>
      <c r="K98" s="157"/>
      <c r="L98" s="158"/>
      <c r="M98" s="158"/>
    </row>
    <row r="99" spans="1:13" s="987" customFormat="1" ht="16.5" customHeight="1">
      <c r="B99" s="272" t="s">
        <v>59</v>
      </c>
      <c r="C99" s="929"/>
      <c r="D99" s="929"/>
      <c r="E99" s="929"/>
      <c r="F99" s="929"/>
      <c r="G99" s="929"/>
      <c r="H99" s="929"/>
      <c r="I99" s="929"/>
      <c r="J99" s="929"/>
      <c r="K99" s="931"/>
      <c r="L99" s="929"/>
      <c r="M99" s="929"/>
    </row>
    <row r="100" spans="1:13" s="74" customFormat="1" ht="14.25" customHeight="1">
      <c r="A100" s="491"/>
      <c r="B100" s="50"/>
      <c r="C100" s="14"/>
      <c r="D100" s="511"/>
      <c r="E100" s="11"/>
      <c r="F100" s="14"/>
      <c r="G100" s="14"/>
      <c r="H100" s="14"/>
      <c r="I100" s="14"/>
      <c r="J100" s="11"/>
      <c r="K100" s="14"/>
      <c r="L100" s="14"/>
      <c r="M100" s="14"/>
    </row>
    <row r="101" spans="1:13" ht="12" customHeight="1">
      <c r="B101" s="77" t="s">
        <v>76</v>
      </c>
      <c r="C101" s="164" t="s">
        <v>274</v>
      </c>
      <c r="D101" s="163"/>
      <c r="E101" s="164" t="s">
        <v>159</v>
      </c>
      <c r="F101" s="164" t="s">
        <v>152</v>
      </c>
      <c r="G101" s="164" t="s">
        <v>52</v>
      </c>
      <c r="H101" s="164" t="s">
        <v>53</v>
      </c>
      <c r="I101" s="163"/>
      <c r="J101" s="164" t="s">
        <v>54</v>
      </c>
      <c r="K101" s="164" t="s">
        <v>55</v>
      </c>
      <c r="L101" s="164" t="s">
        <v>56</v>
      </c>
      <c r="M101" s="14"/>
    </row>
    <row r="102" spans="1:13" ht="12" customHeight="1">
      <c r="B102" s="468" t="s">
        <v>275</v>
      </c>
      <c r="C102" s="467" t="s">
        <v>25</v>
      </c>
      <c r="D102" s="466"/>
      <c r="E102" s="465" t="s">
        <v>25</v>
      </c>
      <c r="F102" s="467" t="s">
        <v>25</v>
      </c>
      <c r="G102" s="467" t="s">
        <v>25</v>
      </c>
      <c r="H102" s="467" t="s">
        <v>25</v>
      </c>
      <c r="I102" s="466"/>
      <c r="J102" s="465" t="s">
        <v>25</v>
      </c>
      <c r="K102" s="467" t="s">
        <v>25</v>
      </c>
      <c r="L102" s="467" t="s">
        <v>25</v>
      </c>
      <c r="M102" s="54"/>
    </row>
    <row r="103" spans="1:13" s="491" customFormat="1" ht="12" customHeight="1">
      <c r="B103" s="463" t="s">
        <v>276</v>
      </c>
      <c r="C103" s="941">
        <v>663</v>
      </c>
      <c r="D103" s="951"/>
      <c r="E103" s="943">
        <v>717.00000000000023</v>
      </c>
      <c r="F103" s="943">
        <v>720</v>
      </c>
      <c r="G103" s="943">
        <v>720</v>
      </c>
      <c r="H103" s="941">
        <v>665</v>
      </c>
      <c r="I103" s="951"/>
      <c r="J103" s="943">
        <v>664</v>
      </c>
      <c r="K103" s="943">
        <v>691</v>
      </c>
      <c r="L103" s="942">
        <v>699</v>
      </c>
      <c r="M103" s="54"/>
    </row>
    <row r="104" spans="1:13" s="491" customFormat="1" ht="12" customHeight="1">
      <c r="B104" s="460" t="s">
        <v>337</v>
      </c>
      <c r="C104" s="944">
        <v>364</v>
      </c>
      <c r="D104" s="951"/>
      <c r="E104" s="946">
        <v>421</v>
      </c>
      <c r="F104" s="946">
        <v>413</v>
      </c>
      <c r="G104" s="946">
        <v>388</v>
      </c>
      <c r="H104" s="944">
        <v>400</v>
      </c>
      <c r="I104" s="951"/>
      <c r="J104" s="946">
        <v>406</v>
      </c>
      <c r="K104" s="946">
        <v>364</v>
      </c>
      <c r="L104" s="945">
        <v>428</v>
      </c>
      <c r="M104" s="54"/>
    </row>
    <row r="105" spans="1:13" s="74" customFormat="1" ht="12" customHeight="1">
      <c r="A105" s="491"/>
      <c r="B105" s="442" t="s">
        <v>278</v>
      </c>
      <c r="C105" s="947">
        <v>1027</v>
      </c>
      <c r="D105" s="953"/>
      <c r="E105" s="949">
        <v>1137.9999999999998</v>
      </c>
      <c r="F105" s="949">
        <v>1133.0000000000002</v>
      </c>
      <c r="G105" s="949">
        <v>1108</v>
      </c>
      <c r="H105" s="947">
        <v>1064.9999999999998</v>
      </c>
      <c r="I105" s="953"/>
      <c r="J105" s="949">
        <v>1070</v>
      </c>
      <c r="K105" s="949">
        <v>1054.9999999999998</v>
      </c>
      <c r="L105" s="948">
        <v>1127.0000000000005</v>
      </c>
      <c r="M105" s="68"/>
    </row>
    <row r="106" spans="1:13" s="74" customFormat="1" ht="10.199999999999999">
      <c r="A106" s="491"/>
      <c r="B106" s="460" t="s">
        <v>243</v>
      </c>
      <c r="C106" s="944">
        <v>-885</v>
      </c>
      <c r="D106" s="951"/>
      <c r="E106" s="946">
        <v>-299.00000000000006</v>
      </c>
      <c r="F106" s="946">
        <v>-320.99999999999989</v>
      </c>
      <c r="G106" s="946">
        <v>-203.00000000000003</v>
      </c>
      <c r="H106" s="944">
        <v>-193.00000000000003</v>
      </c>
      <c r="I106" s="951"/>
      <c r="J106" s="946">
        <v>-319</v>
      </c>
      <c r="K106" s="946">
        <v>-145.99999999999997</v>
      </c>
      <c r="L106" s="945">
        <v>-91.000000000000028</v>
      </c>
      <c r="M106" s="61"/>
    </row>
    <row r="107" spans="1:13" s="74" customFormat="1" ht="11.4">
      <c r="A107" s="491"/>
      <c r="B107" s="442" t="s">
        <v>244</v>
      </c>
      <c r="C107" s="947">
        <v>142.00000000000014</v>
      </c>
      <c r="D107" s="953"/>
      <c r="E107" s="949">
        <v>838.99999999999977</v>
      </c>
      <c r="F107" s="949">
        <v>812</v>
      </c>
      <c r="G107" s="949">
        <v>904.99999999999977</v>
      </c>
      <c r="H107" s="947">
        <v>871.99999999999989</v>
      </c>
      <c r="I107" s="953"/>
      <c r="J107" s="949">
        <v>751.00000000000011</v>
      </c>
      <c r="K107" s="949">
        <v>908.99999999999989</v>
      </c>
      <c r="L107" s="948">
        <v>1036.0000000000002</v>
      </c>
      <c r="M107" s="61"/>
    </row>
    <row r="108" spans="1:13" s="74" customFormat="1" ht="12" customHeight="1">
      <c r="A108" s="491"/>
      <c r="B108" s="461" t="s">
        <v>279</v>
      </c>
      <c r="C108" s="950">
        <v>-529</v>
      </c>
      <c r="D108" s="951"/>
      <c r="E108" s="951">
        <v>-549</v>
      </c>
      <c r="F108" s="951">
        <v>-570</v>
      </c>
      <c r="G108" s="951">
        <v>-575</v>
      </c>
      <c r="H108" s="950">
        <v>-586.50862599999994</v>
      </c>
      <c r="I108" s="951"/>
      <c r="J108" s="951">
        <v>-606</v>
      </c>
      <c r="K108" s="951">
        <v>-565.17221600000005</v>
      </c>
      <c r="L108" s="940">
        <v>-532.76769526016972</v>
      </c>
      <c r="M108" s="180"/>
    </row>
    <row r="109" spans="1:13" ht="12" customHeight="1">
      <c r="B109" s="460" t="s">
        <v>280</v>
      </c>
      <c r="C109" s="944">
        <v>0</v>
      </c>
      <c r="D109" s="951"/>
      <c r="E109" s="946">
        <v>-18.399999999999981</v>
      </c>
      <c r="F109" s="946">
        <v>0</v>
      </c>
      <c r="G109" s="946">
        <v>0</v>
      </c>
      <c r="H109" s="944">
        <v>0</v>
      </c>
      <c r="I109" s="951"/>
      <c r="J109" s="946">
        <v>-22</v>
      </c>
      <c r="K109" s="946">
        <v>0</v>
      </c>
      <c r="L109" s="945">
        <v>0</v>
      </c>
      <c r="M109" s="61"/>
    </row>
    <row r="110" spans="1:13" s="491" customFormat="1" ht="12" customHeight="1">
      <c r="B110" s="442" t="s">
        <v>281</v>
      </c>
      <c r="C110" s="947">
        <v>-529</v>
      </c>
      <c r="D110" s="953"/>
      <c r="E110" s="949">
        <v>-567.4</v>
      </c>
      <c r="F110" s="949">
        <v>-570</v>
      </c>
      <c r="G110" s="949">
        <v>-575</v>
      </c>
      <c r="H110" s="947">
        <v>-586.50862599999994</v>
      </c>
      <c r="I110" s="953"/>
      <c r="J110" s="949">
        <v>-628</v>
      </c>
      <c r="K110" s="949">
        <v>-565.17221600000005</v>
      </c>
      <c r="L110" s="948">
        <v>-532.76769526016972</v>
      </c>
      <c r="M110" s="458"/>
    </row>
    <row r="111" spans="1:13" ht="12" customHeight="1">
      <c r="B111" s="460" t="s">
        <v>246</v>
      </c>
      <c r="C111" s="944">
        <v>0</v>
      </c>
      <c r="D111" s="951"/>
      <c r="E111" s="946">
        <v>-6.5187184</v>
      </c>
      <c r="F111" s="946">
        <v>4.1046522099999994</v>
      </c>
      <c r="G111" s="946">
        <v>-3.5033444999999999</v>
      </c>
      <c r="H111" s="944">
        <v>0</v>
      </c>
      <c r="I111" s="951"/>
      <c r="J111" s="946">
        <v>-9.5127317913079334</v>
      </c>
      <c r="K111" s="946">
        <v>0</v>
      </c>
      <c r="L111" s="945">
        <v>-47.232304739830447</v>
      </c>
      <c r="M111" s="61"/>
    </row>
    <row r="112" spans="1:13" s="74" customFormat="1" ht="12" customHeight="1">
      <c r="A112" s="491"/>
      <c r="B112" s="442" t="s">
        <v>247</v>
      </c>
      <c r="C112" s="947">
        <v>-529.00000000000011</v>
      </c>
      <c r="D112" s="953"/>
      <c r="E112" s="949">
        <v>-573.99999999999909</v>
      </c>
      <c r="F112" s="949">
        <v>-566.00000000000023</v>
      </c>
      <c r="G112" s="949">
        <v>-579.00000000000034</v>
      </c>
      <c r="H112" s="947">
        <v>-586.99999999999989</v>
      </c>
      <c r="I112" s="953"/>
      <c r="J112" s="949">
        <v>-638.00000000000011</v>
      </c>
      <c r="K112" s="949">
        <v>-565</v>
      </c>
      <c r="L112" s="948">
        <v>-580.00000000000011</v>
      </c>
      <c r="M112" s="61"/>
    </row>
    <row r="113" spans="1:13" s="74" customFormat="1" ht="12" customHeight="1">
      <c r="A113" s="491"/>
      <c r="B113" s="460" t="s">
        <v>248</v>
      </c>
      <c r="C113" s="944">
        <v>5.9999999999998996</v>
      </c>
      <c r="D113" s="951"/>
      <c r="E113" s="946">
        <v>16</v>
      </c>
      <c r="F113" s="946">
        <v>8.9999999999997353</v>
      </c>
      <c r="G113" s="946">
        <v>10.000000000000357</v>
      </c>
      <c r="H113" s="944">
        <v>6.0000000000000542</v>
      </c>
      <c r="I113" s="951"/>
      <c r="J113" s="946">
        <v>17.000000000000394</v>
      </c>
      <c r="K113" s="946">
        <v>8</v>
      </c>
      <c r="L113" s="945">
        <v>6.0000000000000009</v>
      </c>
      <c r="M113" s="180"/>
    </row>
    <row r="114" spans="1:13" ht="12" customHeight="1">
      <c r="B114" s="442" t="s">
        <v>385</v>
      </c>
      <c r="C114" s="947">
        <v>-380.99999999999989</v>
      </c>
      <c r="D114" s="953"/>
      <c r="E114" s="949">
        <v>281.00000000000057</v>
      </c>
      <c r="F114" s="949">
        <v>254.99999999999966</v>
      </c>
      <c r="G114" s="949">
        <v>335.99999999999983</v>
      </c>
      <c r="H114" s="947">
        <v>291.00000000000006</v>
      </c>
      <c r="I114" s="953"/>
      <c r="J114" s="949">
        <v>130</v>
      </c>
      <c r="K114" s="949">
        <v>352.00000000000011</v>
      </c>
      <c r="L114" s="948">
        <v>462.00000000000023</v>
      </c>
      <c r="M114" s="61"/>
    </row>
    <row r="115" spans="1:13" ht="12" customHeight="1">
      <c r="B115" s="461" t="s">
        <v>386</v>
      </c>
      <c r="C115" s="950">
        <v>-290.99999999999977</v>
      </c>
      <c r="D115" s="951"/>
      <c r="E115" s="951">
        <v>204.0000000000008</v>
      </c>
      <c r="F115" s="951">
        <v>189.99999999999946</v>
      </c>
      <c r="G115" s="951">
        <v>235.9999999999998</v>
      </c>
      <c r="H115" s="950">
        <v>206</v>
      </c>
      <c r="I115" s="951"/>
      <c r="J115" s="951">
        <v>63</v>
      </c>
      <c r="K115" s="951">
        <v>256</v>
      </c>
      <c r="L115" s="940">
        <v>326</v>
      </c>
      <c r="M115" s="180"/>
    </row>
    <row r="116" spans="1:13" ht="12" customHeight="1">
      <c r="B116" s="461"/>
      <c r="C116" s="974"/>
      <c r="D116" s="52"/>
      <c r="E116" s="939"/>
      <c r="F116" s="52"/>
      <c r="G116" s="52"/>
      <c r="H116" s="51"/>
      <c r="I116" s="52"/>
      <c r="J116" s="52"/>
      <c r="K116" s="52"/>
      <c r="L116" s="51"/>
      <c r="M116" s="180"/>
    </row>
    <row r="117" spans="1:13" s="74" customFormat="1" ht="12" customHeight="1">
      <c r="A117" s="491"/>
      <c r="B117" s="624" t="s">
        <v>293</v>
      </c>
      <c r="C117" s="1241" t="s">
        <v>263</v>
      </c>
      <c r="D117" s="661"/>
      <c r="E117" s="1241" t="s">
        <v>263</v>
      </c>
      <c r="F117" s="1241" t="s">
        <v>263</v>
      </c>
      <c r="G117" s="1241" t="s">
        <v>263</v>
      </c>
      <c r="H117" s="619" t="s">
        <v>263</v>
      </c>
      <c r="I117" s="661"/>
      <c r="J117" s="1241" t="s">
        <v>263</v>
      </c>
      <c r="K117" s="1241" t="s">
        <v>263</v>
      </c>
      <c r="L117" s="619" t="s">
        <v>263</v>
      </c>
      <c r="M117" s="51"/>
    </row>
    <row r="118" spans="1:13" ht="10.199999999999999">
      <c r="B118" s="605" t="s">
        <v>313</v>
      </c>
      <c r="C118" s="606">
        <v>38768.634383639997</v>
      </c>
      <c r="D118" s="56"/>
      <c r="E118" s="1242">
        <v>40771.596863889994</v>
      </c>
      <c r="F118" s="1242">
        <v>42251.681154199992</v>
      </c>
      <c r="G118" s="1242">
        <v>42710.175944050003</v>
      </c>
      <c r="H118" s="1243">
        <v>40302.399308</v>
      </c>
      <c r="I118" s="56"/>
      <c r="J118" s="1242">
        <v>40845.871509529999</v>
      </c>
      <c r="K118" s="1242">
        <v>39140.450870649991</v>
      </c>
      <c r="L118" s="620">
        <v>37663.575109520003</v>
      </c>
      <c r="M118" s="156"/>
    </row>
    <row r="119" spans="1:13" ht="11.25" customHeight="1">
      <c r="B119" s="603" t="s">
        <v>286</v>
      </c>
      <c r="C119" s="608">
        <v>70715</v>
      </c>
      <c r="D119" s="56"/>
      <c r="E119" s="56">
        <v>65751</v>
      </c>
      <c r="F119" s="56">
        <v>68096.999999999985</v>
      </c>
      <c r="G119" s="56">
        <v>73118.999999999985</v>
      </c>
      <c r="H119" s="1246">
        <v>80900</v>
      </c>
      <c r="I119" s="56"/>
      <c r="J119" s="56">
        <v>71600</v>
      </c>
      <c r="K119" s="56">
        <v>73200</v>
      </c>
      <c r="L119" s="601">
        <v>71200</v>
      </c>
      <c r="M119" s="56"/>
    </row>
    <row r="120" spans="1:13" ht="12" customHeight="1">
      <c r="B120" s="603" t="s">
        <v>320</v>
      </c>
      <c r="C120" s="608">
        <v>64938.000548919998</v>
      </c>
      <c r="D120" s="56"/>
      <c r="E120" s="56">
        <v>63824.339862589994</v>
      </c>
      <c r="F120" s="56">
        <v>65502.619738510009</v>
      </c>
      <c r="G120" s="56">
        <v>66557.716143999991</v>
      </c>
      <c r="H120" s="1246">
        <v>64096.509167719996</v>
      </c>
      <c r="I120" s="56"/>
      <c r="J120" s="56">
        <v>60940.701811809995</v>
      </c>
      <c r="K120" s="56">
        <v>62691.122306329999</v>
      </c>
      <c r="L120" s="601">
        <v>60674.734098579996</v>
      </c>
      <c r="M120" s="56"/>
    </row>
    <row r="121" spans="1:13" ht="12" customHeight="1">
      <c r="B121" s="603" t="s">
        <v>335</v>
      </c>
      <c r="C121" s="608">
        <v>36161.000000000036</v>
      </c>
      <c r="D121" s="59"/>
      <c r="E121" s="59">
        <v>37690.309913056321</v>
      </c>
      <c r="F121" s="59">
        <v>38202.000000000036</v>
      </c>
      <c r="G121" s="59">
        <v>38865</v>
      </c>
      <c r="H121" s="954">
        <v>39481.376511787486</v>
      </c>
      <c r="I121" s="59"/>
      <c r="J121" s="952">
        <v>39839</v>
      </c>
      <c r="K121" s="952">
        <v>38671.000000000044</v>
      </c>
      <c r="L121" s="955">
        <v>37577</v>
      </c>
      <c r="M121" s="56"/>
    </row>
    <row r="122" spans="1:13" ht="12" customHeight="1">
      <c r="B122" s="603"/>
      <c r="C122" s="974"/>
      <c r="D122" s="656"/>
      <c r="E122" s="939"/>
      <c r="F122" s="656"/>
      <c r="G122" s="656"/>
      <c r="H122" s="57"/>
      <c r="I122" s="656"/>
      <c r="J122" s="656"/>
      <c r="K122" s="656"/>
      <c r="L122" s="57"/>
      <c r="M122" s="125"/>
    </row>
    <row r="123" spans="1:13" ht="12" customHeight="1">
      <c r="B123" s="624" t="s">
        <v>254</v>
      </c>
      <c r="C123" s="973"/>
      <c r="D123" s="939"/>
      <c r="E123" s="979"/>
      <c r="F123" s="979"/>
      <c r="G123" s="979"/>
      <c r="H123" s="973"/>
      <c r="I123" s="939"/>
      <c r="J123" s="979"/>
      <c r="K123" s="979"/>
      <c r="L123" s="973"/>
      <c r="M123" s="57"/>
    </row>
    <row r="124" spans="1:13" s="74" customFormat="1" ht="12" customHeight="1">
      <c r="A124" s="491"/>
      <c r="B124" s="603" t="s">
        <v>297</v>
      </c>
      <c r="C124" s="933">
        <v>-0.22600000000000001</v>
      </c>
      <c r="D124" s="934"/>
      <c r="E124" s="934">
        <v>0.159</v>
      </c>
      <c r="F124" s="934">
        <v>0.14199999999999999</v>
      </c>
      <c r="G124" s="934">
        <v>0.17799999999999999</v>
      </c>
      <c r="H124" s="933">
        <v>0.154</v>
      </c>
      <c r="I124" s="934"/>
      <c r="J124" s="934">
        <v>4.8000000000000001E-2</v>
      </c>
      <c r="K124" s="934">
        <v>0.19800000000000001</v>
      </c>
      <c r="L124" s="935">
        <v>0.26200000000000001</v>
      </c>
      <c r="M124" s="161"/>
    </row>
    <row r="125" spans="1:13" s="74" customFormat="1" ht="12" customHeight="1">
      <c r="A125" s="491"/>
      <c r="B125" s="603" t="s">
        <v>298</v>
      </c>
      <c r="C125" s="608">
        <v>5147.7971580542098</v>
      </c>
      <c r="D125" s="59"/>
      <c r="E125" s="59">
        <v>5127.9038617799533</v>
      </c>
      <c r="F125" s="59">
        <v>5343.138020422909</v>
      </c>
      <c r="G125" s="59">
        <v>5291.6276010377842</v>
      </c>
      <c r="H125" s="954">
        <v>5364.1960078036745</v>
      </c>
      <c r="I125" s="59"/>
      <c r="J125" s="952">
        <v>5303.0449166978769</v>
      </c>
      <c r="K125" s="952">
        <v>5157.4307458371077</v>
      </c>
      <c r="L125" s="955">
        <v>4973.2643551619367</v>
      </c>
      <c r="M125" s="58"/>
    </row>
    <row r="126" spans="1:13" ht="10.199999999999999">
      <c r="B126" s="603" t="s">
        <v>257</v>
      </c>
      <c r="C126" s="936">
        <v>0.52</v>
      </c>
      <c r="D126" s="934"/>
      <c r="E126" s="937">
        <v>0.5</v>
      </c>
      <c r="F126" s="937">
        <v>0.5</v>
      </c>
      <c r="G126" s="937">
        <v>0.52</v>
      </c>
      <c r="H126" s="936">
        <v>0.55000000000000004</v>
      </c>
      <c r="I126" s="934"/>
      <c r="J126" s="937">
        <v>0.6</v>
      </c>
      <c r="K126" s="937">
        <v>0.54</v>
      </c>
      <c r="L126" s="938">
        <v>0.51</v>
      </c>
      <c r="M126" s="125"/>
    </row>
    <row r="127" spans="1:13" ht="10.199999999999999">
      <c r="B127" s="603" t="s">
        <v>258</v>
      </c>
      <c r="C127" s="594">
        <v>846.18918429980693</v>
      </c>
      <c r="D127" s="59"/>
      <c r="E127" s="1310">
        <v>273400</v>
      </c>
      <c r="F127" s="1310">
        <v>283000</v>
      </c>
      <c r="G127" s="1310">
        <v>180000</v>
      </c>
      <c r="H127" s="956">
        <v>182000</v>
      </c>
      <c r="I127" s="59"/>
      <c r="J127" s="957">
        <v>290000</v>
      </c>
      <c r="K127" s="957">
        <v>138000</v>
      </c>
      <c r="L127" s="958">
        <v>90000</v>
      </c>
      <c r="M127" s="125"/>
    </row>
    <row r="128" spans="1:13" ht="12" customHeight="1">
      <c r="B128" s="603"/>
      <c r="C128" s="616"/>
      <c r="D128" s="1311"/>
      <c r="E128" s="1311"/>
      <c r="F128" s="1311"/>
      <c r="G128" s="1311"/>
      <c r="H128" s="1311"/>
      <c r="I128" s="1311"/>
      <c r="J128" s="1311"/>
      <c r="K128" s="1311"/>
      <c r="L128" s="1311"/>
      <c r="M128" s="125"/>
    </row>
    <row r="129" spans="1:13" s="74" customFormat="1" ht="28.8">
      <c r="A129" s="491"/>
      <c r="B129" s="604" t="s">
        <v>36</v>
      </c>
      <c r="C129" s="671" t="s">
        <v>25</v>
      </c>
      <c r="D129" s="1312"/>
      <c r="E129" s="671" t="s">
        <v>25</v>
      </c>
      <c r="F129" s="671" t="s">
        <v>25</v>
      </c>
      <c r="G129" s="671" t="s">
        <v>25</v>
      </c>
      <c r="H129" s="959" t="s">
        <v>25</v>
      </c>
      <c r="I129" s="1312"/>
      <c r="J129" s="960" t="s">
        <v>25</v>
      </c>
      <c r="K129" s="960" t="s">
        <v>25</v>
      </c>
      <c r="L129" s="959" t="s">
        <v>25</v>
      </c>
      <c r="M129" s="130"/>
    </row>
    <row r="130" spans="1:13" ht="12" customHeight="1">
      <c r="B130" s="605" t="s">
        <v>390</v>
      </c>
      <c r="C130" s="1313">
        <v>-381.38983299999984</v>
      </c>
      <c r="D130" s="126"/>
      <c r="E130" s="1314">
        <v>287.51871840000058</v>
      </c>
      <c r="F130" s="1314">
        <v>250.89534778999965</v>
      </c>
      <c r="G130" s="1314">
        <v>339.5033444999998</v>
      </c>
      <c r="H130" s="961">
        <v>291.49137400000006</v>
      </c>
      <c r="I130" s="126"/>
      <c r="J130" s="962">
        <v>139.51273179130794</v>
      </c>
      <c r="K130" s="962">
        <v>351.82778400000012</v>
      </c>
      <c r="L130" s="963">
        <v>509.23230473983062</v>
      </c>
      <c r="M130" s="181"/>
    </row>
    <row r="131" spans="1:13" s="74" customFormat="1" ht="12" customHeight="1">
      <c r="A131" s="491"/>
      <c r="B131" s="603" t="s">
        <v>386</v>
      </c>
      <c r="C131" s="1266">
        <v>-291.30353781999975</v>
      </c>
      <c r="D131" s="126"/>
      <c r="E131" s="126">
        <v>210.46861298320081</v>
      </c>
      <c r="F131" s="126">
        <v>187.13627478569944</v>
      </c>
      <c r="G131" s="126">
        <v>239.4247705859998</v>
      </c>
      <c r="H131" s="964">
        <v>206</v>
      </c>
      <c r="I131" s="126"/>
      <c r="J131" s="965">
        <v>70</v>
      </c>
      <c r="K131" s="965">
        <v>257</v>
      </c>
      <c r="L131" s="966">
        <v>360</v>
      </c>
      <c r="M131" s="182"/>
    </row>
    <row r="132" spans="1:13" ht="12" customHeight="1">
      <c r="B132" s="603" t="s">
        <v>297</v>
      </c>
      <c r="C132" s="1315">
        <v>-0.22600000000000001</v>
      </c>
      <c r="D132" s="1316"/>
      <c r="E132" s="1316">
        <v>0.16300000000000001</v>
      </c>
      <c r="F132" s="1316">
        <v>0.14000000000000001</v>
      </c>
      <c r="G132" s="1316">
        <v>0.18</v>
      </c>
      <c r="H132" s="967">
        <v>0.154</v>
      </c>
      <c r="I132" s="1316"/>
      <c r="J132" s="968">
        <v>5.3999999999999999E-2</v>
      </c>
      <c r="K132" s="968">
        <v>0.19900000000000001</v>
      </c>
      <c r="L132" s="969">
        <v>0.28899999999999998</v>
      </c>
      <c r="M132" s="182"/>
    </row>
    <row r="133" spans="1:13" ht="12" customHeight="1">
      <c r="B133" s="491" t="s">
        <v>257</v>
      </c>
      <c r="C133" s="936">
        <v>0.52</v>
      </c>
      <c r="D133" s="937"/>
      <c r="E133" s="937">
        <v>0.5</v>
      </c>
      <c r="F133" s="937">
        <v>0.5</v>
      </c>
      <c r="G133" s="937">
        <v>0.52</v>
      </c>
      <c r="H133" s="936">
        <v>0.55000000000000004</v>
      </c>
      <c r="I133" s="937"/>
      <c r="J133" s="937">
        <v>0.59</v>
      </c>
      <c r="K133" s="937">
        <v>0.54</v>
      </c>
      <c r="L133" s="938">
        <v>0.47</v>
      </c>
      <c r="M133" s="159"/>
    </row>
    <row r="134" spans="1:13" ht="12" customHeight="1"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59"/>
    </row>
    <row r="135" spans="1:13" ht="12" customHeight="1">
      <c r="G135" s="74"/>
    </row>
    <row r="136" spans="1:13" ht="12" customHeight="1">
      <c r="G136" s="74"/>
    </row>
    <row r="137" spans="1:13" ht="12" customHeight="1">
      <c r="G137" s="74"/>
    </row>
    <row r="138" spans="1:13" ht="12" customHeight="1">
      <c r="G138" s="74"/>
    </row>
    <row r="139" spans="1:13" ht="12" customHeight="1">
      <c r="G139" s="74"/>
    </row>
    <row r="140" spans="1:13" ht="12" customHeight="1">
      <c r="G140" s="74"/>
    </row>
    <row r="141" spans="1:13" ht="12" customHeight="1">
      <c r="G141" s="74"/>
    </row>
    <row r="142" spans="1:13" ht="12" hidden="1" customHeight="1" outlineLevel="1">
      <c r="G142" s="74"/>
    </row>
    <row r="143" spans="1:13" ht="12" hidden="1" customHeight="1" outlineLevel="1">
      <c r="G143" s="74"/>
    </row>
    <row r="144" spans="1:13" ht="12" hidden="1" customHeight="1" outlineLevel="1">
      <c r="G144" s="74"/>
    </row>
    <row r="145" spans="1:13" ht="12" hidden="1" customHeight="1" outlineLevel="1">
      <c r="G145" s="74"/>
    </row>
    <row r="146" spans="1:13" ht="12" hidden="1" customHeight="1" outlineLevel="1">
      <c r="G146" s="74"/>
    </row>
    <row r="147" spans="1:13" ht="12" hidden="1" customHeight="1" outlineLevel="1">
      <c r="G147" s="74"/>
    </row>
    <row r="148" spans="1:13" ht="12" hidden="1" customHeight="1" outlineLevel="1">
      <c r="G148" s="74"/>
    </row>
    <row r="149" spans="1:13" ht="12" hidden="1" customHeight="1" outlineLevel="1">
      <c r="G149" s="74"/>
    </row>
    <row r="150" spans="1:13" ht="12" hidden="1" customHeight="1" outlineLevel="1">
      <c r="G150" s="74"/>
    </row>
    <row r="151" spans="1:13" s="237" customFormat="1" ht="12" hidden="1" customHeight="1" outlineLevel="1">
      <c r="A151" s="491"/>
      <c r="B151" s="15"/>
      <c r="C151" s="74"/>
      <c r="D151" s="491"/>
      <c r="E151" s="75"/>
      <c r="F151" s="74"/>
      <c r="G151" s="74"/>
      <c r="H151" s="15"/>
      <c r="I151" s="74"/>
      <c r="J151" s="75"/>
      <c r="K151" s="74"/>
      <c r="L151" s="15"/>
      <c r="M151" s="74"/>
    </row>
    <row r="152" spans="1:13" s="237" customFormat="1" ht="12" hidden="1" customHeight="1" outlineLevel="1">
      <c r="A152" s="491"/>
      <c r="B152" s="15"/>
      <c r="C152" s="74"/>
      <c r="D152" s="491"/>
      <c r="E152" s="75"/>
      <c r="F152" s="74"/>
      <c r="G152" s="74"/>
      <c r="H152" s="15"/>
      <c r="I152" s="74"/>
      <c r="J152" s="75"/>
      <c r="K152" s="74"/>
      <c r="L152" s="15"/>
      <c r="M152" s="74"/>
    </row>
    <row r="153" spans="1:13" ht="12" hidden="1" customHeight="1" outlineLevel="1">
      <c r="G153" s="74"/>
    </row>
    <row r="154" spans="1:13" ht="12" hidden="1" customHeight="1" outlineLevel="1">
      <c r="B154" s="237"/>
      <c r="C154" s="237"/>
      <c r="E154" s="236"/>
      <c r="F154" s="237"/>
      <c r="G154" s="237"/>
      <c r="H154" s="237"/>
      <c r="I154" s="237"/>
      <c r="J154" s="236"/>
      <c r="K154" s="237"/>
      <c r="L154" s="237"/>
      <c r="M154" s="237"/>
    </row>
    <row r="155" spans="1:13" ht="12" hidden="1" customHeight="1" outlineLevel="1">
      <c r="B155" s="237"/>
      <c r="C155" s="237"/>
      <c r="E155" s="236"/>
      <c r="F155" s="237"/>
      <c r="G155" s="237"/>
      <c r="H155" s="237"/>
      <c r="I155" s="237"/>
      <c r="J155" s="236"/>
      <c r="K155" s="237"/>
      <c r="L155" s="237"/>
      <c r="M155" s="237"/>
    </row>
    <row r="156" spans="1:13" ht="12" hidden="1" customHeight="1" outlineLevel="1">
      <c r="G156" s="74"/>
    </row>
    <row r="157" spans="1:13" ht="12" hidden="1" customHeight="1" outlineLevel="1">
      <c r="G157" s="74"/>
    </row>
    <row r="158" spans="1:13" ht="12" hidden="1" customHeight="1" outlineLevel="1">
      <c r="G158" s="74"/>
    </row>
    <row r="159" spans="1:13" ht="12" hidden="1" customHeight="1" outlineLevel="1">
      <c r="G159" s="74"/>
    </row>
    <row r="160" spans="1:13" ht="12" hidden="1" customHeight="1" outlineLevel="1">
      <c r="G160" s="74"/>
    </row>
    <row r="161" spans="7:7" ht="12" hidden="1" customHeight="1" outlineLevel="1">
      <c r="G161" s="74"/>
    </row>
    <row r="162" spans="7:7" ht="12" hidden="1" customHeight="1" outlineLevel="1">
      <c r="G162" s="74"/>
    </row>
    <row r="163" spans="7:7" ht="12" hidden="1" customHeight="1" outlineLevel="1">
      <c r="G163" s="74"/>
    </row>
    <row r="164" spans="7:7" ht="12" hidden="1" customHeight="1" outlineLevel="1">
      <c r="G164" s="74"/>
    </row>
    <row r="165" spans="7:7" ht="12" hidden="1" customHeight="1" outlineLevel="1">
      <c r="G165" s="74"/>
    </row>
    <row r="166" spans="7:7" ht="12" hidden="1" customHeight="1" outlineLevel="1"/>
    <row r="167" spans="7:7" ht="12" hidden="1" customHeight="1" outlineLevel="1"/>
    <row r="168" spans="7:7" ht="12" hidden="1" customHeight="1" outlineLevel="1"/>
    <row r="169" spans="7:7" ht="12" hidden="1" customHeight="1" outlineLevel="1"/>
    <row r="170" spans="7:7" ht="12" hidden="1" customHeight="1" outlineLevel="1"/>
    <row r="171" spans="7:7" ht="12" hidden="1" customHeight="1" outlineLevel="1"/>
    <row r="172" spans="7:7" ht="12" hidden="1" customHeight="1" outlineLevel="1"/>
    <row r="173" spans="7:7" ht="12" hidden="1" customHeight="1" outlineLevel="1"/>
    <row r="174" spans="7:7" ht="12" hidden="1" customHeight="1" outlineLevel="1"/>
    <row r="175" spans="7:7" ht="12" hidden="1" customHeight="1" outlineLevel="1"/>
    <row r="176" spans="7:7" ht="12" hidden="1" customHeight="1" outlineLevel="1"/>
    <row r="177" spans="1:13" ht="12" hidden="1" customHeight="1" outlineLevel="1"/>
    <row r="178" spans="1:13" ht="12" customHeight="1" collapsed="1"/>
    <row r="182" spans="1:13" s="237" customFormat="1" ht="12" customHeight="1">
      <c r="A182" s="491"/>
      <c r="B182" s="15"/>
      <c r="C182" s="74"/>
      <c r="D182" s="491"/>
      <c r="E182" s="75"/>
      <c r="F182" s="74"/>
      <c r="G182" s="15"/>
      <c r="H182" s="15"/>
      <c r="I182" s="74"/>
      <c r="J182" s="75"/>
      <c r="K182" s="74"/>
      <c r="L182" s="15"/>
      <c r="M182" s="74"/>
    </row>
    <row r="183" spans="1:13" s="237" customFormat="1" ht="12" customHeight="1">
      <c r="A183" s="491"/>
      <c r="B183" s="15"/>
      <c r="C183" s="74"/>
      <c r="D183" s="491"/>
      <c r="E183" s="75"/>
      <c r="F183" s="74"/>
      <c r="G183" s="15"/>
      <c r="H183" s="15"/>
      <c r="I183" s="74"/>
      <c r="J183" s="75"/>
      <c r="K183" s="74"/>
      <c r="L183" s="15"/>
      <c r="M183" s="74"/>
    </row>
    <row r="184" spans="1:13" s="237" customFormat="1" ht="12" customHeight="1">
      <c r="A184" s="491"/>
      <c r="B184" s="15"/>
      <c r="C184" s="74"/>
      <c r="D184" s="491"/>
      <c r="E184" s="75"/>
      <c r="F184" s="74"/>
      <c r="G184" s="15"/>
      <c r="H184" s="15"/>
      <c r="I184" s="74"/>
      <c r="J184" s="75"/>
      <c r="K184" s="74"/>
      <c r="L184" s="15"/>
      <c r="M184" s="74"/>
    </row>
    <row r="185" spans="1:13" ht="12" customHeight="1">
      <c r="B185" s="237"/>
      <c r="C185" s="237"/>
      <c r="E185" s="236"/>
      <c r="F185" s="237"/>
      <c r="G185" s="237"/>
      <c r="H185" s="237"/>
      <c r="I185" s="237"/>
      <c r="J185" s="236"/>
      <c r="K185" s="237"/>
      <c r="L185" s="237"/>
      <c r="M185" s="237"/>
    </row>
    <row r="186" spans="1:13" ht="12" customHeight="1">
      <c r="B186" s="237"/>
      <c r="C186" s="237"/>
      <c r="E186" s="236"/>
      <c r="F186" s="237"/>
      <c r="G186" s="237"/>
      <c r="H186" s="237"/>
      <c r="I186" s="237"/>
      <c r="J186" s="236"/>
      <c r="K186" s="237"/>
      <c r="L186" s="237"/>
      <c r="M186" s="237"/>
    </row>
    <row r="187" spans="1:13" ht="12" customHeight="1">
      <c r="B187" s="237"/>
      <c r="C187" s="237"/>
      <c r="E187" s="236"/>
      <c r="F187" s="237"/>
      <c r="G187" s="237"/>
      <c r="H187" s="237"/>
      <c r="I187" s="237"/>
      <c r="J187" s="236"/>
      <c r="K187" s="237"/>
      <c r="L187" s="237"/>
      <c r="M187" s="237"/>
    </row>
  </sheetData>
  <pageMargins left="0.74803149606299213" right="0.74803149606299213" top="0.98425196850393704" bottom="0.98425196850393704" header="0.51181102362204722" footer="0.51181102362204722"/>
  <pageSetup paperSize="9" scale="71" fitToHeight="3" orientation="landscape" horizontalDpi="300" verticalDpi="300" r:id="rId1"/>
  <rowBreaks count="2" manualBreakCount="2">
    <brk id="47" min="1" max="11" man="1"/>
    <brk id="97" min="1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M187"/>
  <sheetViews>
    <sheetView showGridLines="0" view="pageBreakPreview" zoomScale="130" zoomScaleNormal="100" zoomScaleSheetLayoutView="130" workbookViewId="0">
      <selection activeCell="C47" sqref="C47"/>
    </sheetView>
  </sheetViews>
  <sheetFormatPr defaultColWidth="9" defaultRowHeight="12" customHeight="1"/>
  <cols>
    <col min="1" max="1" width="7" style="43" customWidth="1"/>
    <col min="2" max="2" width="36.6640625" style="43" customWidth="1"/>
    <col min="3" max="3" width="6.77734375" style="74" customWidth="1"/>
    <col min="4" max="4" width="2" style="491" customWidth="1"/>
    <col min="5" max="5" width="6.77734375" style="75" customWidth="1"/>
    <col min="6" max="6" width="6.77734375" style="74" customWidth="1"/>
    <col min="7" max="8" width="6.77734375" style="64" customWidth="1"/>
    <col min="9" max="9" width="2" style="74" customWidth="1"/>
    <col min="10" max="10" width="6.77734375" style="75" customWidth="1"/>
    <col min="11" max="11" width="7.6640625" style="43" customWidth="1"/>
    <col min="12" max="13" width="6.77734375" style="43" customWidth="1"/>
    <col min="14" max="180" width="8" style="43" customWidth="1"/>
    <col min="181" max="16384" width="9" style="43"/>
  </cols>
  <sheetData>
    <row r="1" spans="1:13" ht="12" customHeight="1">
      <c r="A1" s="18"/>
      <c r="B1" s="63"/>
      <c r="C1" s="75"/>
      <c r="D1" s="486"/>
      <c r="F1" s="75"/>
      <c r="G1" s="63"/>
      <c r="H1" s="63"/>
      <c r="I1" s="75"/>
      <c r="K1" s="63"/>
      <c r="L1" s="63"/>
      <c r="M1" s="486"/>
    </row>
    <row r="2" spans="1:13" ht="15.75" customHeight="1">
      <c r="B2" s="162" t="s">
        <v>28</v>
      </c>
      <c r="C2" s="511"/>
      <c r="D2" s="323"/>
      <c r="E2" s="700"/>
      <c r="F2" s="511"/>
      <c r="G2" s="511"/>
      <c r="H2" s="511"/>
      <c r="I2" s="323"/>
      <c r="J2" s="511"/>
      <c r="K2" s="511"/>
      <c r="L2" s="511"/>
      <c r="M2" s="511"/>
    </row>
    <row r="3" spans="1:13" ht="12" customHeight="1">
      <c r="B3" s="26"/>
      <c r="C3" s="164" t="s">
        <v>274</v>
      </c>
      <c r="D3" s="163"/>
      <c r="E3" s="226" t="s">
        <v>159</v>
      </c>
      <c r="F3" s="164" t="s">
        <v>152</v>
      </c>
      <c r="G3" s="164" t="s">
        <v>52</v>
      </c>
      <c r="H3" s="164" t="s">
        <v>53</v>
      </c>
      <c r="I3" s="163"/>
      <c r="J3" s="164" t="s">
        <v>54</v>
      </c>
      <c r="K3" s="164" t="s">
        <v>55</v>
      </c>
      <c r="L3" s="164" t="s">
        <v>56</v>
      </c>
      <c r="M3" s="164"/>
    </row>
    <row r="4" spans="1:13" ht="12" customHeight="1">
      <c r="B4" s="468" t="s">
        <v>275</v>
      </c>
      <c r="C4" s="467" t="s">
        <v>25</v>
      </c>
      <c r="D4" s="466"/>
      <c r="E4" s="465" t="s">
        <v>25</v>
      </c>
      <c r="F4" s="467" t="s">
        <v>25</v>
      </c>
      <c r="G4" s="467" t="s">
        <v>25</v>
      </c>
      <c r="H4" s="467" t="s">
        <v>25</v>
      </c>
      <c r="I4" s="466"/>
      <c r="J4" s="467" t="s">
        <v>25</v>
      </c>
      <c r="K4" s="467" t="s">
        <v>25</v>
      </c>
      <c r="L4" s="467" t="s">
        <v>25</v>
      </c>
      <c r="M4" s="466"/>
    </row>
    <row r="5" spans="1:13" ht="12" customHeight="1">
      <c r="B5" s="463" t="s">
        <v>276</v>
      </c>
      <c r="C5" s="1317">
        <v>-78.999999999998721</v>
      </c>
      <c r="D5" s="1281"/>
      <c r="E5" s="980">
        <v>-99.000000000000625</v>
      </c>
      <c r="F5" s="980">
        <v>-116.9999999999969</v>
      </c>
      <c r="G5" s="1278">
        <v>-94.999999999999346</v>
      </c>
      <c r="H5" s="1317">
        <v>-111.00000000000067</v>
      </c>
      <c r="I5" s="1281"/>
      <c r="J5" s="981">
        <v>-200.99999999999599</v>
      </c>
      <c r="K5" s="981">
        <v>-106.00000000000033</v>
      </c>
      <c r="L5" s="981">
        <v>-156</v>
      </c>
      <c r="M5" s="731"/>
    </row>
    <row r="6" spans="1:13" ht="12" customHeight="1">
      <c r="B6" s="460" t="s">
        <v>277</v>
      </c>
      <c r="C6" s="976">
        <v>14.000000000000753</v>
      </c>
      <c r="D6" s="975"/>
      <c r="E6" s="978">
        <v>-11.000000000000361</v>
      </c>
      <c r="F6" s="978">
        <v>62.000000000000476</v>
      </c>
      <c r="G6" s="977">
        <v>-41.000000000000306</v>
      </c>
      <c r="H6" s="976">
        <v>15.999999999999932</v>
      </c>
      <c r="I6" s="975"/>
      <c r="J6" s="977">
        <v>190.00000000000009</v>
      </c>
      <c r="K6" s="977">
        <v>48.999999999999105</v>
      </c>
      <c r="L6" s="977">
        <v>189</v>
      </c>
      <c r="M6" s="462"/>
    </row>
    <row r="7" spans="1:13" ht="12" customHeight="1">
      <c r="B7" s="642" t="s">
        <v>278</v>
      </c>
      <c r="C7" s="1205">
        <v>-64.999999999996732</v>
      </c>
      <c r="D7" s="644"/>
      <c r="E7" s="643">
        <v>-110.00000000000391</v>
      </c>
      <c r="F7" s="643">
        <v>-54.999999999993975</v>
      </c>
      <c r="G7" s="1206">
        <v>-136.00000000000247</v>
      </c>
      <c r="H7" s="1229">
        <v>-95.000000000001108</v>
      </c>
      <c r="I7" s="644"/>
      <c r="J7" s="1206">
        <v>-10.999999999999561</v>
      </c>
      <c r="K7" s="1206">
        <v>-57.000000000001059</v>
      </c>
      <c r="L7" s="1206">
        <v>33</v>
      </c>
      <c r="M7" s="644"/>
    </row>
    <row r="8" spans="1:13" ht="12" customHeight="1">
      <c r="A8" s="19"/>
      <c r="B8" s="645" t="s">
        <v>333</v>
      </c>
      <c r="C8" s="1203">
        <v>-24.999999999999904</v>
      </c>
      <c r="D8" s="51"/>
      <c r="E8" s="1230">
        <v>-3.9999999999997113</v>
      </c>
      <c r="F8" s="1230">
        <v>-8.0000000000000728</v>
      </c>
      <c r="G8" s="1204">
        <v>-3.0000000000000284</v>
      </c>
      <c r="H8" s="1231">
        <v>-12.000000000000025</v>
      </c>
      <c r="I8" s="51"/>
      <c r="J8" s="1204">
        <v>7.000000000000159</v>
      </c>
      <c r="K8" s="1204">
        <v>4.000000000000024</v>
      </c>
      <c r="L8" s="1204">
        <v>-1</v>
      </c>
      <c r="M8" s="51"/>
    </row>
    <row r="9" spans="1:13" ht="12" customHeight="1">
      <c r="A9" s="19"/>
      <c r="B9" s="642" t="s">
        <v>338</v>
      </c>
      <c r="C9" s="1205">
        <v>-89.999999999996476</v>
      </c>
      <c r="D9" s="644"/>
      <c r="E9" s="643">
        <v>-114.00000000000377</v>
      </c>
      <c r="F9" s="643">
        <v>-62.999999999993896</v>
      </c>
      <c r="G9" s="1206">
        <v>-139.00000000000239</v>
      </c>
      <c r="H9" s="1229">
        <v>-107.0000000000007</v>
      </c>
      <c r="I9" s="644"/>
      <c r="J9" s="1206">
        <v>-3.9999999999984794</v>
      </c>
      <c r="K9" s="1206">
        <v>-53.00000000000194</v>
      </c>
      <c r="L9" s="1206">
        <v>32</v>
      </c>
      <c r="M9" s="644"/>
    </row>
    <row r="10" spans="1:13" ht="10.199999999999999">
      <c r="A10" s="19"/>
      <c r="B10" s="603" t="s">
        <v>279</v>
      </c>
      <c r="C10" s="1232">
        <v>-11</v>
      </c>
      <c r="D10" s="51"/>
      <c r="E10" s="55">
        <v>-45</v>
      </c>
      <c r="F10" s="55">
        <v>-59</v>
      </c>
      <c r="G10" s="646">
        <v>-44</v>
      </c>
      <c r="H10" s="1233">
        <v>-52</v>
      </c>
      <c r="I10" s="51"/>
      <c r="J10" s="646">
        <v>-68.58286317000281</v>
      </c>
      <c r="K10" s="646">
        <v>-64</v>
      </c>
      <c r="L10" s="646">
        <v>-36</v>
      </c>
      <c r="M10" s="646"/>
    </row>
    <row r="11" spans="1:13" ht="12" customHeight="1">
      <c r="A11" s="19"/>
      <c r="B11" s="645" t="s">
        <v>290</v>
      </c>
      <c r="C11" s="1203">
        <v>0</v>
      </c>
      <c r="D11" s="51"/>
      <c r="E11" s="1230">
        <v>-11</v>
      </c>
      <c r="F11" s="1230">
        <v>0</v>
      </c>
      <c r="G11" s="1204">
        <v>0</v>
      </c>
      <c r="H11" s="1231">
        <v>0</v>
      </c>
      <c r="I11" s="51"/>
      <c r="J11" s="1204">
        <v>-13.4</v>
      </c>
      <c r="K11" s="1204">
        <v>0</v>
      </c>
      <c r="L11" s="1204">
        <v>0</v>
      </c>
      <c r="M11" s="646"/>
    </row>
    <row r="12" spans="1:13" ht="12" customHeight="1">
      <c r="A12" s="19"/>
      <c r="B12" s="642" t="s">
        <v>281</v>
      </c>
      <c r="C12" s="1205">
        <v>-11</v>
      </c>
      <c r="D12" s="644"/>
      <c r="E12" s="643">
        <v>-56</v>
      </c>
      <c r="F12" s="643">
        <v>-59</v>
      </c>
      <c r="G12" s="1206">
        <v>-44</v>
      </c>
      <c r="H12" s="1229">
        <v>-52</v>
      </c>
      <c r="I12" s="644"/>
      <c r="J12" s="1206">
        <v>-81.982863170002815</v>
      </c>
      <c r="K12" s="1206">
        <v>-64</v>
      </c>
      <c r="L12" s="1206">
        <v>-36</v>
      </c>
      <c r="M12" s="646"/>
    </row>
    <row r="13" spans="1:13" ht="12" customHeight="1">
      <c r="A13" s="19"/>
      <c r="B13" s="603" t="s">
        <v>282</v>
      </c>
      <c r="C13" s="1232">
        <v>0</v>
      </c>
      <c r="D13" s="51"/>
      <c r="E13" s="55">
        <v>0</v>
      </c>
      <c r="F13" s="55">
        <v>0</v>
      </c>
      <c r="G13" s="646">
        <v>0</v>
      </c>
      <c r="H13" s="1233">
        <v>0</v>
      </c>
      <c r="I13" s="51"/>
      <c r="J13" s="646">
        <v>-140</v>
      </c>
      <c r="K13" s="646">
        <v>0</v>
      </c>
      <c r="L13" s="646">
        <v>0</v>
      </c>
      <c r="M13" s="646"/>
    </row>
    <row r="14" spans="1:13" ht="12" customHeight="1">
      <c r="A14" s="19"/>
      <c r="B14" s="645" t="s">
        <v>246</v>
      </c>
      <c r="C14" s="1203">
        <v>-4.5813060600000002</v>
      </c>
      <c r="D14" s="51"/>
      <c r="E14" s="1230">
        <v>-22.891630682190598</v>
      </c>
      <c r="F14" s="1230">
        <v>-88</v>
      </c>
      <c r="G14" s="1204">
        <v>-1.4443003899999998</v>
      </c>
      <c r="H14" s="1231">
        <v>-38.649387590000003</v>
      </c>
      <c r="I14" s="51"/>
      <c r="J14" s="1204">
        <v>-12.017136830000002</v>
      </c>
      <c r="K14" s="1204">
        <v>-18.953604072999997</v>
      </c>
      <c r="L14" s="1204">
        <v>-31</v>
      </c>
      <c r="M14" s="51"/>
    </row>
    <row r="15" spans="1:13" ht="12" customHeight="1">
      <c r="A15" s="19"/>
      <c r="B15" s="642" t="s">
        <v>247</v>
      </c>
      <c r="C15" s="1205">
        <v>-15.999999999999737</v>
      </c>
      <c r="D15" s="644"/>
      <c r="E15" s="643">
        <v>-79.000000000003766</v>
      </c>
      <c r="F15" s="643">
        <v>-147.00000084000129</v>
      </c>
      <c r="G15" s="1206">
        <v>-44.999999999995808</v>
      </c>
      <c r="H15" s="1229">
        <v>-90.999999999998778</v>
      </c>
      <c r="I15" s="644"/>
      <c r="J15" s="1206">
        <v>-234.00000000000281</v>
      </c>
      <c r="K15" s="1206">
        <v>-82.999999999995467</v>
      </c>
      <c r="L15" s="1206">
        <v>-67</v>
      </c>
      <c r="M15" s="644"/>
    </row>
    <row r="16" spans="1:13" ht="12" customHeight="1">
      <c r="A16" s="19"/>
      <c r="B16" s="645" t="s">
        <v>283</v>
      </c>
      <c r="C16" s="1203">
        <v>1.9999999999990541</v>
      </c>
      <c r="D16" s="51"/>
      <c r="E16" s="1230">
        <v>3.0000000000040732</v>
      </c>
      <c r="F16" s="1230">
        <v>6.000000000000318</v>
      </c>
      <c r="G16" s="1204">
        <v>15.000000000000616</v>
      </c>
      <c r="H16" s="1231">
        <v>-22.000000000000224</v>
      </c>
      <c r="I16" s="51"/>
      <c r="J16" s="1204">
        <v>7.0000000000041354</v>
      </c>
      <c r="K16" s="1204">
        <v>7.0000000000000036</v>
      </c>
      <c r="L16" s="1204">
        <v>-23</v>
      </c>
      <c r="M16" s="51"/>
    </row>
    <row r="17" spans="1:13" s="17" customFormat="1" ht="12" customHeight="1">
      <c r="A17" s="28"/>
      <c r="B17" s="642" t="s">
        <v>339</v>
      </c>
      <c r="C17" s="1205">
        <v>-103.99999999999683</v>
      </c>
      <c r="D17" s="644"/>
      <c r="E17" s="643">
        <v>-190.0000000000023</v>
      </c>
      <c r="F17" s="643">
        <v>-204.00000083999561</v>
      </c>
      <c r="G17" s="1206">
        <v>-168.99999999999585</v>
      </c>
      <c r="H17" s="1229">
        <v>-220</v>
      </c>
      <c r="I17" s="644"/>
      <c r="J17" s="1206">
        <v>-230.99999999999639</v>
      </c>
      <c r="K17" s="1206">
        <v>-129.00000000000216</v>
      </c>
      <c r="L17" s="1206">
        <v>-58</v>
      </c>
      <c r="M17" s="644"/>
    </row>
    <row r="18" spans="1:13" ht="10.199999999999999">
      <c r="A18" s="19"/>
      <c r="B18" s="603" t="s">
        <v>341</v>
      </c>
      <c r="C18" s="594">
        <v>-98.9999999999972</v>
      </c>
      <c r="D18" s="51"/>
      <c r="E18" s="52">
        <v>-154.00000000000421</v>
      </c>
      <c r="F18" s="52">
        <v>-184.00000123999689</v>
      </c>
      <c r="G18" s="51">
        <v>-125.99999999999599</v>
      </c>
      <c r="H18" s="1234">
        <v>-171.99999999999974</v>
      </c>
      <c r="I18" s="51"/>
      <c r="J18" s="51">
        <v>-234</v>
      </c>
      <c r="K18" s="51">
        <v>-147</v>
      </c>
      <c r="L18" s="51">
        <v>-120</v>
      </c>
      <c r="M18" s="51"/>
    </row>
    <row r="19" spans="1:13" ht="12" customHeight="1">
      <c r="A19" s="19"/>
      <c r="B19" s="655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</row>
    <row r="20" spans="1:13" s="17" customFormat="1" ht="12" customHeight="1">
      <c r="A20" s="28"/>
      <c r="B20" s="672" t="s">
        <v>293</v>
      </c>
      <c r="C20" s="1318" t="s">
        <v>263</v>
      </c>
      <c r="D20" s="156"/>
      <c r="E20" s="1318" t="s">
        <v>263</v>
      </c>
      <c r="F20" s="1318" t="s">
        <v>263</v>
      </c>
      <c r="G20" s="1319" t="s">
        <v>263</v>
      </c>
      <c r="H20" s="1320" t="s">
        <v>263</v>
      </c>
      <c r="I20" s="156"/>
      <c r="J20" s="1319" t="s">
        <v>263</v>
      </c>
      <c r="K20" s="1319" t="s">
        <v>263</v>
      </c>
      <c r="L20" s="1319" t="s">
        <v>263</v>
      </c>
      <c r="M20" s="156"/>
    </row>
    <row r="21" spans="1:13" ht="12" customHeight="1">
      <c r="A21" s="19"/>
      <c r="B21" s="605" t="s">
        <v>286</v>
      </c>
      <c r="C21" s="606">
        <v>23553.9999999998</v>
      </c>
      <c r="D21" s="601"/>
      <c r="E21" s="1242">
        <v>21039.999999999898</v>
      </c>
      <c r="F21" s="1242">
        <v>22869.999948600263</v>
      </c>
      <c r="G21" s="620">
        <v>22356.999999999734</v>
      </c>
      <c r="H21" s="1243">
        <v>21406.999999999429</v>
      </c>
      <c r="I21" s="601"/>
      <c r="J21" s="620">
        <v>21485.999999999774</v>
      </c>
      <c r="K21" s="620">
        <v>18606.0000000002</v>
      </c>
      <c r="L21" s="620">
        <v>17200</v>
      </c>
      <c r="M21" s="601"/>
    </row>
    <row r="22" spans="1:13" ht="12" customHeight="1">
      <c r="A22" s="19"/>
      <c r="B22" s="603" t="s">
        <v>267</v>
      </c>
      <c r="C22" s="608">
        <v>10044.999999999987</v>
      </c>
      <c r="D22" s="601"/>
      <c r="E22" s="56">
        <v>10986.984355423112</v>
      </c>
      <c r="F22" s="56">
        <v>13418.000000000004</v>
      </c>
      <c r="G22" s="601">
        <v>28084.999999999956</v>
      </c>
      <c r="H22" s="1246">
        <v>27040.695790831764</v>
      </c>
      <c r="I22" s="601"/>
      <c r="J22" s="601">
        <v>26003.000000000011</v>
      </c>
      <c r="K22" s="601">
        <v>26798.99999999996</v>
      </c>
      <c r="L22" s="601">
        <v>26300</v>
      </c>
      <c r="M22" s="601"/>
    </row>
    <row r="23" spans="1:13" ht="12" customHeight="1">
      <c r="A23" s="19"/>
      <c r="B23" s="603" t="s">
        <v>296</v>
      </c>
      <c r="C23" s="608">
        <v>4402.4454018616234</v>
      </c>
      <c r="D23" s="601"/>
      <c r="E23" s="56">
        <v>5562.7823771247631</v>
      </c>
      <c r="F23" s="56">
        <v>5476.6655219314225</v>
      </c>
      <c r="G23" s="601">
        <v>6956.1698820277416</v>
      </c>
      <c r="H23" s="1246">
        <v>4533.7655917405427</v>
      </c>
      <c r="I23" s="601"/>
      <c r="J23" s="601">
        <v>4861.4646477626075</v>
      </c>
      <c r="K23" s="601">
        <v>4155.8455040646604</v>
      </c>
      <c r="L23" s="601">
        <v>3600</v>
      </c>
      <c r="M23" s="601"/>
    </row>
    <row r="24" spans="1:13" s="64" customFormat="1" ht="12" customHeight="1">
      <c r="A24" s="65"/>
      <c r="B24" s="603"/>
      <c r="C24" s="974"/>
      <c r="D24" s="57"/>
      <c r="E24" s="656"/>
      <c r="F24" s="656"/>
      <c r="G24" s="57"/>
      <c r="H24" s="974"/>
      <c r="I24" s="57"/>
      <c r="J24" s="57"/>
      <c r="K24" s="57"/>
      <c r="L24" s="57"/>
      <c r="M24" s="57"/>
    </row>
    <row r="25" spans="1:13" ht="12" customHeight="1">
      <c r="A25" s="19"/>
      <c r="B25" s="604" t="s">
        <v>254</v>
      </c>
      <c r="C25" s="973"/>
      <c r="D25" s="974"/>
      <c r="E25" s="979"/>
      <c r="F25" s="979"/>
      <c r="G25" s="973"/>
      <c r="H25" s="973"/>
      <c r="I25" s="974"/>
      <c r="J25" s="973"/>
      <c r="K25" s="973"/>
      <c r="L25" s="973"/>
      <c r="M25" s="461"/>
    </row>
    <row r="26" spans="1:13" ht="12" customHeight="1">
      <c r="A26" s="19"/>
      <c r="B26" s="603" t="s">
        <v>298</v>
      </c>
      <c r="C26" s="608">
        <v>4237.5153545494804</v>
      </c>
      <c r="D26" s="616"/>
      <c r="E26" s="56">
        <v>5190.4096912377317</v>
      </c>
      <c r="F26" s="56">
        <v>5812.9453700039785</v>
      </c>
      <c r="G26" s="616">
        <v>4786.9067557343442</v>
      </c>
      <c r="H26" s="1246">
        <v>4335.0813446597022</v>
      </c>
      <c r="I26" s="616"/>
      <c r="J26" s="616">
        <v>2906.1443079258088</v>
      </c>
      <c r="K26" s="616">
        <v>3387.3683505647073</v>
      </c>
      <c r="L26" s="616">
        <v>2000</v>
      </c>
      <c r="M26" s="616"/>
    </row>
    <row r="27" spans="1:13" s="64" customFormat="1" ht="12" customHeight="1">
      <c r="A27" s="65"/>
      <c r="B27" s="655"/>
      <c r="C27" s="982"/>
      <c r="D27" s="1321"/>
      <c r="E27" s="983"/>
      <c r="F27" s="983"/>
      <c r="G27" s="1321"/>
      <c r="H27" s="982"/>
      <c r="I27" s="1321"/>
      <c r="J27" s="984"/>
      <c r="K27" s="984"/>
      <c r="L27" s="984"/>
      <c r="M27" s="469"/>
    </row>
    <row r="28" spans="1:13" ht="28.8">
      <c r="A28" s="27"/>
      <c r="B28" s="604" t="s">
        <v>36</v>
      </c>
      <c r="C28" s="972" t="s">
        <v>25</v>
      </c>
      <c r="D28" s="971"/>
      <c r="E28" s="972" t="s">
        <v>25</v>
      </c>
      <c r="F28" s="972" t="s">
        <v>25</v>
      </c>
      <c r="G28" s="970" t="s">
        <v>25</v>
      </c>
      <c r="H28" s="970" t="s">
        <v>25</v>
      </c>
      <c r="I28" s="971"/>
      <c r="J28" s="970" t="s">
        <v>25</v>
      </c>
      <c r="K28" s="970" t="s">
        <v>25</v>
      </c>
      <c r="L28" s="970" t="s">
        <v>25</v>
      </c>
      <c r="M28" s="466"/>
    </row>
    <row r="29" spans="1:13" ht="12" customHeight="1">
      <c r="A29" s="18"/>
      <c r="B29" s="605" t="s">
        <v>340</v>
      </c>
      <c r="C29" s="1313">
        <v>-99.4186939399968</v>
      </c>
      <c r="D29" s="659"/>
      <c r="E29" s="1322">
        <v>-167.10836931781171</v>
      </c>
      <c r="F29" s="1322">
        <v>-116</v>
      </c>
      <c r="G29" s="1323">
        <v>-167.55569960999586</v>
      </c>
      <c r="H29" s="1324">
        <v>-181.35061241</v>
      </c>
      <c r="I29" s="659"/>
      <c r="J29" s="1323">
        <v>-218.98286316999636</v>
      </c>
      <c r="K29" s="1323">
        <v>-110.04639592700217</v>
      </c>
      <c r="L29" s="1323">
        <v>-27</v>
      </c>
      <c r="M29" s="659"/>
    </row>
    <row r="30" spans="1:13" ht="12" customHeight="1">
      <c r="A30" s="18"/>
      <c r="B30" s="603" t="s">
        <v>341</v>
      </c>
      <c r="C30" s="1266">
        <v>-103.07530960635719</v>
      </c>
      <c r="D30" s="659"/>
      <c r="E30" s="1325">
        <v>-138.91754342778154</v>
      </c>
      <c r="F30" s="1325">
        <v>-118</v>
      </c>
      <c r="G30" s="659">
        <v>-123.693692871428</v>
      </c>
      <c r="H30" s="1326">
        <v>-143.85061240999974</v>
      </c>
      <c r="I30" s="659"/>
      <c r="J30" s="659">
        <v>-218</v>
      </c>
      <c r="K30" s="659">
        <v>-136</v>
      </c>
      <c r="L30" s="659">
        <v>-96</v>
      </c>
      <c r="M30" s="659"/>
    </row>
    <row r="31" spans="1:13" ht="12" customHeight="1">
      <c r="A31" s="18"/>
      <c r="B31" s="75"/>
      <c r="C31" s="75"/>
      <c r="D31" s="486"/>
      <c r="F31" s="75"/>
      <c r="G31" s="75"/>
      <c r="H31" s="75"/>
      <c r="I31" s="75"/>
      <c r="K31" s="75"/>
      <c r="L31" s="75"/>
      <c r="M31" s="486"/>
    </row>
    <row r="32" spans="1:13" ht="12" customHeight="1">
      <c r="E32" s="693"/>
      <c r="K32" s="63"/>
      <c r="L32" s="63"/>
      <c r="M32" s="486"/>
    </row>
    <row r="33" spans="3:13" ht="12" customHeight="1">
      <c r="C33" s="74" t="s">
        <v>1</v>
      </c>
      <c r="D33" s="491" t="s">
        <v>1</v>
      </c>
      <c r="F33" s="74" t="s">
        <v>1</v>
      </c>
      <c r="G33" s="64" t="s">
        <v>1</v>
      </c>
      <c r="H33" s="64" t="s">
        <v>1</v>
      </c>
      <c r="I33" s="74" t="s">
        <v>1</v>
      </c>
      <c r="K33" s="63"/>
      <c r="L33" s="63"/>
      <c r="M33" s="486"/>
    </row>
    <row r="34" spans="3:13" ht="12" customHeight="1">
      <c r="K34" s="63"/>
      <c r="L34" s="63"/>
      <c r="M34" s="486"/>
    </row>
    <row r="35" spans="3:13" ht="12" customHeight="1">
      <c r="K35" s="63"/>
      <c r="L35" s="63"/>
      <c r="M35" s="486"/>
    </row>
    <row r="36" spans="3:13" ht="12" customHeight="1">
      <c r="K36" s="63"/>
      <c r="L36" s="63"/>
      <c r="M36" s="486"/>
    </row>
    <row r="37" spans="3:13" ht="12" customHeight="1">
      <c r="K37" s="63"/>
      <c r="L37" s="66"/>
      <c r="M37" s="72"/>
    </row>
    <row r="38" spans="3:13" ht="12" customHeight="1">
      <c r="K38" s="63"/>
      <c r="L38" s="66"/>
      <c r="M38" s="72"/>
    </row>
    <row r="39" spans="3:13" ht="12" customHeight="1">
      <c r="C39" s="43"/>
      <c r="D39" s="43"/>
      <c r="E39" s="18"/>
      <c r="F39" s="43"/>
      <c r="G39" s="43"/>
      <c r="I39" s="43"/>
      <c r="J39" s="18"/>
      <c r="K39" s="63"/>
      <c r="L39" s="63"/>
      <c r="M39" s="486"/>
    </row>
    <row r="40" spans="3:13" ht="12" customHeight="1">
      <c r="C40" s="43"/>
      <c r="D40" s="43"/>
      <c r="E40" s="18"/>
      <c r="F40" s="43"/>
      <c r="G40" s="43"/>
      <c r="I40" s="43"/>
      <c r="J40" s="18"/>
      <c r="K40" s="63"/>
      <c r="L40" s="67"/>
      <c r="M40" s="67"/>
    </row>
    <row r="41" spans="3:13" ht="12" customHeight="1">
      <c r="C41" s="43"/>
      <c r="D41" s="43"/>
      <c r="E41" s="18"/>
      <c r="F41" s="43"/>
      <c r="G41" s="43"/>
      <c r="I41" s="43"/>
      <c r="J41" s="18"/>
      <c r="K41" s="63"/>
      <c r="L41" s="63"/>
      <c r="M41" s="486"/>
    </row>
    <row r="42" spans="3:13" ht="12" customHeight="1">
      <c r="C42" s="43"/>
      <c r="D42" s="43"/>
      <c r="E42" s="18"/>
      <c r="F42" s="43"/>
      <c r="G42" s="43"/>
      <c r="I42" s="43"/>
      <c r="J42" s="18"/>
      <c r="K42" s="63"/>
      <c r="L42" s="63"/>
      <c r="M42" s="486"/>
    </row>
    <row r="43" spans="3:13" ht="12" customHeight="1">
      <c r="C43" s="43"/>
      <c r="D43" s="43"/>
      <c r="E43" s="18"/>
      <c r="F43" s="43"/>
      <c r="G43" s="43"/>
      <c r="I43" s="43"/>
      <c r="J43" s="18"/>
      <c r="K43" s="63"/>
      <c r="L43" s="63"/>
      <c r="M43" s="486"/>
    </row>
    <row r="45" spans="3:13" ht="12" customHeight="1">
      <c r="C45" s="43"/>
      <c r="D45" s="43"/>
      <c r="E45" s="18"/>
      <c r="F45" s="43"/>
      <c r="G45" s="43"/>
      <c r="I45" s="43"/>
      <c r="J45" s="18"/>
    </row>
    <row r="46" spans="3:13" ht="12" customHeight="1">
      <c r="C46" s="43"/>
      <c r="D46" s="43"/>
      <c r="E46" s="18"/>
      <c r="F46" s="43"/>
      <c r="G46" s="43"/>
      <c r="I46" s="43"/>
      <c r="J46" s="18"/>
    </row>
    <row r="47" spans="3:13" ht="12" customHeight="1">
      <c r="C47" s="43"/>
      <c r="D47" s="43"/>
      <c r="E47" s="18"/>
      <c r="F47" s="43"/>
      <c r="G47" s="43"/>
      <c r="I47" s="43"/>
      <c r="J47" s="18"/>
    </row>
    <row r="48" spans="3:13" ht="12" customHeight="1">
      <c r="C48" s="43"/>
      <c r="D48" s="43"/>
      <c r="E48" s="18"/>
      <c r="F48" s="43"/>
      <c r="G48" s="43"/>
      <c r="I48" s="43"/>
      <c r="J48" s="18"/>
    </row>
    <row r="49" spans="3:10" ht="12" customHeight="1">
      <c r="C49" s="43"/>
      <c r="D49" s="43"/>
      <c r="E49" s="18"/>
      <c r="F49" s="43"/>
      <c r="G49" s="43"/>
      <c r="I49" s="43"/>
      <c r="J49" s="18"/>
    </row>
    <row r="50" spans="3:10" ht="12" customHeight="1">
      <c r="C50" s="43"/>
      <c r="D50" s="43"/>
      <c r="E50" s="18"/>
      <c r="F50" s="43"/>
      <c r="G50" s="43"/>
      <c r="I50" s="43"/>
      <c r="J50" s="18"/>
    </row>
    <row r="51" spans="3:10" ht="12" customHeight="1">
      <c r="C51" s="43"/>
      <c r="D51" s="43"/>
      <c r="E51" s="18"/>
      <c r="F51" s="43"/>
      <c r="G51" s="43"/>
      <c r="I51" s="43"/>
      <c r="J51" s="18"/>
    </row>
    <row r="52" spans="3:10" ht="12" customHeight="1">
      <c r="C52" s="43"/>
      <c r="D52" s="43"/>
      <c r="E52" s="18"/>
      <c r="F52" s="43"/>
      <c r="G52" s="43"/>
      <c r="I52" s="43"/>
      <c r="J52" s="18"/>
    </row>
    <row r="53" spans="3:10" ht="12" customHeight="1">
      <c r="C53" s="43"/>
      <c r="D53" s="43"/>
      <c r="E53" s="18"/>
      <c r="F53" s="43"/>
      <c r="G53" s="43"/>
      <c r="I53" s="43"/>
      <c r="J53" s="18"/>
    </row>
    <row r="54" spans="3:10" ht="12" customHeight="1">
      <c r="C54" s="43"/>
      <c r="D54" s="43"/>
      <c r="E54" s="18"/>
      <c r="F54" s="43"/>
      <c r="G54" s="43"/>
      <c r="I54" s="43"/>
      <c r="J54" s="18"/>
    </row>
    <row r="55" spans="3:10" ht="12" customHeight="1">
      <c r="C55" s="43"/>
      <c r="D55" s="43"/>
      <c r="E55" s="18"/>
      <c r="F55" s="43"/>
      <c r="G55" s="43"/>
      <c r="I55" s="43"/>
      <c r="J55" s="18"/>
    </row>
    <row r="56" spans="3:10" ht="12" customHeight="1">
      <c r="C56" s="43"/>
      <c r="D56" s="43"/>
      <c r="E56" s="18"/>
      <c r="F56" s="43"/>
      <c r="G56" s="43"/>
      <c r="I56" s="43"/>
      <c r="J56" s="18"/>
    </row>
    <row r="57" spans="3:10" ht="12" customHeight="1">
      <c r="C57" s="43"/>
      <c r="D57" s="43"/>
      <c r="E57" s="18"/>
      <c r="F57" s="43"/>
      <c r="G57" s="43"/>
      <c r="I57" s="43"/>
      <c r="J57" s="18"/>
    </row>
    <row r="58" spans="3:10" ht="12" customHeight="1">
      <c r="C58" s="43"/>
      <c r="D58" s="43"/>
      <c r="E58" s="18"/>
      <c r="F58" s="43"/>
      <c r="G58" s="43"/>
      <c r="I58" s="43"/>
      <c r="J58" s="18"/>
    </row>
    <row r="59" spans="3:10" ht="12" customHeight="1">
      <c r="C59" s="43"/>
      <c r="D59" s="43"/>
      <c r="E59" s="18"/>
      <c r="F59" s="43"/>
      <c r="G59" s="43"/>
      <c r="I59" s="43"/>
      <c r="J59" s="18"/>
    </row>
    <row r="60" spans="3:10" ht="12" customHeight="1">
      <c r="C60" s="43"/>
      <c r="D60" s="43"/>
      <c r="E60" s="18"/>
      <c r="F60" s="43"/>
      <c r="G60" s="43"/>
      <c r="I60" s="43"/>
      <c r="J60" s="18"/>
    </row>
    <row r="61" spans="3:10" ht="12" customHeight="1">
      <c r="C61" s="43"/>
      <c r="D61" s="43"/>
      <c r="E61" s="18"/>
      <c r="F61" s="43"/>
      <c r="G61" s="43"/>
      <c r="I61" s="43"/>
      <c r="J61" s="18"/>
    </row>
    <row r="62" spans="3:10" ht="12" customHeight="1">
      <c r="C62" s="43"/>
      <c r="D62" s="43"/>
      <c r="E62" s="18"/>
      <c r="F62" s="43"/>
      <c r="G62" s="43"/>
      <c r="I62" s="43"/>
      <c r="J62" s="18"/>
    </row>
    <row r="63" spans="3:10" ht="12" customHeight="1">
      <c r="C63" s="43"/>
      <c r="D63" s="43"/>
      <c r="E63" s="18"/>
      <c r="F63" s="43"/>
      <c r="G63" s="43"/>
      <c r="I63" s="43"/>
      <c r="J63" s="18"/>
    </row>
    <row r="64" spans="3:10" ht="12" customHeight="1">
      <c r="C64" s="43"/>
      <c r="D64" s="43"/>
      <c r="E64" s="18"/>
      <c r="F64" s="43"/>
      <c r="G64" s="43"/>
      <c r="I64" s="43"/>
      <c r="J64" s="18"/>
    </row>
    <row r="65" spans="3:10" ht="12" customHeight="1">
      <c r="C65" s="43"/>
      <c r="D65" s="43"/>
      <c r="E65" s="18"/>
      <c r="F65" s="43"/>
      <c r="G65" s="43"/>
      <c r="I65" s="43"/>
      <c r="J65" s="18"/>
    </row>
    <row r="66" spans="3:10" ht="12" customHeight="1">
      <c r="C66" s="43"/>
      <c r="D66" s="43"/>
      <c r="E66" s="18"/>
      <c r="F66" s="43"/>
      <c r="G66" s="43"/>
      <c r="I66" s="43"/>
      <c r="J66" s="18"/>
    </row>
    <row r="67" spans="3:10" ht="12" customHeight="1">
      <c r="C67" s="43"/>
      <c r="D67" s="43"/>
      <c r="E67" s="18"/>
      <c r="F67" s="43"/>
      <c r="G67" s="43"/>
      <c r="I67" s="43"/>
      <c r="J67" s="18"/>
    </row>
    <row r="68" spans="3:10" ht="12" customHeight="1">
      <c r="C68" s="43"/>
      <c r="D68" s="43"/>
      <c r="E68" s="18"/>
      <c r="F68" s="43"/>
      <c r="G68" s="43"/>
      <c r="I68" s="43"/>
      <c r="J68" s="18"/>
    </row>
    <row r="69" spans="3:10" ht="12" customHeight="1">
      <c r="C69" s="43"/>
      <c r="D69" s="43"/>
      <c r="E69" s="18"/>
      <c r="F69" s="43"/>
      <c r="G69" s="43"/>
      <c r="I69" s="43"/>
      <c r="J69" s="18"/>
    </row>
    <row r="70" spans="3:10" ht="12" customHeight="1">
      <c r="C70" s="43"/>
      <c r="D70" s="43"/>
      <c r="E70" s="18"/>
      <c r="F70" s="43"/>
      <c r="G70" s="43"/>
      <c r="I70" s="43"/>
      <c r="J70" s="18"/>
    </row>
    <row r="71" spans="3:10" ht="12" customHeight="1">
      <c r="C71" s="43"/>
      <c r="D71" s="43"/>
      <c r="E71" s="18"/>
      <c r="F71" s="43"/>
      <c r="G71" s="43"/>
      <c r="I71" s="43"/>
      <c r="J71" s="18"/>
    </row>
    <row r="72" spans="3:10" ht="12" customHeight="1">
      <c r="C72" s="43"/>
      <c r="D72" s="43"/>
      <c r="E72" s="18"/>
      <c r="F72" s="43"/>
      <c r="G72" s="43"/>
      <c r="I72" s="43"/>
      <c r="J72" s="18"/>
    </row>
    <row r="73" spans="3:10" ht="12" customHeight="1">
      <c r="C73" s="43"/>
      <c r="D73" s="43"/>
      <c r="E73" s="18"/>
      <c r="F73" s="43"/>
      <c r="G73" s="43"/>
      <c r="I73" s="43"/>
      <c r="J73" s="18"/>
    </row>
    <row r="74" spans="3:10" ht="12" customHeight="1">
      <c r="C74" s="43"/>
      <c r="D74" s="43"/>
      <c r="E74" s="18"/>
      <c r="F74" s="43"/>
      <c r="G74" s="43"/>
      <c r="I74" s="43"/>
      <c r="J74" s="18"/>
    </row>
    <row r="75" spans="3:10" ht="12" customHeight="1">
      <c r="C75" s="43"/>
      <c r="D75" s="43"/>
      <c r="E75" s="18"/>
      <c r="F75" s="43"/>
      <c r="G75" s="43"/>
      <c r="I75" s="43"/>
      <c r="J75" s="18"/>
    </row>
    <row r="76" spans="3:10" ht="12" customHeight="1">
      <c r="C76" s="43"/>
      <c r="D76" s="43"/>
      <c r="E76" s="18"/>
      <c r="F76" s="43"/>
      <c r="G76" s="43"/>
      <c r="I76" s="43"/>
      <c r="J76" s="18"/>
    </row>
    <row r="77" spans="3:10" ht="12" customHeight="1">
      <c r="C77" s="43"/>
      <c r="D77" s="43"/>
      <c r="E77" s="18"/>
      <c r="F77" s="43"/>
      <c r="G77" s="43"/>
      <c r="I77" s="43"/>
      <c r="J77" s="18"/>
    </row>
    <row r="78" spans="3:10" ht="12" customHeight="1">
      <c r="C78" s="43"/>
      <c r="D78" s="43"/>
      <c r="E78" s="18"/>
      <c r="F78" s="43"/>
      <c r="G78" s="43"/>
      <c r="I78" s="43"/>
      <c r="J78" s="18"/>
    </row>
    <row r="79" spans="3:10" ht="12" customHeight="1">
      <c r="C79" s="43"/>
      <c r="D79" s="43"/>
      <c r="E79" s="18"/>
      <c r="F79" s="43"/>
      <c r="G79" s="43"/>
      <c r="I79" s="43"/>
      <c r="J79" s="18"/>
    </row>
    <row r="80" spans="3:10" ht="12" customHeight="1">
      <c r="C80" s="43"/>
      <c r="D80" s="43"/>
      <c r="E80" s="18"/>
      <c r="F80" s="43"/>
      <c r="G80" s="43"/>
      <c r="I80" s="43"/>
      <c r="J80" s="18"/>
    </row>
    <row r="81" spans="3:10" ht="12" customHeight="1">
      <c r="C81" s="43"/>
      <c r="D81" s="43"/>
      <c r="E81" s="18"/>
      <c r="F81" s="43"/>
      <c r="G81" s="43"/>
      <c r="I81" s="43"/>
      <c r="J81" s="18"/>
    </row>
    <row r="82" spans="3:10" ht="12" customHeight="1">
      <c r="C82" s="43"/>
      <c r="D82" s="43"/>
      <c r="E82" s="18"/>
      <c r="F82" s="43"/>
      <c r="G82" s="43"/>
      <c r="I82" s="43"/>
      <c r="J82" s="18"/>
    </row>
    <row r="83" spans="3:10" ht="12" customHeight="1">
      <c r="C83" s="43"/>
      <c r="D83" s="43"/>
      <c r="E83" s="18"/>
      <c r="F83" s="43"/>
      <c r="G83" s="43"/>
      <c r="I83" s="43"/>
      <c r="J83" s="18"/>
    </row>
    <row r="84" spans="3:10" ht="12" customHeight="1">
      <c r="C84" s="43"/>
      <c r="D84" s="43"/>
      <c r="E84" s="18"/>
      <c r="F84" s="43"/>
      <c r="G84" s="43"/>
      <c r="I84" s="43"/>
      <c r="J84" s="18"/>
    </row>
    <row r="85" spans="3:10" ht="12" customHeight="1">
      <c r="C85" s="43"/>
      <c r="D85" s="43"/>
      <c r="E85" s="18"/>
      <c r="F85" s="43"/>
      <c r="G85" s="43"/>
      <c r="I85" s="43"/>
      <c r="J85" s="18"/>
    </row>
    <row r="86" spans="3:10" ht="12" customHeight="1">
      <c r="C86" s="43"/>
      <c r="D86" s="43"/>
      <c r="E86" s="18"/>
      <c r="F86" s="43"/>
      <c r="G86" s="43"/>
      <c r="I86" s="43"/>
      <c r="J86" s="18"/>
    </row>
    <row r="87" spans="3:10" ht="12" customHeight="1">
      <c r="C87" s="43"/>
      <c r="D87" s="43"/>
      <c r="E87" s="18"/>
      <c r="F87" s="43"/>
      <c r="G87" s="43"/>
      <c r="I87" s="43"/>
      <c r="J87" s="18"/>
    </row>
    <row r="88" spans="3:10" ht="12" customHeight="1">
      <c r="C88" s="43"/>
      <c r="D88" s="43"/>
      <c r="E88" s="18"/>
      <c r="F88" s="43"/>
      <c r="G88" s="43"/>
      <c r="I88" s="43"/>
      <c r="J88" s="18"/>
    </row>
    <row r="89" spans="3:10" ht="12" customHeight="1">
      <c r="C89" s="43"/>
      <c r="D89" s="43"/>
      <c r="E89" s="18"/>
      <c r="F89" s="43"/>
      <c r="G89" s="43"/>
      <c r="I89" s="43"/>
      <c r="J89" s="18"/>
    </row>
    <row r="90" spans="3:10" ht="12" customHeight="1">
      <c r="C90" s="43"/>
      <c r="D90" s="43"/>
      <c r="E90" s="18"/>
      <c r="F90" s="43"/>
      <c r="G90" s="43"/>
      <c r="I90" s="43"/>
      <c r="J90" s="18"/>
    </row>
    <row r="91" spans="3:10" ht="12" customHeight="1">
      <c r="C91" s="43"/>
      <c r="D91" s="43"/>
      <c r="E91" s="18"/>
      <c r="F91" s="43"/>
      <c r="G91" s="43"/>
      <c r="I91" s="43"/>
      <c r="J91" s="18"/>
    </row>
    <row r="92" spans="3:10" ht="12" customHeight="1">
      <c r="C92" s="43"/>
      <c r="D92" s="43"/>
      <c r="E92" s="18"/>
      <c r="F92" s="43"/>
      <c r="G92" s="43"/>
      <c r="I92" s="43"/>
      <c r="J92" s="18"/>
    </row>
    <row r="93" spans="3:10" ht="12" customHeight="1">
      <c r="C93" s="43"/>
      <c r="D93" s="43"/>
      <c r="E93" s="18"/>
      <c r="F93" s="43"/>
      <c r="G93" s="43"/>
      <c r="I93" s="43"/>
      <c r="J93" s="18"/>
    </row>
    <row r="94" spans="3:10" ht="12" customHeight="1">
      <c r="C94" s="43"/>
      <c r="D94" s="43"/>
      <c r="E94" s="18"/>
      <c r="F94" s="43"/>
      <c r="G94" s="43"/>
      <c r="I94" s="43"/>
      <c r="J94" s="18"/>
    </row>
    <row r="95" spans="3:10" ht="12" customHeight="1">
      <c r="C95" s="43"/>
      <c r="D95" s="43"/>
      <c r="E95" s="18"/>
      <c r="F95" s="43"/>
      <c r="G95" s="43"/>
      <c r="I95" s="43"/>
      <c r="J95" s="18"/>
    </row>
    <row r="96" spans="3:10" ht="12" customHeight="1">
      <c r="C96" s="43"/>
      <c r="D96" s="43"/>
      <c r="E96" s="18"/>
      <c r="F96" s="43"/>
      <c r="G96" s="43"/>
      <c r="I96" s="43"/>
      <c r="J96" s="18"/>
    </row>
    <row r="97" spans="3:10" ht="12" customHeight="1">
      <c r="C97" s="43"/>
      <c r="D97" s="43"/>
      <c r="E97" s="18"/>
      <c r="F97" s="43"/>
      <c r="G97" s="43"/>
      <c r="I97" s="43"/>
      <c r="J97" s="18"/>
    </row>
    <row r="98" spans="3:10" ht="12" customHeight="1">
      <c r="C98" s="43"/>
      <c r="D98" s="43"/>
      <c r="E98" s="18"/>
      <c r="F98" s="43"/>
      <c r="G98" s="43"/>
      <c r="I98" s="43"/>
      <c r="J98" s="18"/>
    </row>
    <row r="99" spans="3:10" ht="12" customHeight="1">
      <c r="C99" s="43"/>
      <c r="D99" s="43"/>
      <c r="E99" s="18"/>
      <c r="F99" s="43"/>
      <c r="G99" s="43"/>
      <c r="I99" s="43"/>
      <c r="J99" s="18"/>
    </row>
    <row r="100" spans="3:10" ht="12" customHeight="1">
      <c r="C100" s="43"/>
      <c r="D100" s="43"/>
      <c r="E100" s="18"/>
      <c r="F100" s="43"/>
      <c r="G100" s="43"/>
      <c r="I100" s="43"/>
      <c r="J100" s="18"/>
    </row>
    <row r="101" spans="3:10" ht="12" customHeight="1">
      <c r="C101" s="43"/>
      <c r="D101" s="43"/>
      <c r="E101" s="18"/>
      <c r="F101" s="43"/>
      <c r="G101" s="43"/>
      <c r="I101" s="43"/>
      <c r="J101" s="18"/>
    </row>
    <row r="102" spans="3:10" ht="12" customHeight="1">
      <c r="C102" s="43"/>
      <c r="D102" s="43"/>
      <c r="E102" s="18"/>
      <c r="F102" s="43"/>
      <c r="G102" s="43"/>
      <c r="I102" s="43"/>
      <c r="J102" s="18"/>
    </row>
    <row r="103" spans="3:10" ht="12" customHeight="1">
      <c r="C103" s="43"/>
      <c r="D103" s="43"/>
      <c r="E103" s="18"/>
      <c r="F103" s="43"/>
      <c r="G103" s="43"/>
      <c r="I103" s="43"/>
      <c r="J103" s="18"/>
    </row>
    <row r="104" spans="3:10" ht="12" customHeight="1">
      <c r="C104" s="43"/>
      <c r="D104" s="43"/>
      <c r="E104" s="18"/>
      <c r="F104" s="43"/>
      <c r="G104" s="43"/>
      <c r="I104" s="43"/>
      <c r="J104" s="18"/>
    </row>
    <row r="105" spans="3:10" ht="12" customHeight="1">
      <c r="C105" s="43"/>
      <c r="D105" s="43"/>
      <c r="E105" s="18"/>
      <c r="F105" s="43"/>
      <c r="G105" s="43"/>
      <c r="I105" s="43"/>
      <c r="J105" s="18"/>
    </row>
    <row r="106" spans="3:10" ht="12" customHeight="1">
      <c r="C106" s="43"/>
      <c r="D106" s="43"/>
      <c r="E106" s="18"/>
      <c r="F106" s="43"/>
      <c r="G106" s="43"/>
      <c r="I106" s="43"/>
      <c r="J106" s="18"/>
    </row>
    <row r="107" spans="3:10" ht="12" customHeight="1">
      <c r="C107" s="43"/>
      <c r="D107" s="43"/>
      <c r="E107" s="18"/>
      <c r="F107" s="43"/>
      <c r="G107" s="43"/>
      <c r="I107" s="43"/>
      <c r="J107" s="18"/>
    </row>
    <row r="110" spans="3:10" ht="12" customHeight="1">
      <c r="C110" s="43"/>
      <c r="D110" s="43"/>
      <c r="E110" s="18"/>
      <c r="F110" s="43"/>
      <c r="G110" s="43"/>
      <c r="I110" s="43"/>
      <c r="J110" s="18"/>
    </row>
    <row r="111" spans="3:10" ht="12" customHeight="1">
      <c r="C111" s="43"/>
      <c r="D111" s="43"/>
      <c r="E111" s="18"/>
      <c r="F111" s="43"/>
      <c r="G111" s="43"/>
      <c r="I111" s="43"/>
      <c r="J111" s="18"/>
    </row>
    <row r="112" spans="3:10" ht="12" customHeight="1">
      <c r="C112" s="43"/>
      <c r="D112" s="43"/>
      <c r="E112" s="18"/>
      <c r="F112" s="43"/>
      <c r="G112" s="43"/>
      <c r="I112" s="43"/>
      <c r="J112" s="18"/>
    </row>
    <row r="113" spans="3:10" ht="12" customHeight="1">
      <c r="C113" s="43"/>
      <c r="D113" s="43"/>
      <c r="E113" s="18"/>
      <c r="F113" s="43"/>
      <c r="G113" s="43"/>
      <c r="I113" s="43"/>
      <c r="J113" s="18"/>
    </row>
    <row r="114" spans="3:10" ht="12" customHeight="1">
      <c r="C114" s="43"/>
      <c r="D114" s="43"/>
      <c r="E114" s="18"/>
      <c r="F114" s="43"/>
      <c r="G114" s="43"/>
      <c r="I114" s="43"/>
      <c r="J114" s="18"/>
    </row>
    <row r="116" spans="3:10" ht="12" customHeight="1">
      <c r="C116" s="43"/>
      <c r="D116" s="43"/>
      <c r="E116" s="18"/>
      <c r="F116" s="43"/>
      <c r="G116" s="43"/>
      <c r="I116" s="43"/>
      <c r="J116" s="18"/>
    </row>
    <row r="117" spans="3:10" ht="12" customHeight="1">
      <c r="C117" s="43"/>
      <c r="D117" s="43"/>
      <c r="E117" s="18"/>
      <c r="F117" s="43"/>
      <c r="G117" s="43"/>
      <c r="I117" s="43"/>
      <c r="J117" s="18"/>
    </row>
    <row r="118" spans="3:10" ht="12" customHeight="1">
      <c r="C118" s="43"/>
      <c r="D118" s="43"/>
      <c r="E118" s="18"/>
      <c r="F118" s="43"/>
      <c r="G118" s="43"/>
      <c r="I118" s="43"/>
      <c r="J118" s="18"/>
    </row>
    <row r="119" spans="3:10" ht="12" customHeight="1">
      <c r="C119" s="43"/>
      <c r="D119" s="43"/>
      <c r="E119" s="18"/>
      <c r="F119" s="43"/>
      <c r="G119" s="43"/>
      <c r="I119" s="43"/>
      <c r="J119" s="18"/>
    </row>
    <row r="120" spans="3:10" ht="12" customHeight="1">
      <c r="C120" s="43"/>
      <c r="D120" s="43"/>
      <c r="E120" s="18"/>
      <c r="F120" s="43"/>
      <c r="G120" s="43"/>
      <c r="I120" s="43"/>
      <c r="J120" s="18"/>
    </row>
    <row r="123" spans="3:10" ht="12" customHeight="1">
      <c r="C123" s="43"/>
      <c r="D123" s="43"/>
      <c r="E123" s="18"/>
      <c r="F123" s="43"/>
      <c r="G123" s="43"/>
      <c r="I123" s="43"/>
      <c r="J123" s="18"/>
    </row>
    <row r="124" spans="3:10" ht="12" customHeight="1">
      <c r="C124" s="43"/>
      <c r="D124" s="43"/>
      <c r="E124" s="18"/>
      <c r="F124" s="43"/>
      <c r="G124" s="43"/>
      <c r="I124" s="43"/>
      <c r="J124" s="18"/>
    </row>
    <row r="125" spans="3:10" ht="12" customHeight="1">
      <c r="C125" s="43"/>
      <c r="D125" s="43"/>
      <c r="E125" s="18"/>
      <c r="F125" s="43"/>
      <c r="G125" s="43"/>
      <c r="I125" s="43"/>
      <c r="J125" s="18"/>
    </row>
    <row r="126" spans="3:10" ht="12" customHeight="1">
      <c r="C126" s="43"/>
      <c r="D126" s="43"/>
      <c r="E126" s="18"/>
      <c r="F126" s="43"/>
      <c r="G126" s="43"/>
      <c r="I126" s="43"/>
      <c r="J126" s="18"/>
    </row>
    <row r="127" spans="3:10" ht="12" customHeight="1">
      <c r="C127" s="43"/>
      <c r="D127" s="43"/>
      <c r="E127" s="18"/>
      <c r="F127" s="43"/>
      <c r="G127" s="43"/>
      <c r="I127" s="43"/>
      <c r="J127" s="18"/>
    </row>
    <row r="128" spans="3:10" ht="12" customHeight="1">
      <c r="C128" s="43"/>
      <c r="D128" s="43"/>
      <c r="E128" s="18"/>
      <c r="F128" s="43"/>
      <c r="G128" s="43"/>
      <c r="I128" s="43"/>
      <c r="J128" s="18"/>
    </row>
    <row r="129" spans="3:10" ht="12" customHeight="1">
      <c r="C129" s="43"/>
      <c r="D129" s="43"/>
      <c r="E129" s="18"/>
      <c r="F129" s="43"/>
      <c r="G129" s="43"/>
      <c r="I129" s="43"/>
      <c r="J129" s="18"/>
    </row>
    <row r="130" spans="3:10" ht="12" customHeight="1">
      <c r="C130" s="43"/>
      <c r="D130" s="43"/>
      <c r="E130" s="18"/>
      <c r="F130" s="43"/>
      <c r="G130" s="43"/>
      <c r="I130" s="43"/>
      <c r="J130" s="18"/>
    </row>
    <row r="131" spans="3:10" ht="12" customHeight="1">
      <c r="C131" s="43"/>
      <c r="D131" s="43"/>
      <c r="E131" s="18"/>
      <c r="F131" s="43"/>
      <c r="G131" s="43"/>
      <c r="I131" s="43"/>
      <c r="J131" s="18"/>
    </row>
    <row r="132" spans="3:10" ht="12" customHeight="1">
      <c r="C132" s="43"/>
      <c r="D132" s="43"/>
      <c r="E132" s="18"/>
      <c r="F132" s="43"/>
      <c r="G132" s="43"/>
      <c r="I132" s="43"/>
      <c r="J132" s="18"/>
    </row>
    <row r="133" spans="3:10" ht="12" customHeight="1">
      <c r="C133" s="43"/>
      <c r="D133" s="43"/>
      <c r="E133" s="18"/>
      <c r="F133" s="43"/>
      <c r="G133" s="43"/>
      <c r="I133" s="43"/>
      <c r="J133" s="18"/>
    </row>
    <row r="134" spans="3:10" ht="12" customHeight="1">
      <c r="C134" s="43"/>
      <c r="D134" s="43"/>
      <c r="E134" s="18"/>
      <c r="F134" s="43"/>
      <c r="G134" s="43"/>
      <c r="I134" s="43"/>
      <c r="J134" s="18"/>
    </row>
    <row r="135" spans="3:10" ht="12" customHeight="1">
      <c r="C135" s="43"/>
      <c r="D135" s="43"/>
      <c r="E135" s="18"/>
      <c r="F135" s="43"/>
      <c r="G135" s="43"/>
      <c r="I135" s="43"/>
      <c r="J135" s="18"/>
    </row>
    <row r="136" spans="3:10" ht="12" customHeight="1">
      <c r="C136" s="43"/>
      <c r="D136" s="43"/>
      <c r="E136" s="18"/>
      <c r="F136" s="43"/>
      <c r="G136" s="43"/>
      <c r="I136" s="43"/>
      <c r="J136" s="18"/>
    </row>
    <row r="137" spans="3:10" ht="12" customHeight="1">
      <c r="C137" s="43"/>
      <c r="D137" s="43"/>
      <c r="E137" s="18"/>
      <c r="F137" s="43"/>
      <c r="G137" s="43"/>
      <c r="I137" s="43"/>
      <c r="J137" s="18"/>
    </row>
    <row r="138" spans="3:10" ht="12" customHeight="1">
      <c r="C138" s="43"/>
      <c r="D138" s="43"/>
      <c r="E138" s="18"/>
      <c r="F138" s="43"/>
      <c r="G138" s="43"/>
      <c r="I138" s="43"/>
      <c r="J138" s="18"/>
    </row>
    <row r="139" spans="3:10" ht="12" customHeight="1">
      <c r="C139" s="43"/>
      <c r="D139" s="43"/>
      <c r="E139" s="18"/>
      <c r="F139" s="43"/>
      <c r="G139" s="43"/>
      <c r="I139" s="43"/>
      <c r="J139" s="18"/>
    </row>
    <row r="140" spans="3:10" ht="12" customHeight="1">
      <c r="C140" s="43"/>
      <c r="D140" s="43"/>
      <c r="E140" s="18"/>
      <c r="F140" s="43"/>
      <c r="G140" s="43"/>
      <c r="I140" s="43"/>
      <c r="J140" s="18"/>
    </row>
    <row r="141" spans="3:10" ht="12" customHeight="1">
      <c r="C141" s="43"/>
      <c r="D141" s="43"/>
      <c r="E141" s="18"/>
      <c r="F141" s="43"/>
      <c r="G141" s="43"/>
      <c r="I141" s="43"/>
      <c r="J141" s="18"/>
    </row>
    <row r="142" spans="3:10" ht="12" customHeight="1">
      <c r="C142" s="43"/>
      <c r="D142" s="43"/>
      <c r="E142" s="18"/>
      <c r="F142" s="43"/>
      <c r="G142" s="43"/>
      <c r="I142" s="43"/>
      <c r="J142" s="18"/>
    </row>
    <row r="143" spans="3:10" ht="12" customHeight="1">
      <c r="C143" s="43"/>
      <c r="D143" s="43"/>
      <c r="E143" s="18"/>
      <c r="F143" s="43"/>
      <c r="G143" s="43"/>
      <c r="I143" s="43"/>
      <c r="J143" s="18"/>
    </row>
    <row r="144" spans="3:10" ht="12" customHeight="1">
      <c r="C144" s="43"/>
      <c r="D144" s="43"/>
      <c r="E144" s="18"/>
      <c r="F144" s="43"/>
      <c r="G144" s="43"/>
      <c r="I144" s="43"/>
      <c r="J144" s="18"/>
    </row>
    <row r="145" spans="3:10" ht="12" customHeight="1">
      <c r="C145" s="43"/>
      <c r="D145" s="43"/>
      <c r="E145" s="18"/>
      <c r="F145" s="43"/>
      <c r="G145" s="43"/>
      <c r="I145" s="43"/>
      <c r="J145" s="18"/>
    </row>
    <row r="146" spans="3:10" ht="12" customHeight="1">
      <c r="C146" s="43"/>
      <c r="D146" s="43"/>
      <c r="E146" s="18"/>
      <c r="F146" s="43"/>
      <c r="G146" s="43"/>
      <c r="I146" s="43"/>
      <c r="J146" s="18"/>
    </row>
    <row r="147" spans="3:10" ht="12" customHeight="1">
      <c r="C147" s="43"/>
      <c r="D147" s="43"/>
      <c r="E147" s="18"/>
      <c r="F147" s="43"/>
      <c r="G147" s="43"/>
      <c r="I147" s="43"/>
      <c r="J147" s="18"/>
    </row>
    <row r="148" spans="3:10" ht="12" customHeight="1">
      <c r="C148" s="43"/>
      <c r="D148" s="43"/>
      <c r="E148" s="18"/>
      <c r="F148" s="43"/>
      <c r="G148" s="43"/>
      <c r="I148" s="43"/>
      <c r="J148" s="18"/>
    </row>
    <row r="149" spans="3:10" ht="12" customHeight="1">
      <c r="C149" s="43"/>
      <c r="D149" s="43"/>
      <c r="E149" s="18"/>
      <c r="F149" s="43"/>
      <c r="G149" s="43"/>
      <c r="I149" s="43"/>
      <c r="J149" s="18"/>
    </row>
    <row r="150" spans="3:10" ht="12" customHeight="1">
      <c r="C150" s="43"/>
      <c r="D150" s="43"/>
      <c r="E150" s="18"/>
      <c r="F150" s="43"/>
      <c r="G150" s="43"/>
      <c r="I150" s="43"/>
      <c r="J150" s="18"/>
    </row>
    <row r="151" spans="3:10" ht="12" customHeight="1">
      <c r="C151" s="43"/>
      <c r="D151" s="43"/>
      <c r="E151" s="18"/>
      <c r="F151" s="43"/>
      <c r="G151" s="43"/>
      <c r="I151" s="43"/>
      <c r="J151" s="18"/>
    </row>
    <row r="152" spans="3:10" ht="12" customHeight="1">
      <c r="C152" s="43"/>
      <c r="D152" s="43"/>
      <c r="E152" s="18"/>
      <c r="F152" s="43"/>
      <c r="G152" s="43"/>
      <c r="I152" s="43"/>
      <c r="J152" s="18"/>
    </row>
    <row r="154" spans="3:10" ht="12" customHeight="1">
      <c r="C154" s="43"/>
      <c r="D154" s="43"/>
      <c r="E154" s="18"/>
      <c r="F154" s="43"/>
      <c r="G154" s="43"/>
      <c r="I154" s="43"/>
      <c r="J154" s="18"/>
    </row>
    <row r="155" spans="3:10" ht="12" customHeight="1">
      <c r="C155" s="43"/>
      <c r="D155" s="43"/>
      <c r="E155" s="18"/>
      <c r="F155" s="43"/>
      <c r="G155" s="43"/>
      <c r="I155" s="43"/>
      <c r="J155" s="18"/>
    </row>
    <row r="156" spans="3:10" ht="12" customHeight="1">
      <c r="C156" s="43"/>
      <c r="D156" s="43"/>
      <c r="E156" s="18"/>
      <c r="F156" s="43"/>
      <c r="G156" s="43"/>
      <c r="I156" s="43"/>
      <c r="J156" s="18"/>
    </row>
    <row r="157" spans="3:10" ht="12" customHeight="1">
      <c r="C157" s="43"/>
      <c r="D157" s="43"/>
      <c r="E157" s="18"/>
      <c r="F157" s="43"/>
      <c r="G157" s="43"/>
      <c r="I157" s="43"/>
      <c r="J157" s="18"/>
    </row>
    <row r="158" spans="3:10" ht="12" customHeight="1">
      <c r="C158" s="43"/>
      <c r="D158" s="43"/>
      <c r="E158" s="18"/>
      <c r="F158" s="43"/>
      <c r="G158" s="43"/>
      <c r="I158" s="43"/>
      <c r="J158" s="18"/>
    </row>
    <row r="159" spans="3:10" ht="12" customHeight="1">
      <c r="C159" s="43"/>
      <c r="D159" s="43"/>
      <c r="E159" s="18"/>
      <c r="F159" s="43"/>
      <c r="G159" s="43"/>
      <c r="I159" s="43"/>
      <c r="J159" s="18"/>
    </row>
    <row r="160" spans="3:10" ht="12" customHeight="1">
      <c r="C160" s="43"/>
      <c r="D160" s="43"/>
      <c r="E160" s="18"/>
      <c r="F160" s="43"/>
      <c r="G160" s="43"/>
      <c r="I160" s="43"/>
      <c r="J160" s="18"/>
    </row>
    <row r="161" spans="3:10" ht="12" customHeight="1">
      <c r="C161" s="43"/>
      <c r="D161" s="43"/>
      <c r="E161" s="18"/>
      <c r="F161" s="43"/>
      <c r="G161" s="43"/>
      <c r="I161" s="43"/>
      <c r="J161" s="18"/>
    </row>
    <row r="162" spans="3:10" ht="12" customHeight="1">
      <c r="C162" s="43"/>
      <c r="D162" s="43"/>
      <c r="E162" s="18"/>
      <c r="F162" s="43"/>
      <c r="G162" s="43"/>
      <c r="I162" s="43"/>
      <c r="J162" s="18"/>
    </row>
    <row r="165" spans="3:10" ht="12" customHeight="1">
      <c r="C165" s="43"/>
      <c r="D165" s="43"/>
      <c r="E165" s="18"/>
      <c r="F165" s="43"/>
      <c r="G165" s="43"/>
      <c r="I165" s="43"/>
      <c r="J165" s="18"/>
    </row>
    <row r="166" spans="3:10" ht="12" customHeight="1">
      <c r="C166" s="43"/>
      <c r="D166" s="43"/>
      <c r="E166" s="18"/>
      <c r="F166" s="43"/>
      <c r="G166" s="43"/>
      <c r="I166" s="43"/>
      <c r="J166" s="18"/>
    </row>
    <row r="167" spans="3:10" ht="12" customHeight="1">
      <c r="C167" s="43"/>
      <c r="D167" s="43"/>
      <c r="E167" s="18"/>
      <c r="F167" s="43"/>
      <c r="G167" s="43"/>
      <c r="I167" s="43"/>
      <c r="J167" s="18"/>
    </row>
    <row r="169" spans="3:10" ht="12" customHeight="1">
      <c r="C169" s="43"/>
      <c r="D169" s="43"/>
      <c r="E169" s="18"/>
      <c r="F169" s="43"/>
      <c r="G169" s="43"/>
      <c r="I169" s="43"/>
      <c r="J169" s="18"/>
    </row>
    <row r="179" spans="3:10" ht="12" customHeight="1">
      <c r="C179" s="43"/>
      <c r="D179" s="43"/>
      <c r="E179" s="18"/>
      <c r="F179" s="43"/>
      <c r="G179" s="43"/>
      <c r="I179" s="43"/>
      <c r="J179" s="18"/>
    </row>
    <row r="180" spans="3:10" ht="12" customHeight="1">
      <c r="C180" s="43"/>
      <c r="D180" s="43"/>
      <c r="E180" s="18"/>
      <c r="F180" s="43"/>
      <c r="G180" s="43"/>
      <c r="I180" s="43"/>
      <c r="J180" s="18"/>
    </row>
    <row r="181" spans="3:10" ht="12" customHeight="1">
      <c r="C181" s="43"/>
      <c r="D181" s="43"/>
      <c r="E181" s="18"/>
      <c r="F181" s="43"/>
      <c r="G181" s="43"/>
      <c r="I181" s="43"/>
      <c r="J181" s="18"/>
    </row>
    <row r="182" spans="3:10" ht="12" customHeight="1">
      <c r="C182" s="43"/>
      <c r="D182" s="43"/>
      <c r="E182" s="18"/>
      <c r="F182" s="43"/>
      <c r="G182" s="43"/>
      <c r="I182" s="43"/>
      <c r="J182" s="18"/>
    </row>
    <row r="183" spans="3:10" ht="12" customHeight="1">
      <c r="C183" s="43"/>
      <c r="D183" s="43"/>
      <c r="E183" s="18"/>
      <c r="F183" s="43"/>
      <c r="G183" s="43"/>
      <c r="I183" s="43"/>
      <c r="J183" s="18"/>
    </row>
    <row r="184" spans="3:10" ht="12" customHeight="1">
      <c r="C184" s="43"/>
      <c r="D184" s="43"/>
      <c r="E184" s="18"/>
      <c r="F184" s="43"/>
      <c r="G184" s="43"/>
      <c r="I184" s="43"/>
      <c r="J184" s="18"/>
    </row>
    <row r="185" spans="3:10" ht="12" customHeight="1">
      <c r="C185" s="43"/>
      <c r="D185" s="43"/>
      <c r="E185" s="18"/>
      <c r="F185" s="43"/>
      <c r="G185" s="43"/>
      <c r="I185" s="43"/>
      <c r="J185" s="18"/>
    </row>
    <row r="186" spans="3:10" ht="12" customHeight="1">
      <c r="C186" s="43"/>
      <c r="D186" s="43"/>
      <c r="E186" s="18"/>
      <c r="F186" s="43"/>
      <c r="G186" s="43"/>
      <c r="I186" s="43"/>
      <c r="J186" s="18"/>
    </row>
    <row r="187" spans="3:10" ht="12" customHeight="1">
      <c r="C187" s="43"/>
      <c r="D187" s="43"/>
      <c r="E187" s="18"/>
      <c r="F187" s="43"/>
      <c r="G187" s="43"/>
      <c r="I187" s="43"/>
      <c r="J187" s="18"/>
    </row>
  </sheetData>
  <pageMargins left="0.75" right="0.75" top="1" bottom="1" header="0.5" footer="0.5"/>
  <pageSetup paperSize="9" scale="91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2:R30"/>
  <sheetViews>
    <sheetView workbookViewId="0"/>
  </sheetViews>
  <sheetFormatPr defaultRowHeight="13.2"/>
  <cols>
    <col min="1" max="1" width="34" customWidth="1"/>
    <col min="2" max="2" width="10.21875" customWidth="1"/>
    <col min="3" max="3" width="10" customWidth="1"/>
    <col min="4" max="4" width="8" customWidth="1"/>
    <col min="5" max="5" width="9.21875" customWidth="1"/>
    <col min="12" max="12" width="9.6640625" bestFit="1" customWidth="1"/>
  </cols>
  <sheetData>
    <row r="2" spans="1:18" ht="14.4">
      <c r="A2" s="260" t="s">
        <v>131</v>
      </c>
      <c r="B2" s="261"/>
      <c r="C2" s="261"/>
      <c r="D2" s="261"/>
      <c r="E2" s="261"/>
    </row>
    <row r="3" spans="1:18" ht="24.75" customHeight="1">
      <c r="A3" s="273"/>
      <c r="B3" s="274" t="s">
        <v>132</v>
      </c>
      <c r="C3" s="274" t="s">
        <v>133</v>
      </c>
      <c r="D3" s="274" t="s">
        <v>134</v>
      </c>
      <c r="E3" s="275" t="s">
        <v>135</v>
      </c>
      <c r="G3" s="47" t="s">
        <v>139</v>
      </c>
      <c r="H3" s="47"/>
      <c r="I3" s="47"/>
      <c r="J3" s="47"/>
      <c r="K3" s="47"/>
      <c r="L3" s="47"/>
      <c r="M3" s="47"/>
      <c r="N3" s="47" t="s">
        <v>33</v>
      </c>
    </row>
    <row r="4" spans="1:18" ht="11.7" customHeight="1">
      <c r="A4" s="568" t="s">
        <v>79</v>
      </c>
      <c r="B4" s="569" t="s">
        <v>25</v>
      </c>
      <c r="C4" s="569" t="s">
        <v>25</v>
      </c>
      <c r="D4" s="569" t="s">
        <v>25</v>
      </c>
      <c r="E4" s="570" t="s">
        <v>25</v>
      </c>
      <c r="G4" s="247" t="s">
        <v>140</v>
      </c>
      <c r="H4" s="247" t="s">
        <v>30</v>
      </c>
      <c r="I4" s="247" t="s">
        <v>19</v>
      </c>
      <c r="J4" s="247" t="s">
        <v>18</v>
      </c>
      <c r="K4" s="47"/>
      <c r="L4" s="47" t="s">
        <v>20</v>
      </c>
      <c r="M4" s="47"/>
      <c r="N4" s="247" t="s">
        <v>140</v>
      </c>
      <c r="O4" s="247" t="s">
        <v>30</v>
      </c>
      <c r="P4" s="247" t="s">
        <v>19</v>
      </c>
      <c r="Q4" s="247" t="s">
        <v>18</v>
      </c>
      <c r="R4" s="247" t="s">
        <v>149</v>
      </c>
    </row>
    <row r="5" spans="1:18">
      <c r="A5" s="571" t="s">
        <v>50</v>
      </c>
      <c r="B5" s="580">
        <v>3547.9999999999991</v>
      </c>
      <c r="C5" s="580">
        <v>7472.9999999999991</v>
      </c>
      <c r="D5" s="580">
        <v>-230.99999999999702</v>
      </c>
      <c r="E5" s="580">
        <v>10790</v>
      </c>
      <c r="G5" s="33">
        <f>(B5-'Barclays UK YTD'!C7)</f>
        <v>-3804.9999999999991</v>
      </c>
      <c r="H5" s="33">
        <f>(C5-'Barclays International YTD'!C8)</f>
        <v>-7201.9999999999882</v>
      </c>
      <c r="I5" s="33">
        <f>(D5-'Head Office YTD'!C7)</f>
        <v>165.000000000011</v>
      </c>
      <c r="J5" s="33">
        <f>E5-'Group PH'!C4</f>
        <v>4507</v>
      </c>
      <c r="K5" s="47"/>
      <c r="L5" s="33">
        <f>(ROUND(E5,0)-ROUND(D5,0)-ROUND(C5,0)-ROUND(B5,0))</f>
        <v>0</v>
      </c>
      <c r="M5" s="47"/>
      <c r="N5" s="47"/>
    </row>
    <row r="6" spans="1:18" ht="11.25" customHeight="1">
      <c r="A6" s="572" t="s">
        <v>51</v>
      </c>
      <c r="B6" s="581">
        <v>-421.00000000000006</v>
      </c>
      <c r="C6" s="581">
        <v>-492</v>
      </c>
      <c r="D6" s="581">
        <v>-15.000000000000053</v>
      </c>
      <c r="E6" s="581">
        <v>-928.00000000000011</v>
      </c>
      <c r="G6" s="33">
        <f>(B6-'Barclays UK YTD'!C8)</f>
        <v>290.99999999999994</v>
      </c>
      <c r="H6" s="33">
        <f>(C6-'Barclays International YTD'!C9)</f>
        <v>681</v>
      </c>
      <c r="I6" s="33">
        <f>(D6-'Head Office YTD'!C8)</f>
        <v>11.999999999999776</v>
      </c>
      <c r="J6" s="33">
        <f>E6-'Group PH'!C5</f>
        <v>1186.9999999999995</v>
      </c>
      <c r="K6" s="47"/>
      <c r="L6" s="33">
        <f t="shared" ref="L6:L10" si="0">(ROUND(E6,0)-ROUND(D6,0)-ROUND(C6,0)-ROUND(B6,0))</f>
        <v>0</v>
      </c>
      <c r="M6" s="47"/>
      <c r="N6" s="47"/>
    </row>
    <row r="7" spans="1:18">
      <c r="A7" s="573" t="s">
        <v>136</v>
      </c>
      <c r="B7" s="582">
        <v>3127.0000000000005</v>
      </c>
      <c r="C7" s="582">
        <v>6980.9999999999973</v>
      </c>
      <c r="D7" s="582">
        <v>-245.9999999999977</v>
      </c>
      <c r="E7" s="582">
        <v>9861.9999999999982</v>
      </c>
      <c r="G7" s="33">
        <f>(B7-'Barclays UK YTD'!C9)</f>
        <v>-3513.9999999999986</v>
      </c>
      <c r="H7" s="33">
        <f>(C7-'Barclays International YTD'!C10)</f>
        <v>-6520.9999999999973</v>
      </c>
      <c r="I7" s="33">
        <f>(ROUND(D7,0)-ROUND('Head Office YTD'!C9,0))</f>
        <v>177</v>
      </c>
      <c r="J7" s="33">
        <f>E7-'Group PH'!C6</f>
        <v>5693.9999999999982</v>
      </c>
      <c r="K7" s="47"/>
      <c r="L7" s="33">
        <f t="shared" si="0"/>
        <v>0</v>
      </c>
      <c r="M7" s="47"/>
      <c r="N7" s="47"/>
    </row>
    <row r="8" spans="1:18" ht="12" customHeight="1">
      <c r="A8" s="574" t="s">
        <v>87</v>
      </c>
      <c r="B8" s="583">
        <v>-2064.9999999999995</v>
      </c>
      <c r="C8" s="583">
        <v>-4670.9999999999982</v>
      </c>
      <c r="D8" s="583">
        <v>-135.99999999999343</v>
      </c>
      <c r="E8" s="583">
        <v>-6871.99999999999</v>
      </c>
      <c r="G8" s="33">
        <f>(B8-'Barclays UK YTD'!C14)</f>
        <v>3554.0000000000014</v>
      </c>
      <c r="H8" s="33">
        <f>(C8-'Barclays International YTD'!C15)</f>
        <v>4782.0000000000018</v>
      </c>
      <c r="I8" s="33">
        <f>(D8-'Head Office YTD'!C15)</f>
        <v>226.00000000000645</v>
      </c>
      <c r="J8" s="33">
        <f>(E8-'Group PH'!C9)</f>
        <v>-3608.9999999999909</v>
      </c>
      <c r="K8" s="47"/>
      <c r="L8" s="33">
        <f t="shared" si="0"/>
        <v>0</v>
      </c>
      <c r="M8" s="47"/>
      <c r="N8" s="47"/>
    </row>
    <row r="9" spans="1:18" ht="11.25" customHeight="1">
      <c r="A9" s="572" t="s">
        <v>137</v>
      </c>
      <c r="B9" s="581" t="s">
        <v>151</v>
      </c>
      <c r="C9" s="581">
        <v>30.999999999999144</v>
      </c>
      <c r="D9" s="581">
        <v>-6.9999999999993969</v>
      </c>
      <c r="E9" s="581">
        <v>23.999999999999236</v>
      </c>
      <c r="G9" s="33" t="e">
        <f>(B9-'Barclays UK YTD'!C15)</f>
        <v>#VALUE!</v>
      </c>
      <c r="H9" s="33">
        <f>(C9-'Barclays International YTD'!C16)</f>
        <v>-37.999999999998266</v>
      </c>
      <c r="I9" s="33">
        <f>(D9-'Head Office YTD'!C16)</f>
        <v>-9.0000000000050768</v>
      </c>
      <c r="J9" s="33">
        <f>(E9-'Group PH'!C10)</f>
        <v>15.999999999999869</v>
      </c>
      <c r="K9" s="47"/>
      <c r="L9" s="33" t="e">
        <f t="shared" si="0"/>
        <v>#VALUE!</v>
      </c>
      <c r="M9" s="47"/>
      <c r="N9" s="47"/>
    </row>
    <row r="10" spans="1:18" ht="13.2" customHeight="1">
      <c r="A10" s="575" t="s">
        <v>138</v>
      </c>
      <c r="B10" s="584">
        <v>1061.9999999999998</v>
      </c>
      <c r="C10" s="584">
        <v>2341.0000000000005</v>
      </c>
      <c r="D10" s="584">
        <v>-388.99999999999227</v>
      </c>
      <c r="E10" s="584">
        <v>3014.0000000000059</v>
      </c>
      <c r="G10" s="33">
        <f>(B10-'Barclays UK YTD'!C16)</f>
        <v>40.000000000001364</v>
      </c>
      <c r="H10" s="33">
        <f>(C10-'Barclays International YTD'!C17)</f>
        <v>-1776.9999999999905</v>
      </c>
      <c r="I10" s="33">
        <f>(ROUND(D10,0)-ROUND('Head Office YTD'!C17,0))</f>
        <v>394</v>
      </c>
      <c r="J10" s="33">
        <f>(ROUND(E10,0)-ROUND('Group PH'!C11,0))</f>
        <v>2101</v>
      </c>
      <c r="K10" s="47"/>
      <c r="L10" s="33">
        <f t="shared" si="0"/>
        <v>0</v>
      </c>
      <c r="M10" s="47"/>
      <c r="N10" s="47"/>
    </row>
    <row r="11" spans="1:18" ht="13.8" thickBot="1">
      <c r="A11" s="576"/>
      <c r="B11" s="585"/>
      <c r="C11" s="585"/>
      <c r="D11" s="585"/>
      <c r="E11" s="585"/>
      <c r="G11" s="46" t="s">
        <v>142</v>
      </c>
      <c r="H11" s="47"/>
      <c r="I11" s="47"/>
      <c r="J11" s="47"/>
      <c r="K11" s="47"/>
      <c r="L11" s="47"/>
      <c r="M11" s="47"/>
      <c r="N11" s="47"/>
    </row>
    <row r="12" spans="1:18" ht="11.25" customHeight="1" thickBot="1">
      <c r="A12" s="572"/>
      <c r="B12" s="586" t="s">
        <v>150</v>
      </c>
      <c r="C12" s="586" t="s">
        <v>150</v>
      </c>
      <c r="D12" s="586" t="s">
        <v>150</v>
      </c>
      <c r="E12" s="586" t="s">
        <v>150</v>
      </c>
      <c r="G12" s="262" t="s">
        <v>13</v>
      </c>
      <c r="H12" s="263"/>
      <c r="I12" s="264"/>
      <c r="J12" s="47"/>
      <c r="K12" s="47"/>
      <c r="L12" s="47"/>
      <c r="M12" s="47"/>
      <c r="N12" s="47"/>
    </row>
    <row r="13" spans="1:18" ht="13.8" thickBot="1">
      <c r="A13" s="573" t="s">
        <v>74</v>
      </c>
      <c r="B13" s="692">
        <v>258953.00000000003</v>
      </c>
      <c r="C13" s="692">
        <v>951413.0000000007</v>
      </c>
      <c r="D13" s="692">
        <v>22356.999999999734</v>
      </c>
      <c r="E13" s="692">
        <v>1232823.0000000009</v>
      </c>
      <c r="G13" s="579">
        <f>ROUND(B13,-2)-ROUND('Barclays UK YTD'!C21,-2)</f>
        <v>1200</v>
      </c>
      <c r="H13" s="579">
        <f>ROUND('Barclays International YTD'!C27,-2)-ROUND(C13,-2)</f>
        <v>-90000</v>
      </c>
      <c r="I13" s="579">
        <f>ROUND('Head Office YTD'!C21,-2)-ROUND(D13,-2)</f>
        <v>-1400</v>
      </c>
      <c r="J13" s="579">
        <f>ROUND('Group Qrtly'!C38,-2)-ROUND(E13,-2)</f>
        <v>211500</v>
      </c>
      <c r="K13" s="47"/>
      <c r="L13" s="33">
        <f>ROUND(B13,-2)+ROUND(C13,-2)+ROUND(D13,-2)-ROUND(E13,-2)</f>
        <v>0</v>
      </c>
      <c r="M13" s="47"/>
      <c r="N13" s="47"/>
    </row>
    <row r="14" spans="1:18" ht="13.8" thickBot="1">
      <c r="G14" s="262" t="s">
        <v>141</v>
      </c>
      <c r="H14" s="263"/>
      <c r="I14" s="263"/>
      <c r="J14" s="264"/>
      <c r="K14" s="47"/>
      <c r="L14" s="47"/>
      <c r="M14" s="47"/>
      <c r="N14" s="47"/>
    </row>
    <row r="15" spans="1:18">
      <c r="G15" s="579">
        <f>ROUND('Barclays UK Qrtly'!C21,-2)-ROUND(B13,-2)</f>
        <v>8500</v>
      </c>
      <c r="H15" s="579">
        <f>ROUND('Barclays International Qrtly'!C27,-2)-ROUND(C13,-2)</f>
        <v>201800</v>
      </c>
      <c r="I15" s="579">
        <f>ROUND('Head Office Qrtly'!C21,-2)-ROUND(D13,-2)</f>
        <v>1200</v>
      </c>
      <c r="J15" s="579">
        <f>ROUND('Group Qrtly'!C38,-2)-ROUND(E13,-2)</f>
        <v>211500</v>
      </c>
      <c r="K15" s="47"/>
      <c r="L15" s="47"/>
      <c r="M15" s="47"/>
      <c r="N15" s="47"/>
    </row>
    <row r="16" spans="1:18">
      <c r="G16" s="47"/>
      <c r="H16" s="47"/>
      <c r="I16" s="47"/>
      <c r="J16" s="47"/>
      <c r="K16" s="47" t="s">
        <v>143</v>
      </c>
      <c r="L16" s="47"/>
      <c r="M16" s="47"/>
      <c r="N16" s="47"/>
    </row>
    <row r="17" spans="1:14" ht="22.8">
      <c r="A17" s="273"/>
      <c r="B17" s="274" t="s">
        <v>132</v>
      </c>
      <c r="C17" s="274" t="s">
        <v>133</v>
      </c>
      <c r="D17" s="274" t="s">
        <v>134</v>
      </c>
      <c r="E17" s="276" t="s">
        <v>135</v>
      </c>
      <c r="G17" s="47"/>
      <c r="H17" s="47"/>
      <c r="I17" s="47"/>
      <c r="J17" s="47"/>
      <c r="K17" s="47"/>
      <c r="L17" s="47"/>
      <c r="M17" s="47"/>
      <c r="N17" s="47"/>
    </row>
    <row r="18" spans="1:14">
      <c r="A18" s="506" t="s">
        <v>80</v>
      </c>
      <c r="B18" s="441" t="s">
        <v>25</v>
      </c>
      <c r="C18" s="441" t="s">
        <v>25</v>
      </c>
      <c r="D18" s="441" t="s">
        <v>25</v>
      </c>
      <c r="E18" s="441" t="s">
        <v>25</v>
      </c>
      <c r="G18" s="247" t="s">
        <v>140</v>
      </c>
      <c r="H18" s="247" t="s">
        <v>30</v>
      </c>
      <c r="I18" s="247" t="s">
        <v>19</v>
      </c>
      <c r="J18" s="247" t="s">
        <v>18</v>
      </c>
      <c r="K18" s="47"/>
      <c r="L18" s="47" t="s">
        <v>20</v>
      </c>
      <c r="M18" s="47"/>
      <c r="N18" s="47"/>
    </row>
    <row r="19" spans="1:14">
      <c r="A19" s="428" t="s">
        <v>50</v>
      </c>
      <c r="B19" s="425">
        <v>3624</v>
      </c>
      <c r="C19" s="425">
        <v>7515</v>
      </c>
      <c r="D19" s="425">
        <v>-205</v>
      </c>
      <c r="E19" s="587">
        <v>10934</v>
      </c>
      <c r="G19" s="33">
        <f>(ROUND(B19,0)-ROUND('Barclays UK YTD'!D7,0))</f>
        <v>-3759</v>
      </c>
      <c r="H19" s="33">
        <f>(ROUND(C19,0)-ROUND('Barclays International YTD'!D8,0))</f>
        <v>-6511</v>
      </c>
      <c r="I19" s="33">
        <f>(ROUND(D19,0)-ROUND('Head Office YTD'!D7,0))</f>
        <v>68</v>
      </c>
      <c r="J19" s="33">
        <f>(ROUND(E19,0)-ROUND('Group PH'!D4,0))</f>
        <v>5682</v>
      </c>
      <c r="K19" s="47"/>
      <c r="L19" s="33">
        <f>(ROUND(E19,0)-ROUND(D19,0)-ROUND(C19,0)-ROUND(B19,0))</f>
        <v>0</v>
      </c>
      <c r="M19" s="47"/>
      <c r="N19" s="47"/>
    </row>
    <row r="20" spans="1:14" ht="21">
      <c r="A20" s="316" t="s">
        <v>75</v>
      </c>
      <c r="B20" s="420">
        <v>-415</v>
      </c>
      <c r="C20" s="420">
        <v>-161</v>
      </c>
      <c r="D20" s="420">
        <v>5</v>
      </c>
      <c r="E20" s="588">
        <v>-571</v>
      </c>
      <c r="G20" s="33">
        <f>(ROUND(B20,0)-ROUND('Barclays UK YTD'!D8,0))</f>
        <v>411</v>
      </c>
      <c r="H20" s="33">
        <f>(C20-'Barclays International YTD'!D9)</f>
        <v>497</v>
      </c>
      <c r="I20" s="33">
        <f>(ROUND(D20,0)-ROUND('Head Office YTD'!D8,0))</f>
        <v>-11</v>
      </c>
      <c r="J20" s="33">
        <f>(ROUND(E20,0)-ROUND('Group PH'!D5,0))</f>
        <v>-123</v>
      </c>
      <c r="K20" s="47"/>
      <c r="L20" s="33">
        <f t="shared" ref="L20:L24" si="1">(ROUND(E20,0)-ROUND(D20,0)-ROUND(C20,0)-ROUND(B20,0))</f>
        <v>0</v>
      </c>
      <c r="M20" s="47"/>
      <c r="N20" s="47"/>
    </row>
    <row r="21" spans="1:14">
      <c r="A21" s="377" t="s">
        <v>136</v>
      </c>
      <c r="B21" s="589">
        <v>3209</v>
      </c>
      <c r="C21" s="589">
        <v>7354</v>
      </c>
      <c r="D21" s="589">
        <v>-200</v>
      </c>
      <c r="E21" s="589">
        <v>10363</v>
      </c>
      <c r="G21" s="33">
        <f>(ROUND(B21,0)-ROUND('Barclays UK YTD'!D9,0))</f>
        <v>-3348</v>
      </c>
      <c r="H21" s="33">
        <f>(C21-'Barclays International YTD'!D10)</f>
        <v>-6014</v>
      </c>
      <c r="I21" s="33">
        <f>(ROUND(D21,0)-ROUND('Head Office YTD'!D9,0))</f>
        <v>57</v>
      </c>
      <c r="J21" s="33">
        <f>(ROUND(E21,0)-ROUND('Group PH'!D6,0))</f>
        <v>5559</v>
      </c>
      <c r="K21" s="47"/>
      <c r="L21" s="33">
        <f t="shared" si="1"/>
        <v>0</v>
      </c>
      <c r="M21" s="47"/>
      <c r="N21" s="47"/>
    </row>
    <row r="22" spans="1:14">
      <c r="A22" s="278" t="s">
        <v>87</v>
      </c>
      <c r="B22" s="386">
        <v>-2387</v>
      </c>
      <c r="C22" s="386">
        <v>-4668</v>
      </c>
      <c r="D22" s="386">
        <v>-1661</v>
      </c>
      <c r="E22" s="590">
        <v>-8716</v>
      </c>
      <c r="G22" s="33">
        <f>(ROUND(B22,0)-ROUND('Barclays UK YTD'!D14,0))</f>
        <v>2217</v>
      </c>
      <c r="H22" s="33">
        <f>(C22-'Barclays International YTD'!D15)</f>
        <v>4993</v>
      </c>
      <c r="I22" s="33">
        <f>(ROUND(D22,0)-ROUND('Head Office YTD'!D15,0))</f>
        <v>317</v>
      </c>
      <c r="J22" s="33">
        <f>(E22-'Group PH'!D9)</f>
        <v>-5398</v>
      </c>
      <c r="K22" s="47"/>
      <c r="L22" s="33">
        <f t="shared" si="1"/>
        <v>0</v>
      </c>
      <c r="M22" s="47"/>
      <c r="N22" s="47"/>
    </row>
    <row r="23" spans="1:14">
      <c r="A23" s="316" t="s">
        <v>137</v>
      </c>
      <c r="B23" s="277">
        <v>4</v>
      </c>
      <c r="C23" s="277">
        <v>24</v>
      </c>
      <c r="D23" s="277">
        <v>-16</v>
      </c>
      <c r="E23" s="588">
        <v>12</v>
      </c>
      <c r="G23" s="33">
        <f>(B23-'Barclays UK YTD'!D15)</f>
        <v>1</v>
      </c>
      <c r="H23" s="33">
        <f>(C23-'Barclays International YTD'!D16)</f>
        <v>-44</v>
      </c>
      <c r="I23" s="33">
        <f>(ROUND(D23,0)-ROUND('Head Office YTD'!D16,0))</f>
        <v>-14</v>
      </c>
      <c r="J23" s="33">
        <f>(E23-'Group PH'!D10)</f>
        <v>15</v>
      </c>
      <c r="K23" s="47"/>
      <c r="L23" s="33">
        <f t="shared" si="1"/>
        <v>0</v>
      </c>
      <c r="M23" s="47"/>
      <c r="N23" s="47"/>
    </row>
    <row r="24" spans="1:14">
      <c r="A24" s="377" t="s">
        <v>138</v>
      </c>
      <c r="B24" s="589">
        <v>826</v>
      </c>
      <c r="C24" s="589">
        <v>2710</v>
      </c>
      <c r="D24" s="589">
        <v>-1877</v>
      </c>
      <c r="E24" s="589">
        <v>1659</v>
      </c>
      <c r="G24" s="33">
        <f>(ROUND(B24,0)-ROUND('Barclays UK YTD'!D16,0))</f>
        <v>-1130</v>
      </c>
      <c r="H24" s="33">
        <f>(ROUND(C24,0)-ROUND('Barclays International YTD'!D17,0))</f>
        <v>-1065</v>
      </c>
      <c r="I24" s="33">
        <f>(ROUND(D24,0)-ROUND('Head Office YTD'!D17,0))</f>
        <v>360</v>
      </c>
      <c r="J24" s="33">
        <f>(ROUND(E24,0)-ROUND('Group PH'!D11,0))</f>
        <v>176</v>
      </c>
      <c r="K24" s="47"/>
      <c r="L24" s="33">
        <f t="shared" si="1"/>
        <v>0</v>
      </c>
      <c r="M24" s="47"/>
      <c r="N24" s="47"/>
    </row>
    <row r="25" spans="1:14" ht="13.8" thickBot="1">
      <c r="A25" s="470"/>
      <c r="B25" s="585"/>
      <c r="C25" s="585"/>
      <c r="D25" s="585"/>
      <c r="E25" s="585"/>
      <c r="G25" s="46" t="s">
        <v>142</v>
      </c>
      <c r="H25" s="47"/>
      <c r="I25" s="47"/>
      <c r="J25" s="47"/>
      <c r="K25" s="47"/>
      <c r="L25" s="47"/>
      <c r="M25" s="47"/>
      <c r="N25" s="47"/>
    </row>
    <row r="26" spans="1:14" ht="13.8" thickBot="1">
      <c r="A26" s="506" t="s">
        <v>48</v>
      </c>
      <c r="B26" s="591" t="s">
        <v>150</v>
      </c>
      <c r="C26" s="591" t="s">
        <v>150</v>
      </c>
      <c r="D26" s="591" t="s">
        <v>150</v>
      </c>
      <c r="E26" s="591" t="s">
        <v>150</v>
      </c>
      <c r="G26" s="262" t="s">
        <v>13</v>
      </c>
      <c r="H26" s="263"/>
      <c r="I26" s="264"/>
      <c r="J26" s="47"/>
      <c r="K26" s="47"/>
      <c r="L26" s="47"/>
      <c r="M26" s="47"/>
      <c r="N26" s="47"/>
    </row>
    <row r="27" spans="1:14" ht="13.8" thickBot="1">
      <c r="A27" s="377" t="s">
        <v>74</v>
      </c>
      <c r="B27" s="578">
        <v>249700</v>
      </c>
      <c r="C27" s="578">
        <v>862100</v>
      </c>
      <c r="D27" s="578">
        <v>21500</v>
      </c>
      <c r="E27" s="592">
        <v>1133300</v>
      </c>
      <c r="G27" s="33">
        <f>ROUND(('Barclays UK YTD'!D21),-2)-ROUND(B27,-2)</f>
        <v>0</v>
      </c>
      <c r="H27" s="33">
        <f>ROUND('Barclays International YTD'!D27,-2)-ROUND(C27,-2)</f>
        <v>0</v>
      </c>
      <c r="I27" s="33">
        <f>ROUND('Head Office YTD'!D21,-2)-ROUND(D27,-2)</f>
        <v>0</v>
      </c>
      <c r="J27" s="33">
        <f>ROUND('Group Qrtly'!F38,-2)-ROUND(E27,-2)</f>
        <v>157100</v>
      </c>
      <c r="K27" s="47"/>
      <c r="L27" s="33">
        <f>SUM(B27:D27)-E27</f>
        <v>0</v>
      </c>
      <c r="M27" s="47"/>
      <c r="N27" s="47"/>
    </row>
    <row r="28" spans="1:14" ht="13.8" thickBot="1">
      <c r="G28" s="262" t="s">
        <v>141</v>
      </c>
      <c r="H28" s="263"/>
      <c r="I28" s="263"/>
      <c r="J28" s="264"/>
      <c r="K28" s="47"/>
      <c r="L28" s="47"/>
      <c r="M28" s="47"/>
      <c r="N28" s="47"/>
    </row>
    <row r="29" spans="1:14">
      <c r="G29" s="33">
        <f>ROUND('Barclays UK Qrtly'!F21,-2)-ROUND(B27,-2)</f>
        <v>8200</v>
      </c>
      <c r="H29" s="33">
        <f>ROUND('Barclays International Qrtly'!F27,-2)-ROUND(C27,-2)</f>
        <v>147500</v>
      </c>
      <c r="I29" s="33">
        <f>ROUND('Head Office Qrtly'!F21,-2)-ROUND(D27,-2)</f>
        <v>1400</v>
      </c>
      <c r="J29" s="33">
        <f>ROUND('Group Qrtly'!F38,-2)-ROUND(E27,-2)</f>
        <v>157100</v>
      </c>
      <c r="K29" s="47"/>
      <c r="L29" s="47"/>
      <c r="M29" s="47"/>
      <c r="N29" s="47"/>
    </row>
    <row r="30" spans="1:14">
      <c r="G30" s="47"/>
      <c r="H30" s="47"/>
      <c r="I30" s="47"/>
      <c r="J30" s="47"/>
      <c r="K30" s="47"/>
      <c r="L30" s="47"/>
      <c r="M30" s="47"/>
      <c r="N30" s="47"/>
    </row>
  </sheetData>
  <conditionalFormatting sqref="G5:G10">
    <cfRule type="cellIs" dxfId="125" priority="38" operator="notEqual">
      <formula>0</formula>
    </cfRule>
  </conditionalFormatting>
  <conditionalFormatting sqref="H5:H10">
    <cfRule type="cellIs" dxfId="124" priority="37" operator="notEqual">
      <formula>0</formula>
    </cfRule>
  </conditionalFormatting>
  <conditionalFormatting sqref="G13">
    <cfRule type="cellIs" dxfId="123" priority="36" operator="notEqual">
      <formula>0</formula>
    </cfRule>
  </conditionalFormatting>
  <conditionalFormatting sqref="I5:I9">
    <cfRule type="cellIs" dxfId="122" priority="35" operator="notEqual">
      <formula>0</formula>
    </cfRule>
  </conditionalFormatting>
  <conditionalFormatting sqref="I10">
    <cfRule type="cellIs" dxfId="121" priority="34" operator="notEqual">
      <formula>0</formula>
    </cfRule>
  </conditionalFormatting>
  <conditionalFormatting sqref="J5:J7">
    <cfRule type="cellIs" dxfId="120" priority="33" operator="notEqual">
      <formula>0</formula>
    </cfRule>
  </conditionalFormatting>
  <conditionalFormatting sqref="J8:J10">
    <cfRule type="cellIs" dxfId="119" priority="32" operator="notEqual">
      <formula>0</formula>
    </cfRule>
  </conditionalFormatting>
  <conditionalFormatting sqref="I13">
    <cfRule type="cellIs" dxfId="118" priority="31" operator="notEqual">
      <formula>0</formula>
    </cfRule>
  </conditionalFormatting>
  <conditionalFormatting sqref="G19:G21">
    <cfRule type="cellIs" dxfId="117" priority="30" operator="notEqual">
      <formula>0</formula>
    </cfRule>
  </conditionalFormatting>
  <conditionalFormatting sqref="G22">
    <cfRule type="cellIs" dxfId="116" priority="29" operator="notEqual">
      <formula>0</formula>
    </cfRule>
  </conditionalFormatting>
  <conditionalFormatting sqref="G23:G24">
    <cfRule type="cellIs" dxfId="115" priority="28" operator="notEqual">
      <formula>0</formula>
    </cfRule>
  </conditionalFormatting>
  <conditionalFormatting sqref="H19:H21">
    <cfRule type="cellIs" dxfId="114" priority="27" operator="notEqual">
      <formula>0</formula>
    </cfRule>
  </conditionalFormatting>
  <conditionalFormatting sqref="H22:H23">
    <cfRule type="cellIs" dxfId="113" priority="26" operator="notEqual">
      <formula>0</formula>
    </cfRule>
  </conditionalFormatting>
  <conditionalFormatting sqref="H24">
    <cfRule type="cellIs" dxfId="112" priority="25" operator="notEqual">
      <formula>0</formula>
    </cfRule>
  </conditionalFormatting>
  <conditionalFormatting sqref="I19:I21">
    <cfRule type="cellIs" dxfId="111" priority="24" operator="notEqual">
      <formula>0</formula>
    </cfRule>
  </conditionalFormatting>
  <conditionalFormatting sqref="I22:I24">
    <cfRule type="cellIs" dxfId="110" priority="23" operator="notEqual">
      <formula>0</formula>
    </cfRule>
  </conditionalFormatting>
  <conditionalFormatting sqref="J19:J21">
    <cfRule type="cellIs" dxfId="109" priority="22" operator="notEqual">
      <formula>0</formula>
    </cfRule>
  </conditionalFormatting>
  <conditionalFormatting sqref="J22:J24">
    <cfRule type="cellIs" dxfId="108" priority="21" operator="notEqual">
      <formula>0</formula>
    </cfRule>
  </conditionalFormatting>
  <conditionalFormatting sqref="G27:I27">
    <cfRule type="cellIs" dxfId="107" priority="20" operator="notEqual">
      <formula>0</formula>
    </cfRule>
  </conditionalFormatting>
  <conditionalFormatting sqref="L5:L10">
    <cfRule type="cellIs" dxfId="106" priority="19" operator="notEqual">
      <formula>0</formula>
    </cfRule>
  </conditionalFormatting>
  <conditionalFormatting sqref="L19">
    <cfRule type="cellIs" dxfId="105" priority="18" operator="notEqual">
      <formula>0</formula>
    </cfRule>
  </conditionalFormatting>
  <conditionalFormatting sqref="L20:L24">
    <cfRule type="cellIs" dxfId="104" priority="17" operator="notEqual">
      <formula>0</formula>
    </cfRule>
  </conditionalFormatting>
  <conditionalFormatting sqref="L27">
    <cfRule type="cellIs" dxfId="103" priority="16" operator="notEqual">
      <formula>0</formula>
    </cfRule>
  </conditionalFormatting>
  <conditionalFormatting sqref="L13">
    <cfRule type="cellIs" dxfId="102" priority="15" operator="notEqual">
      <formula>0</formula>
    </cfRule>
  </conditionalFormatting>
  <conditionalFormatting sqref="J13">
    <cfRule type="cellIs" dxfId="101" priority="14" operator="notEqual">
      <formula>0</formula>
    </cfRule>
  </conditionalFormatting>
  <conditionalFormatting sqref="J27">
    <cfRule type="cellIs" dxfId="100" priority="13" operator="notEqual">
      <formula>0</formula>
    </cfRule>
  </conditionalFormatting>
  <conditionalFormatting sqref="G29">
    <cfRule type="cellIs" dxfId="99" priority="8" operator="notEqual">
      <formula>0</formula>
    </cfRule>
  </conditionalFormatting>
  <conditionalFormatting sqref="H29:I29">
    <cfRule type="cellIs" dxfId="98" priority="7" operator="notEqual">
      <formula>0</formula>
    </cfRule>
  </conditionalFormatting>
  <conditionalFormatting sqref="J29">
    <cfRule type="cellIs" dxfId="97" priority="6" operator="notEqual">
      <formula>0</formula>
    </cfRule>
  </conditionalFormatting>
  <conditionalFormatting sqref="H13">
    <cfRule type="cellIs" dxfId="96" priority="5" operator="notEqual">
      <formula>0</formula>
    </cfRule>
  </conditionalFormatting>
  <conditionalFormatting sqref="G15">
    <cfRule type="cellIs" dxfId="95" priority="4" operator="notEqual">
      <formula>0</formula>
    </cfRule>
  </conditionalFormatting>
  <conditionalFormatting sqref="I15">
    <cfRule type="cellIs" dxfId="94" priority="3" operator="notEqual">
      <formula>0</formula>
    </cfRule>
  </conditionalFormatting>
  <conditionalFormatting sqref="J15">
    <cfRule type="cellIs" dxfId="93" priority="2" operator="notEqual">
      <formula>0</formula>
    </cfRule>
  </conditionalFormatting>
  <conditionalFormatting sqref="H15">
    <cfRule type="cellIs" dxfId="92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H33"/>
  <sheetViews>
    <sheetView showGridLines="0" view="pageBreakPreview" zoomScale="70" zoomScaleNormal="80" zoomScaleSheetLayoutView="70" workbookViewId="0">
      <selection activeCell="D38" sqref="D38"/>
    </sheetView>
  </sheetViews>
  <sheetFormatPr defaultColWidth="9.109375" defaultRowHeight="13.2"/>
  <cols>
    <col min="1" max="1" width="9.21875" style="1343" customWidth="1"/>
    <col min="2" max="2" width="46.33203125" style="1343" customWidth="1"/>
    <col min="3" max="8" width="9.77734375" style="1343" customWidth="1"/>
    <col min="9" max="16384" width="9.109375" style="1343"/>
  </cols>
  <sheetData>
    <row r="2" spans="2:8" ht="15.6">
      <c r="B2" s="1340" t="s">
        <v>404</v>
      </c>
      <c r="C2" s="1341"/>
      <c r="D2" s="1342"/>
      <c r="E2" s="1342"/>
      <c r="F2" s="1342"/>
      <c r="G2" s="1342"/>
      <c r="H2" s="1342"/>
    </row>
    <row r="3" spans="2:8" ht="15.75" customHeight="1" thickBot="1">
      <c r="B3" s="1342"/>
      <c r="C3" s="1625" t="s">
        <v>405</v>
      </c>
      <c r="D3" s="1625"/>
      <c r="E3" s="1625"/>
      <c r="F3" s="1625" t="s">
        <v>406</v>
      </c>
      <c r="G3" s="1625"/>
      <c r="H3" s="1625"/>
    </row>
    <row r="4" spans="2:8" ht="34.200000000000003">
      <c r="B4" s="1344"/>
      <c r="C4" s="1345" t="s">
        <v>179</v>
      </c>
      <c r="D4" s="1346" t="s">
        <v>407</v>
      </c>
      <c r="E4" s="1346" t="s">
        <v>191</v>
      </c>
      <c r="F4" s="1345" t="s">
        <v>179</v>
      </c>
      <c r="G4" s="1345" t="s">
        <v>407</v>
      </c>
      <c r="H4" s="1345" t="s">
        <v>191</v>
      </c>
    </row>
    <row r="5" spans="2:8" ht="13.8" thickBot="1">
      <c r="B5" s="1347"/>
      <c r="C5" s="1347" t="s">
        <v>2</v>
      </c>
      <c r="D5" s="1347" t="s">
        <v>2</v>
      </c>
      <c r="E5" s="1347" t="s">
        <v>32</v>
      </c>
      <c r="F5" s="1347" t="s">
        <v>2</v>
      </c>
      <c r="G5" s="1347" t="s">
        <v>2</v>
      </c>
      <c r="H5" s="1347" t="s">
        <v>32</v>
      </c>
    </row>
    <row r="6" spans="2:8">
      <c r="B6" s="1348" t="s">
        <v>64</v>
      </c>
      <c r="C6" s="1349">
        <v>1412</v>
      </c>
      <c r="D6" s="1349">
        <v>195204</v>
      </c>
      <c r="E6" s="1350">
        <v>2.91</v>
      </c>
      <c r="F6" s="1351">
        <v>1469</v>
      </c>
      <c r="G6" s="1351">
        <v>187570</v>
      </c>
      <c r="H6" s="1352">
        <v>3.18</v>
      </c>
    </row>
    <row r="7" spans="2:8" ht="13.8" thickBot="1">
      <c r="B7" s="1353" t="s">
        <v>65</v>
      </c>
      <c r="C7" s="1354">
        <v>980</v>
      </c>
      <c r="D7" s="1354">
        <v>100171</v>
      </c>
      <c r="E7" s="1355">
        <v>3.93</v>
      </c>
      <c r="F7" s="1356">
        <v>967</v>
      </c>
      <c r="G7" s="1356">
        <v>98313</v>
      </c>
      <c r="H7" s="1357">
        <v>3.99</v>
      </c>
    </row>
    <row r="8" spans="2:8">
      <c r="B8" s="1358" t="s">
        <v>408</v>
      </c>
      <c r="C8" s="1359">
        <v>2392</v>
      </c>
      <c r="D8" s="1359">
        <v>295375</v>
      </c>
      <c r="E8" s="1360">
        <v>3.26</v>
      </c>
      <c r="F8" s="1361">
        <v>2436</v>
      </c>
      <c r="G8" s="1361">
        <v>285883</v>
      </c>
      <c r="H8" s="1362">
        <v>3.46</v>
      </c>
    </row>
    <row r="9" spans="2:8" ht="13.8" thickBot="1">
      <c r="B9" s="1363" t="s">
        <v>409</v>
      </c>
      <c r="C9" s="1364">
        <v>-61</v>
      </c>
      <c r="D9" s="1364"/>
      <c r="E9" s="1364"/>
      <c r="F9" s="1365">
        <v>-178</v>
      </c>
      <c r="G9" s="1357"/>
      <c r="H9" s="1357"/>
    </row>
    <row r="10" spans="2:8">
      <c r="B10" s="1366" t="s">
        <v>410</v>
      </c>
      <c r="C10" s="1359">
        <v>2331</v>
      </c>
      <c r="D10" s="1367"/>
      <c r="E10" s="1367"/>
      <c r="F10" s="1361">
        <v>2258</v>
      </c>
      <c r="G10" s="1362"/>
      <c r="H10" s="1352"/>
    </row>
    <row r="13" spans="2:8" ht="14.4">
      <c r="B13" s="1368" t="s">
        <v>411</v>
      </c>
    </row>
    <row r="14" spans="2:8" ht="34.200000000000003">
      <c r="F14" s="1369" t="s">
        <v>179</v>
      </c>
      <c r="G14" s="1369" t="s">
        <v>412</v>
      </c>
      <c r="H14" s="1369" t="s">
        <v>191</v>
      </c>
    </row>
    <row r="15" spans="2:8" ht="13.8" thickBot="1">
      <c r="B15" s="1370" t="s">
        <v>413</v>
      </c>
      <c r="C15" s="1370"/>
      <c r="D15" s="1370"/>
      <c r="E15" s="1370"/>
      <c r="F15" s="1371" t="s">
        <v>2</v>
      </c>
      <c r="G15" s="1371" t="s">
        <v>2</v>
      </c>
      <c r="H15" s="1371" t="s">
        <v>32</v>
      </c>
    </row>
    <row r="16" spans="2:8">
      <c r="B16" s="1348" t="s">
        <v>64</v>
      </c>
      <c r="C16" s="1348"/>
      <c r="D16" s="1348"/>
      <c r="E16" s="1348"/>
      <c r="F16" s="1372">
        <v>1478</v>
      </c>
      <c r="G16" s="1372">
        <v>193610</v>
      </c>
      <c r="H16" s="1373">
        <v>3.03</v>
      </c>
    </row>
    <row r="17" spans="2:8" ht="13.8" thickBot="1">
      <c r="B17" s="1374" t="s">
        <v>65</v>
      </c>
      <c r="C17" s="1374"/>
      <c r="D17" s="1374"/>
      <c r="E17" s="1374"/>
      <c r="F17" s="1375">
        <v>1036</v>
      </c>
      <c r="G17" s="1375">
        <v>95819</v>
      </c>
      <c r="H17" s="1376">
        <v>4.29</v>
      </c>
    </row>
    <row r="18" spans="2:8">
      <c r="B18" s="1377" t="s">
        <v>408</v>
      </c>
      <c r="C18" s="1377"/>
      <c r="D18" s="1377"/>
      <c r="E18" s="1377"/>
      <c r="F18" s="1378">
        <v>2514</v>
      </c>
      <c r="G18" s="1378">
        <v>289429</v>
      </c>
      <c r="H18" s="1379">
        <v>3.45</v>
      </c>
    </row>
    <row r="19" spans="2:8">
      <c r="B19" s="1377"/>
      <c r="C19" s="1377"/>
      <c r="D19" s="1377"/>
      <c r="E19" s="1377"/>
      <c r="F19" s="1373"/>
      <c r="G19" s="1373"/>
      <c r="H19" s="1373"/>
    </row>
    <row r="20" spans="2:8" ht="13.8" thickBot="1">
      <c r="B20" s="1370" t="s">
        <v>414</v>
      </c>
      <c r="C20" s="1370"/>
      <c r="D20" s="1370"/>
      <c r="E20" s="1370"/>
      <c r="F20" s="1370"/>
      <c r="G20" s="1370"/>
      <c r="H20" s="1370"/>
    </row>
    <row r="21" spans="2:8">
      <c r="B21" s="1348" t="s">
        <v>64</v>
      </c>
      <c r="C21" s="1348"/>
      <c r="D21" s="1348"/>
      <c r="E21" s="1348"/>
      <c r="F21" s="1372">
        <v>1503</v>
      </c>
      <c r="G21" s="1372">
        <v>192262</v>
      </c>
      <c r="H21" s="1380">
        <v>3.1</v>
      </c>
    </row>
    <row r="22" spans="2:8" ht="13.8" thickBot="1">
      <c r="B22" s="1374" t="s">
        <v>65</v>
      </c>
      <c r="C22" s="1374"/>
      <c r="D22" s="1374"/>
      <c r="E22" s="1374"/>
      <c r="F22" s="1375">
        <v>1038</v>
      </c>
      <c r="G22" s="1375">
        <v>100589</v>
      </c>
      <c r="H22" s="1381">
        <v>4.0999999999999996</v>
      </c>
    </row>
    <row r="23" spans="2:8">
      <c r="B23" s="1377" t="s">
        <v>408</v>
      </c>
      <c r="C23" s="1377"/>
      <c r="D23" s="1377"/>
      <c r="E23" s="1377"/>
      <c r="F23" s="1378">
        <v>2541</v>
      </c>
      <c r="G23" s="1378">
        <v>292851</v>
      </c>
      <c r="H23" s="1379">
        <v>3.44</v>
      </c>
    </row>
    <row r="24" spans="2:8" ht="14.4">
      <c r="B24" s="1382"/>
      <c r="C24" s="1382"/>
      <c r="D24" s="1382"/>
      <c r="E24" s="1382"/>
      <c r="F24" s="1382"/>
      <c r="G24" s="1382"/>
      <c r="H24" s="1382"/>
    </row>
    <row r="25" spans="2:8" ht="13.8" thickBot="1">
      <c r="B25" s="1370" t="s">
        <v>415</v>
      </c>
      <c r="C25" s="1370"/>
      <c r="D25" s="1370"/>
      <c r="E25" s="1370"/>
      <c r="F25" s="1370"/>
      <c r="G25" s="1370"/>
      <c r="H25" s="1370"/>
    </row>
    <row r="26" spans="2:8">
      <c r="B26" s="1348" t="s">
        <v>64</v>
      </c>
      <c r="C26" s="1348"/>
      <c r="D26" s="1348"/>
      <c r="E26" s="1348"/>
      <c r="F26" s="1372">
        <v>1438</v>
      </c>
      <c r="G26" s="1372">
        <v>189172</v>
      </c>
      <c r="H26" s="1380">
        <v>3.05</v>
      </c>
    </row>
    <row r="27" spans="2:8" ht="13.8" thickBot="1">
      <c r="B27" s="1374" t="s">
        <v>65</v>
      </c>
      <c r="C27" s="1374"/>
      <c r="D27" s="1374"/>
      <c r="E27" s="1374"/>
      <c r="F27" s="1376">
        <v>980</v>
      </c>
      <c r="G27" s="1375">
        <v>100645</v>
      </c>
      <c r="H27" s="1376">
        <v>3.91</v>
      </c>
    </row>
    <row r="28" spans="2:8">
      <c r="B28" s="1377" t="s">
        <v>408</v>
      </c>
      <c r="C28" s="1377"/>
      <c r="D28" s="1377"/>
      <c r="E28" s="1377"/>
      <c r="F28" s="1378">
        <v>2418</v>
      </c>
      <c r="G28" s="1378">
        <v>289817</v>
      </c>
      <c r="H28" s="1379">
        <v>3.35</v>
      </c>
    </row>
    <row r="29" spans="2:8">
      <c r="C29" s="1383"/>
      <c r="D29" s="1383"/>
      <c r="E29" s="1383"/>
    </row>
    <row r="30" spans="2:8">
      <c r="C30" s="1383"/>
      <c r="D30" s="1383"/>
      <c r="E30" s="1383"/>
    </row>
    <row r="31" spans="2:8">
      <c r="C31" s="1383"/>
      <c r="D31" s="1383"/>
      <c r="E31" s="1383"/>
    </row>
    <row r="32" spans="2:8">
      <c r="C32" s="1383"/>
      <c r="D32" s="1383"/>
      <c r="E32" s="1383"/>
    </row>
    <row r="33" spans="3:5">
      <c r="C33" s="1383"/>
      <c r="D33" s="1383"/>
      <c r="E33" s="1383"/>
    </row>
  </sheetData>
  <mergeCells count="2">
    <mergeCell ref="C3:E3"/>
    <mergeCell ref="F3:H3"/>
  </mergeCells>
  <pageMargins left="0.7" right="0.7" top="0.75" bottom="0.75" header="0.3" footer="0.3"/>
  <pageSetup paperSize="9"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66"/>
  <sheetViews>
    <sheetView showGridLines="0" view="pageBreakPreview" zoomScale="60" zoomScaleNormal="80" workbookViewId="0">
      <selection activeCell="H23" sqref="H23"/>
    </sheetView>
  </sheetViews>
  <sheetFormatPr defaultColWidth="9.109375" defaultRowHeight="13.2"/>
  <cols>
    <col min="1" max="1" width="9.21875" style="1343" customWidth="1"/>
    <col min="2" max="2" width="26.77734375" style="1343" customWidth="1"/>
    <col min="3" max="6" width="9.77734375" style="1343" customWidth="1"/>
    <col min="7" max="7" width="1.77734375" style="1343" customWidth="1"/>
    <col min="8" max="12" width="9.77734375" style="1343" customWidth="1"/>
    <col min="13" max="13" width="9.109375" style="1343"/>
    <col min="14" max="14" width="10.77734375" style="1343" customWidth="1"/>
    <col min="15" max="18" width="10" style="1343" customWidth="1"/>
    <col min="19" max="19" width="9.109375" style="1343"/>
    <col min="20" max="20" width="9.77734375" style="1343" customWidth="1"/>
    <col min="21" max="16384" width="9.109375" style="1343"/>
  </cols>
  <sheetData>
    <row r="1" spans="1:13">
      <c r="A1" s="1383"/>
      <c r="B1" s="1383"/>
      <c r="C1" s="1383"/>
      <c r="D1" s="1383"/>
      <c r="E1" s="1383"/>
      <c r="F1" s="1383"/>
      <c r="G1" s="1383"/>
      <c r="H1" s="1383"/>
      <c r="I1" s="1383"/>
      <c r="J1" s="1383"/>
      <c r="K1" s="1383"/>
      <c r="L1" s="1383"/>
      <c r="M1" s="1383"/>
    </row>
    <row r="2" spans="1:13" ht="12.75" customHeight="1">
      <c r="B2" s="1633" t="s">
        <v>416</v>
      </c>
      <c r="C2" s="1634"/>
      <c r="D2" s="1634"/>
      <c r="E2" s="1634"/>
      <c r="F2" s="1634"/>
      <c r="G2" s="1635"/>
      <c r="H2" s="1635"/>
      <c r="L2" s="1384"/>
    </row>
    <row r="3" spans="1:13" ht="12.75" customHeight="1" thickBot="1">
      <c r="B3" s="1385"/>
      <c r="C3" s="1628" t="s">
        <v>417</v>
      </c>
      <c r="D3" s="1628"/>
      <c r="E3" s="1628"/>
      <c r="F3" s="1628"/>
      <c r="G3" s="1385"/>
      <c r="H3" s="1628" t="s">
        <v>418</v>
      </c>
      <c r="I3" s="1628"/>
      <c r="J3" s="1628"/>
      <c r="K3" s="1628"/>
      <c r="L3" s="1629" t="s">
        <v>419</v>
      </c>
    </row>
    <row r="4" spans="1:13" ht="15" customHeight="1">
      <c r="B4" s="1386"/>
      <c r="C4" s="1387" t="s">
        <v>420</v>
      </c>
      <c r="D4" s="1388" t="s">
        <v>421</v>
      </c>
      <c r="E4" s="1388" t="s">
        <v>422</v>
      </c>
      <c r="F4" s="1388" t="s">
        <v>423</v>
      </c>
      <c r="G4" s="1379"/>
      <c r="H4" s="1387" t="s">
        <v>420</v>
      </c>
      <c r="I4" s="1388" t="s">
        <v>421</v>
      </c>
      <c r="J4" s="1388" t="s">
        <v>422</v>
      </c>
      <c r="K4" s="1388" t="s">
        <v>423</v>
      </c>
      <c r="L4" s="1629"/>
    </row>
    <row r="5" spans="1:13" ht="13.8" thickBot="1">
      <c r="B5" s="1389" t="s">
        <v>424</v>
      </c>
      <c r="C5" s="1390" t="s">
        <v>2</v>
      </c>
      <c r="D5" s="1390" t="s">
        <v>2</v>
      </c>
      <c r="E5" s="1390" t="s">
        <v>2</v>
      </c>
      <c r="F5" s="1390" t="s">
        <v>2</v>
      </c>
      <c r="G5" s="1379"/>
      <c r="H5" s="1390" t="s">
        <v>2</v>
      </c>
      <c r="I5" s="1390" t="s">
        <v>2</v>
      </c>
      <c r="J5" s="1390" t="s">
        <v>2</v>
      </c>
      <c r="K5" s="1390" t="s">
        <v>2</v>
      </c>
      <c r="L5" s="1390" t="s">
        <v>2</v>
      </c>
    </row>
    <row r="6" spans="1:13">
      <c r="B6" s="1391" t="s">
        <v>64</v>
      </c>
      <c r="C6" s="1372">
        <v>143325</v>
      </c>
      <c r="D6" s="1372">
        <v>23727</v>
      </c>
      <c r="E6" s="1372">
        <v>2479</v>
      </c>
      <c r="F6" s="1349">
        <v>169531</v>
      </c>
      <c r="G6" s="1379"/>
      <c r="H6" s="1373">
        <v>237</v>
      </c>
      <c r="I6" s="1372">
        <v>1455</v>
      </c>
      <c r="J6" s="1372">
        <v>1031</v>
      </c>
      <c r="K6" s="1349">
        <v>2723</v>
      </c>
      <c r="L6" s="1349">
        <v>166808</v>
      </c>
    </row>
    <row r="7" spans="1:13">
      <c r="B7" s="1391" t="s">
        <v>65</v>
      </c>
      <c r="C7" s="1372">
        <v>25006</v>
      </c>
      <c r="D7" s="1372">
        <v>4903</v>
      </c>
      <c r="E7" s="1372">
        <v>1834</v>
      </c>
      <c r="F7" s="1349">
        <v>31743</v>
      </c>
      <c r="G7" s="1373"/>
      <c r="H7" s="1373">
        <v>431</v>
      </c>
      <c r="I7" s="1372">
        <v>1280</v>
      </c>
      <c r="J7" s="1372">
        <v>1460</v>
      </c>
      <c r="K7" s="1349">
        <v>3171</v>
      </c>
      <c r="L7" s="1349">
        <v>28572</v>
      </c>
    </row>
    <row r="8" spans="1:13" ht="13.8" thickBot="1">
      <c r="B8" s="1353" t="s">
        <v>31</v>
      </c>
      <c r="C8" s="1392">
        <v>4836</v>
      </c>
      <c r="D8" s="1393">
        <v>514</v>
      </c>
      <c r="E8" s="1393">
        <v>845</v>
      </c>
      <c r="F8" s="1354">
        <v>6195</v>
      </c>
      <c r="G8" s="1373"/>
      <c r="H8" s="1393">
        <v>5</v>
      </c>
      <c r="I8" s="1393">
        <v>52</v>
      </c>
      <c r="J8" s="1393">
        <v>321</v>
      </c>
      <c r="K8" s="1394">
        <v>378</v>
      </c>
      <c r="L8" s="1354">
        <v>5817</v>
      </c>
    </row>
    <row r="9" spans="1:13" ht="13.8" thickBot="1">
      <c r="B9" s="1395" t="s">
        <v>425</v>
      </c>
      <c r="C9" s="1396">
        <v>173167</v>
      </c>
      <c r="D9" s="1396">
        <v>29144</v>
      </c>
      <c r="E9" s="1396">
        <v>5158</v>
      </c>
      <c r="F9" s="1397">
        <v>207469</v>
      </c>
      <c r="G9" s="1379"/>
      <c r="H9" s="1398">
        <v>673</v>
      </c>
      <c r="I9" s="1396">
        <v>2787</v>
      </c>
      <c r="J9" s="1396">
        <v>2812</v>
      </c>
      <c r="K9" s="1397">
        <v>6272</v>
      </c>
      <c r="L9" s="1397">
        <v>201197</v>
      </c>
    </row>
    <row r="10" spans="1:13">
      <c r="B10" s="1391" t="s">
        <v>64</v>
      </c>
      <c r="C10" s="1372">
        <v>28413</v>
      </c>
      <c r="D10" s="1372">
        <v>2223</v>
      </c>
      <c r="E10" s="1372">
        <v>1061</v>
      </c>
      <c r="F10" s="1349">
        <v>31697</v>
      </c>
      <c r="G10" s="1373"/>
      <c r="H10" s="1373">
        <v>21</v>
      </c>
      <c r="I10" s="1373">
        <v>58</v>
      </c>
      <c r="J10" s="1373">
        <v>118</v>
      </c>
      <c r="K10" s="1367">
        <v>197</v>
      </c>
      <c r="L10" s="1349">
        <v>31500</v>
      </c>
    </row>
    <row r="11" spans="1:13">
      <c r="B11" s="1391" t="s">
        <v>65</v>
      </c>
      <c r="C11" s="1372">
        <v>127536</v>
      </c>
      <c r="D11" s="1372">
        <v>10276</v>
      </c>
      <c r="E11" s="1372">
        <v>2090</v>
      </c>
      <c r="F11" s="1349">
        <v>139902</v>
      </c>
      <c r="G11" s="1373"/>
      <c r="H11" s="1373">
        <v>152</v>
      </c>
      <c r="I11" s="1373">
        <v>497</v>
      </c>
      <c r="J11" s="1373">
        <v>784</v>
      </c>
      <c r="K11" s="1349">
        <v>1433</v>
      </c>
      <c r="L11" s="1349">
        <v>138469</v>
      </c>
    </row>
    <row r="12" spans="1:13" ht="13.8" thickBot="1">
      <c r="B12" s="1353" t="s">
        <v>31</v>
      </c>
      <c r="C12" s="1392">
        <v>2982</v>
      </c>
      <c r="D12" s="1393" t="s">
        <v>426</v>
      </c>
      <c r="E12" s="1393">
        <v>38</v>
      </c>
      <c r="F12" s="1354">
        <v>3020</v>
      </c>
      <c r="G12" s="1373"/>
      <c r="H12" s="1393" t="s">
        <v>426</v>
      </c>
      <c r="I12" s="1393" t="s">
        <v>426</v>
      </c>
      <c r="J12" s="1393">
        <v>37</v>
      </c>
      <c r="K12" s="1394">
        <v>37</v>
      </c>
      <c r="L12" s="1354">
        <v>2983</v>
      </c>
    </row>
    <row r="13" spans="1:13" ht="13.8" thickBot="1">
      <c r="B13" s="1395" t="s">
        <v>427</v>
      </c>
      <c r="C13" s="1399">
        <v>158931</v>
      </c>
      <c r="D13" s="1399">
        <v>12499</v>
      </c>
      <c r="E13" s="1399">
        <v>3189</v>
      </c>
      <c r="F13" s="1397">
        <v>174619</v>
      </c>
      <c r="G13" s="1400"/>
      <c r="H13" s="1401">
        <v>173</v>
      </c>
      <c r="I13" s="1401">
        <v>555</v>
      </c>
      <c r="J13" s="1401">
        <v>939</v>
      </c>
      <c r="K13" s="1402">
        <v>1667</v>
      </c>
      <c r="L13" s="1402">
        <v>172952</v>
      </c>
    </row>
    <row r="14" spans="1:13" ht="23.4" thickBot="1">
      <c r="B14" s="1395" t="s">
        <v>428</v>
      </c>
      <c r="C14" s="1396">
        <v>332098</v>
      </c>
      <c r="D14" s="1396">
        <v>41643</v>
      </c>
      <c r="E14" s="1396">
        <v>8347</v>
      </c>
      <c r="F14" s="1397">
        <v>382088</v>
      </c>
      <c r="G14" s="1377"/>
      <c r="H14" s="1398">
        <v>846</v>
      </c>
      <c r="I14" s="1396">
        <v>3342</v>
      </c>
      <c r="J14" s="1396">
        <v>3751</v>
      </c>
      <c r="K14" s="1397">
        <v>7939</v>
      </c>
      <c r="L14" s="1397">
        <v>374149</v>
      </c>
    </row>
    <row r="15" spans="1:13" ht="21" thickBot="1">
      <c r="B15" s="1353" t="s">
        <v>429</v>
      </c>
      <c r="C15" s="1392">
        <v>311218</v>
      </c>
      <c r="D15" s="1392">
        <v>19335</v>
      </c>
      <c r="E15" s="1392">
        <v>1056</v>
      </c>
      <c r="F15" s="1354">
        <v>331609</v>
      </c>
      <c r="G15" s="1377"/>
      <c r="H15" s="1393">
        <v>104</v>
      </c>
      <c r="I15" s="1393">
        <v>234</v>
      </c>
      <c r="J15" s="1393">
        <v>47</v>
      </c>
      <c r="K15" s="1394">
        <v>385</v>
      </c>
      <c r="L15" s="1354">
        <v>331224</v>
      </c>
    </row>
    <row r="16" spans="1:13">
      <c r="B16" s="1366" t="s">
        <v>423</v>
      </c>
      <c r="C16" s="1378">
        <v>643316</v>
      </c>
      <c r="D16" s="1378">
        <v>60978</v>
      </c>
      <c r="E16" s="1378">
        <v>9403</v>
      </c>
      <c r="F16" s="1359">
        <v>713697</v>
      </c>
      <c r="G16" s="1379"/>
      <c r="H16" s="1379">
        <v>950</v>
      </c>
      <c r="I16" s="1378">
        <v>3576</v>
      </c>
      <c r="J16" s="1378">
        <v>3798</v>
      </c>
      <c r="K16" s="1359">
        <v>8324</v>
      </c>
      <c r="L16" s="1359">
        <v>705373</v>
      </c>
    </row>
    <row r="17" spans="2:24">
      <c r="B17" s="1358"/>
      <c r="C17" s="1377"/>
      <c r="D17" s="1377"/>
      <c r="E17" s="1377"/>
      <c r="F17" s="1379"/>
      <c r="G17" s="1377"/>
      <c r="H17" s="1379"/>
      <c r="I17" s="1379"/>
      <c r="J17" s="1379"/>
      <c r="K17" s="1379"/>
      <c r="L17" s="1379"/>
      <c r="N17" s="1366"/>
      <c r="O17" s="1377"/>
      <c r="P17" s="1377"/>
      <c r="Q17" s="1377"/>
      <c r="R17" s="1362"/>
      <c r="S17" s="1377"/>
      <c r="T17" s="1379"/>
      <c r="U17" s="1362"/>
      <c r="V17" s="1362"/>
      <c r="W17" s="1362"/>
      <c r="X17" s="1362"/>
    </row>
    <row r="18" spans="2:24" ht="12.75" customHeight="1" thickBot="1">
      <c r="B18" s="1366"/>
      <c r="C18" s="1628" t="s">
        <v>424</v>
      </c>
      <c r="D18" s="1628"/>
      <c r="E18" s="1628"/>
      <c r="F18" s="1628"/>
      <c r="G18" s="1377"/>
      <c r="H18" s="1628" t="s">
        <v>405</v>
      </c>
      <c r="I18" s="1628"/>
      <c r="J18" s="1628"/>
      <c r="K18" s="1628"/>
      <c r="L18" s="1403"/>
      <c r="X18" s="1404"/>
    </row>
    <row r="19" spans="2:24" ht="12.75" customHeight="1" thickBot="1">
      <c r="B19" s="1385"/>
      <c r="C19" s="1630" t="s">
        <v>430</v>
      </c>
      <c r="D19" s="1630"/>
      <c r="E19" s="1630"/>
      <c r="F19" s="1630"/>
      <c r="G19" s="1377"/>
      <c r="H19" s="1630" t="s">
        <v>431</v>
      </c>
      <c r="I19" s="1630"/>
      <c r="J19" s="1630"/>
      <c r="K19" s="1630"/>
      <c r="L19" s="1403"/>
      <c r="X19" s="1404"/>
    </row>
    <row r="20" spans="2:24" ht="27" customHeight="1">
      <c r="B20" s="1386"/>
      <c r="C20" s="1405" t="s">
        <v>420</v>
      </c>
      <c r="D20" s="1406" t="s">
        <v>421</v>
      </c>
      <c r="E20" s="1406" t="s">
        <v>422</v>
      </c>
      <c r="F20" s="1406" t="s">
        <v>423</v>
      </c>
      <c r="G20" s="1407"/>
      <c r="H20" s="1626" t="s">
        <v>432</v>
      </c>
      <c r="I20" s="1626"/>
      <c r="J20" s="1626" t="s">
        <v>433</v>
      </c>
      <c r="K20" s="1626"/>
      <c r="L20" s="1408"/>
      <c r="X20" s="1387"/>
    </row>
    <row r="21" spans="2:24" ht="13.8" thickBot="1">
      <c r="B21" s="1395"/>
      <c r="C21" s="1409" t="s">
        <v>32</v>
      </c>
      <c r="D21" s="1409" t="s">
        <v>32</v>
      </c>
      <c r="E21" s="1409" t="s">
        <v>32</v>
      </c>
      <c r="F21" s="1409" t="s">
        <v>32</v>
      </c>
      <c r="G21" s="1377"/>
      <c r="H21" s="1632" t="s">
        <v>2</v>
      </c>
      <c r="I21" s="1632"/>
      <c r="J21" s="1632" t="s">
        <v>434</v>
      </c>
      <c r="K21" s="1632"/>
      <c r="L21" s="1410"/>
      <c r="X21" s="1410"/>
    </row>
    <row r="22" spans="2:24">
      <c r="B22" s="1391" t="s">
        <v>64</v>
      </c>
      <c r="C22" s="1411">
        <v>0.2</v>
      </c>
      <c r="D22" s="1411">
        <v>6.1</v>
      </c>
      <c r="E22" s="1411">
        <v>41.6</v>
      </c>
      <c r="F22" s="1412">
        <v>1.6</v>
      </c>
      <c r="G22" s="1379"/>
      <c r="H22" s="1413"/>
      <c r="I22" s="1414">
        <v>419</v>
      </c>
      <c r="J22" s="1413"/>
      <c r="K22" s="1367">
        <v>99</v>
      </c>
      <c r="L22" s="1373"/>
      <c r="X22" s="1373"/>
    </row>
    <row r="23" spans="2:24">
      <c r="B23" s="1391" t="s">
        <v>65</v>
      </c>
      <c r="C23" s="1411">
        <v>1.7</v>
      </c>
      <c r="D23" s="1411">
        <v>26.1</v>
      </c>
      <c r="E23" s="1411">
        <v>79.599999999999994</v>
      </c>
      <c r="F23" s="1412">
        <v>10</v>
      </c>
      <c r="G23" s="1379"/>
      <c r="H23" s="1413"/>
      <c r="I23" s="1367">
        <v>892</v>
      </c>
      <c r="J23" s="1413"/>
      <c r="K23" s="1349">
        <v>1130</v>
      </c>
      <c r="L23" s="1373"/>
      <c r="X23" s="1373"/>
    </row>
    <row r="24" spans="2:24" ht="13.8" thickBot="1">
      <c r="B24" s="1353" t="s">
        <v>31</v>
      </c>
      <c r="C24" s="1415">
        <v>0.1</v>
      </c>
      <c r="D24" s="1415">
        <v>10.1</v>
      </c>
      <c r="E24" s="1415">
        <v>38</v>
      </c>
      <c r="F24" s="1416">
        <v>6.1</v>
      </c>
      <c r="G24" s="1379"/>
      <c r="H24" s="1417"/>
      <c r="I24" s="1394">
        <v>25</v>
      </c>
      <c r="J24" s="1417"/>
      <c r="K24" s="1394">
        <v>162</v>
      </c>
      <c r="L24" s="1373"/>
      <c r="X24" s="1373"/>
    </row>
    <row r="25" spans="2:24" ht="13.8" thickBot="1">
      <c r="B25" s="1395" t="s">
        <v>425</v>
      </c>
      <c r="C25" s="1418">
        <v>0.4</v>
      </c>
      <c r="D25" s="1418">
        <v>9.6</v>
      </c>
      <c r="E25" s="1418">
        <v>54.5</v>
      </c>
      <c r="F25" s="1419">
        <v>3</v>
      </c>
      <c r="G25" s="1379"/>
      <c r="H25" s="1420"/>
      <c r="I25" s="1397">
        <v>1336</v>
      </c>
      <c r="J25" s="1420"/>
      <c r="K25" s="1421">
        <v>259</v>
      </c>
      <c r="L25" s="1379"/>
      <c r="X25" s="1379"/>
    </row>
    <row r="26" spans="2:24">
      <c r="B26" s="1391" t="s">
        <v>64</v>
      </c>
      <c r="C26" s="1411">
        <v>0.1</v>
      </c>
      <c r="D26" s="1411">
        <v>2.6</v>
      </c>
      <c r="E26" s="1411">
        <v>11.1</v>
      </c>
      <c r="F26" s="1412">
        <v>0.6</v>
      </c>
      <c r="G26" s="1379"/>
      <c r="H26" s="1413"/>
      <c r="I26" s="1367">
        <v>44</v>
      </c>
      <c r="J26" s="1413"/>
      <c r="K26" s="1367">
        <v>56</v>
      </c>
      <c r="L26" s="1373"/>
      <c r="X26" s="1373"/>
    </row>
    <row r="27" spans="2:24">
      <c r="B27" s="1391" t="s">
        <v>65</v>
      </c>
      <c r="C27" s="1411">
        <v>0.1</v>
      </c>
      <c r="D27" s="1411">
        <v>4.8</v>
      </c>
      <c r="E27" s="1411">
        <v>37.5</v>
      </c>
      <c r="F27" s="1412">
        <v>1</v>
      </c>
      <c r="G27" s="1379"/>
      <c r="H27" s="1413"/>
      <c r="I27" s="1367">
        <v>574</v>
      </c>
      <c r="J27" s="1413"/>
      <c r="K27" s="1367">
        <v>165</v>
      </c>
      <c r="L27" s="1373"/>
      <c r="X27" s="1373"/>
    </row>
    <row r="28" spans="2:24" ht="13.8" thickBot="1">
      <c r="B28" s="1353" t="s">
        <v>31</v>
      </c>
      <c r="C28" s="1415" t="s">
        <v>426</v>
      </c>
      <c r="D28" s="1415" t="s">
        <v>426</v>
      </c>
      <c r="E28" s="1415">
        <v>97.4</v>
      </c>
      <c r="F28" s="1416">
        <v>1.2</v>
      </c>
      <c r="G28" s="1379"/>
      <c r="H28" s="1417"/>
      <c r="I28" s="1394" t="s">
        <v>426</v>
      </c>
      <c r="J28" s="1417"/>
      <c r="K28" s="1394" t="s">
        <v>426</v>
      </c>
      <c r="L28" s="1373"/>
      <c r="X28" s="1373"/>
    </row>
    <row r="29" spans="2:24" ht="13.8" thickBot="1">
      <c r="B29" s="1395" t="s">
        <v>427</v>
      </c>
      <c r="C29" s="1418">
        <v>0.1</v>
      </c>
      <c r="D29" s="1418">
        <v>4.4000000000000004</v>
      </c>
      <c r="E29" s="1418">
        <v>29.4</v>
      </c>
      <c r="F29" s="1419">
        <v>1</v>
      </c>
      <c r="G29" s="1379"/>
      <c r="H29" s="1420"/>
      <c r="I29" s="1421">
        <v>618</v>
      </c>
      <c r="J29" s="1420"/>
      <c r="K29" s="1421">
        <v>142</v>
      </c>
      <c r="L29" s="1379"/>
      <c r="X29" s="1379"/>
    </row>
    <row r="30" spans="2:24" ht="23.4" thickBot="1">
      <c r="B30" s="1395" t="s">
        <v>428</v>
      </c>
      <c r="C30" s="1418">
        <v>0.3</v>
      </c>
      <c r="D30" s="1418">
        <v>8</v>
      </c>
      <c r="E30" s="1418">
        <v>44.9</v>
      </c>
      <c r="F30" s="1419">
        <v>2.1</v>
      </c>
      <c r="G30" s="1379"/>
      <c r="H30" s="1420"/>
      <c r="I30" s="1397">
        <v>1954</v>
      </c>
      <c r="J30" s="1420"/>
      <c r="K30" s="1421">
        <v>206</v>
      </c>
      <c r="L30" s="1379"/>
      <c r="X30" s="1379"/>
    </row>
    <row r="31" spans="2:24" ht="20.399999999999999">
      <c r="B31" s="1391" t="s">
        <v>429</v>
      </c>
      <c r="C31" s="1422" t="s">
        <v>151</v>
      </c>
      <c r="D31" s="1422">
        <v>1.2</v>
      </c>
      <c r="E31" s="1422">
        <v>4.5</v>
      </c>
      <c r="F31" s="1423">
        <v>0.1</v>
      </c>
      <c r="G31" s="1424"/>
      <c r="H31" s="1424"/>
      <c r="I31" s="1367">
        <v>58</v>
      </c>
      <c r="J31" s="1424"/>
      <c r="K31" s="1424"/>
      <c r="L31" s="1382"/>
      <c r="X31" s="1379"/>
    </row>
    <row r="32" spans="2:24" ht="21" thickBot="1">
      <c r="B32" s="1353" t="s">
        <v>435</v>
      </c>
      <c r="C32" s="1418"/>
      <c r="D32" s="1418"/>
      <c r="E32" s="1418"/>
      <c r="F32" s="1419"/>
      <c r="G32" s="1424"/>
      <c r="H32" s="1379"/>
      <c r="I32" s="1394">
        <v>103</v>
      </c>
      <c r="J32" s="1379"/>
      <c r="K32" s="1379"/>
      <c r="L32" s="1379"/>
      <c r="X32" s="1379"/>
    </row>
    <row r="33" spans="1:24">
      <c r="B33" s="1366" t="s">
        <v>436</v>
      </c>
      <c r="C33" s="1425">
        <v>0.1</v>
      </c>
      <c r="D33" s="1425">
        <v>5.9</v>
      </c>
      <c r="E33" s="1425">
        <v>40.4</v>
      </c>
      <c r="F33" s="1426">
        <v>1.2</v>
      </c>
      <c r="G33" s="1348"/>
      <c r="H33" s="1379"/>
      <c r="I33" s="1359">
        <v>2115</v>
      </c>
      <c r="J33" s="1379"/>
      <c r="K33" s="1379"/>
      <c r="L33" s="1427"/>
      <c r="X33" s="1427"/>
    </row>
    <row r="34" spans="1:24">
      <c r="B34" s="1377"/>
      <c r="C34" s="1378"/>
      <c r="D34" s="1378"/>
      <c r="E34" s="1379"/>
    </row>
    <row r="35" spans="1:24">
      <c r="A35" s="1383"/>
      <c r="B35" s="1428"/>
      <c r="C35" s="1429"/>
      <c r="D35" s="1429"/>
      <c r="E35" s="1429"/>
      <c r="F35" s="1383"/>
      <c r="G35" s="1383"/>
    </row>
    <row r="36" spans="1:24" ht="12.75" customHeight="1" thickBot="1">
      <c r="A36" s="1430"/>
      <c r="B36" s="1385"/>
      <c r="C36" s="1628" t="s">
        <v>417</v>
      </c>
      <c r="D36" s="1628"/>
      <c r="E36" s="1628"/>
      <c r="F36" s="1628"/>
      <c r="G36" s="1385"/>
      <c r="H36" s="1628" t="s">
        <v>418</v>
      </c>
      <c r="I36" s="1628"/>
      <c r="J36" s="1628"/>
      <c r="K36" s="1628"/>
      <c r="L36" s="1629" t="s">
        <v>419</v>
      </c>
    </row>
    <row r="37" spans="1:24">
      <c r="A37" s="1430"/>
      <c r="B37" s="1386"/>
      <c r="C37" s="1387" t="s">
        <v>420</v>
      </c>
      <c r="D37" s="1388" t="s">
        <v>421</v>
      </c>
      <c r="E37" s="1388" t="s">
        <v>422</v>
      </c>
      <c r="F37" s="1388" t="s">
        <v>423</v>
      </c>
      <c r="G37" s="1379"/>
      <c r="H37" s="1387" t="s">
        <v>420</v>
      </c>
      <c r="I37" s="1388" t="s">
        <v>421</v>
      </c>
      <c r="J37" s="1388" t="s">
        <v>422</v>
      </c>
      <c r="K37" s="1388" t="s">
        <v>423</v>
      </c>
      <c r="L37" s="1629"/>
    </row>
    <row r="38" spans="1:24" ht="13.8" thickBot="1">
      <c r="A38" s="1430"/>
      <c r="B38" s="1389" t="s">
        <v>437</v>
      </c>
      <c r="C38" s="1390" t="s">
        <v>2</v>
      </c>
      <c r="D38" s="1390" t="s">
        <v>2</v>
      </c>
      <c r="E38" s="1390" t="s">
        <v>2</v>
      </c>
      <c r="F38" s="1390" t="s">
        <v>2</v>
      </c>
      <c r="G38" s="1379"/>
      <c r="H38" s="1390" t="s">
        <v>2</v>
      </c>
      <c r="I38" s="1390" t="s">
        <v>2</v>
      </c>
      <c r="J38" s="1390" t="s">
        <v>2</v>
      </c>
      <c r="K38" s="1390" t="s">
        <v>2</v>
      </c>
      <c r="L38" s="1390" t="s">
        <v>2</v>
      </c>
    </row>
    <row r="39" spans="1:24">
      <c r="A39" s="1430"/>
      <c r="B39" s="1391" t="s">
        <v>64</v>
      </c>
      <c r="C39" s="1372">
        <v>143097</v>
      </c>
      <c r="D39" s="1372">
        <v>23198</v>
      </c>
      <c r="E39" s="1372">
        <v>2446</v>
      </c>
      <c r="F39" s="1349">
        <v>168741</v>
      </c>
      <c r="G39" s="1379"/>
      <c r="H39" s="1373">
        <v>198</v>
      </c>
      <c r="I39" s="1372">
        <v>1277</v>
      </c>
      <c r="J39" s="1372">
        <v>974</v>
      </c>
      <c r="K39" s="1349">
        <v>2449</v>
      </c>
      <c r="L39" s="1349">
        <v>166292</v>
      </c>
    </row>
    <row r="40" spans="1:24">
      <c r="A40" s="1430"/>
      <c r="B40" s="1391" t="s">
        <v>65</v>
      </c>
      <c r="C40" s="1372">
        <v>27886</v>
      </c>
      <c r="D40" s="1372">
        <v>4026</v>
      </c>
      <c r="E40" s="1372">
        <v>1875</v>
      </c>
      <c r="F40" s="1349">
        <v>33787</v>
      </c>
      <c r="G40" s="1373"/>
      <c r="H40" s="1373">
        <v>352</v>
      </c>
      <c r="I40" s="1373">
        <v>774</v>
      </c>
      <c r="J40" s="1372">
        <v>1359</v>
      </c>
      <c r="K40" s="1349">
        <v>2485</v>
      </c>
      <c r="L40" s="1349">
        <v>31302</v>
      </c>
    </row>
    <row r="41" spans="1:24" ht="13.8" thickBot="1">
      <c r="A41" s="1430"/>
      <c r="B41" s="1353" t="s">
        <v>31</v>
      </c>
      <c r="C41" s="1392">
        <v>4803</v>
      </c>
      <c r="D41" s="1393">
        <v>500</v>
      </c>
      <c r="E41" s="1393">
        <v>826</v>
      </c>
      <c r="F41" s="1354">
        <v>6129</v>
      </c>
      <c r="G41" s="1373"/>
      <c r="H41" s="1393">
        <v>5</v>
      </c>
      <c r="I41" s="1393">
        <v>36</v>
      </c>
      <c r="J41" s="1393">
        <v>305</v>
      </c>
      <c r="K41" s="1394">
        <v>346</v>
      </c>
      <c r="L41" s="1354">
        <v>5783</v>
      </c>
    </row>
    <row r="42" spans="1:24" ht="13.8" thickBot="1">
      <c r="A42" s="1430"/>
      <c r="B42" s="1395" t="s">
        <v>425</v>
      </c>
      <c r="C42" s="1396">
        <v>175786</v>
      </c>
      <c r="D42" s="1396">
        <v>27724</v>
      </c>
      <c r="E42" s="1396">
        <v>5147</v>
      </c>
      <c r="F42" s="1397">
        <v>208657</v>
      </c>
      <c r="G42" s="1379"/>
      <c r="H42" s="1398">
        <v>555</v>
      </c>
      <c r="I42" s="1396">
        <v>2087</v>
      </c>
      <c r="J42" s="1396">
        <v>2638</v>
      </c>
      <c r="K42" s="1397">
        <v>5280</v>
      </c>
      <c r="L42" s="1397">
        <v>203377</v>
      </c>
    </row>
    <row r="43" spans="1:24">
      <c r="A43" s="1430"/>
      <c r="B43" s="1391" t="s">
        <v>64</v>
      </c>
      <c r="C43" s="1372">
        <v>27891</v>
      </c>
      <c r="D43" s="1372">
        <v>2397</v>
      </c>
      <c r="E43" s="1372">
        <v>1124</v>
      </c>
      <c r="F43" s="1349">
        <v>31412</v>
      </c>
      <c r="G43" s="1373"/>
      <c r="H43" s="1373">
        <v>16</v>
      </c>
      <c r="I43" s="1373">
        <v>38</v>
      </c>
      <c r="J43" s="1373">
        <v>108</v>
      </c>
      <c r="K43" s="1367">
        <v>162</v>
      </c>
      <c r="L43" s="1349">
        <v>31250</v>
      </c>
    </row>
    <row r="44" spans="1:24">
      <c r="A44" s="1430"/>
      <c r="B44" s="1391" t="s">
        <v>65</v>
      </c>
      <c r="C44" s="1372">
        <v>92615</v>
      </c>
      <c r="D44" s="1372">
        <v>8113</v>
      </c>
      <c r="E44" s="1372">
        <v>1615</v>
      </c>
      <c r="F44" s="1349">
        <v>102343</v>
      </c>
      <c r="G44" s="1373"/>
      <c r="H44" s="1373">
        <v>136</v>
      </c>
      <c r="I44" s="1373">
        <v>248</v>
      </c>
      <c r="J44" s="1373">
        <v>447</v>
      </c>
      <c r="K44" s="1367">
        <v>831</v>
      </c>
      <c r="L44" s="1349">
        <v>101512</v>
      </c>
    </row>
    <row r="45" spans="1:24" ht="13.8" thickBot="1">
      <c r="A45" s="1430"/>
      <c r="B45" s="1353" t="s">
        <v>31</v>
      </c>
      <c r="C45" s="1392">
        <v>2974</v>
      </c>
      <c r="D45" s="1393" t="s">
        <v>426</v>
      </c>
      <c r="E45" s="1393">
        <v>37</v>
      </c>
      <c r="F45" s="1354">
        <v>3011</v>
      </c>
      <c r="G45" s="1373"/>
      <c r="H45" s="1393" t="s">
        <v>426</v>
      </c>
      <c r="I45" s="1393" t="s">
        <v>426</v>
      </c>
      <c r="J45" s="1393">
        <v>35</v>
      </c>
      <c r="K45" s="1394">
        <v>35</v>
      </c>
      <c r="L45" s="1354">
        <v>2976</v>
      </c>
    </row>
    <row r="46" spans="1:24" ht="13.8" thickBot="1">
      <c r="A46" s="1430"/>
      <c r="B46" s="1395" t="s">
        <v>427</v>
      </c>
      <c r="C46" s="1396">
        <v>123480</v>
      </c>
      <c r="D46" s="1396">
        <v>10510</v>
      </c>
      <c r="E46" s="1396">
        <v>2776</v>
      </c>
      <c r="F46" s="1397">
        <v>136766</v>
      </c>
      <c r="G46" s="1379"/>
      <c r="H46" s="1398">
        <v>152</v>
      </c>
      <c r="I46" s="1398">
        <v>286</v>
      </c>
      <c r="J46" s="1398">
        <v>590</v>
      </c>
      <c r="K46" s="1397">
        <v>1028</v>
      </c>
      <c r="L46" s="1397">
        <v>135738</v>
      </c>
    </row>
    <row r="47" spans="1:24" ht="23.4" thickBot="1">
      <c r="A47" s="1430"/>
      <c r="B47" s="1395" t="s">
        <v>428</v>
      </c>
      <c r="C47" s="1396">
        <v>299266</v>
      </c>
      <c r="D47" s="1396">
        <v>38234</v>
      </c>
      <c r="E47" s="1396">
        <v>7923</v>
      </c>
      <c r="F47" s="1397">
        <v>345423</v>
      </c>
      <c r="G47" s="1379"/>
      <c r="H47" s="1398">
        <v>707</v>
      </c>
      <c r="I47" s="1396">
        <v>2373</v>
      </c>
      <c r="J47" s="1396">
        <v>3228</v>
      </c>
      <c r="K47" s="1397">
        <v>6308</v>
      </c>
      <c r="L47" s="1397">
        <v>339115</v>
      </c>
      <c r="N47" s="1431"/>
    </row>
    <row r="48" spans="1:24" ht="21" thickBot="1">
      <c r="A48" s="1430"/>
      <c r="B48" s="1353" t="s">
        <v>429</v>
      </c>
      <c r="C48" s="1392">
        <v>321140</v>
      </c>
      <c r="D48" s="1392">
        <v>19185</v>
      </c>
      <c r="E48" s="1393">
        <v>935</v>
      </c>
      <c r="F48" s="1354">
        <v>341260</v>
      </c>
      <c r="G48" s="1377"/>
      <c r="H48" s="1393">
        <v>97</v>
      </c>
      <c r="I48" s="1393">
        <v>170</v>
      </c>
      <c r="J48" s="1393">
        <v>55</v>
      </c>
      <c r="K48" s="1394">
        <v>322</v>
      </c>
      <c r="L48" s="1354">
        <v>340938</v>
      </c>
      <c r="N48" s="1386"/>
      <c r="O48" s="1362"/>
      <c r="P48" s="1362"/>
      <c r="Q48" s="1362"/>
      <c r="R48" s="1362"/>
      <c r="S48" s="1362"/>
      <c r="T48" s="1362"/>
      <c r="U48" s="1362"/>
      <c r="V48" s="1362"/>
      <c r="W48" s="1362"/>
      <c r="X48" s="1362"/>
    </row>
    <row r="49" spans="2:24">
      <c r="B49" s="1366" t="s">
        <v>423</v>
      </c>
      <c r="C49" s="1378">
        <v>620406</v>
      </c>
      <c r="D49" s="1378">
        <v>57419</v>
      </c>
      <c r="E49" s="1378">
        <v>8858</v>
      </c>
      <c r="F49" s="1359">
        <v>686683</v>
      </c>
      <c r="G49" s="1379"/>
      <c r="H49" s="1379">
        <v>804</v>
      </c>
      <c r="I49" s="1378">
        <v>2543</v>
      </c>
      <c r="J49" s="1378">
        <v>3283</v>
      </c>
      <c r="K49" s="1359">
        <v>6630</v>
      </c>
      <c r="L49" s="1359">
        <v>680053</v>
      </c>
      <c r="S49" s="1377"/>
      <c r="T49" s="1379"/>
      <c r="U49" s="1379"/>
      <c r="V49" s="1379"/>
      <c r="W49" s="1379"/>
      <c r="X49" s="1379"/>
    </row>
    <row r="50" spans="2:24">
      <c r="B50" s="1366"/>
      <c r="C50" s="1379"/>
      <c r="D50" s="1379"/>
      <c r="E50" s="1379"/>
      <c r="F50" s="1379"/>
      <c r="G50" s="1379"/>
      <c r="H50" s="1379"/>
      <c r="I50" s="1379"/>
      <c r="J50" s="1379"/>
      <c r="K50" s="1379"/>
      <c r="L50" s="1379"/>
      <c r="S50" s="1377"/>
      <c r="T50" s="1379"/>
      <c r="U50" s="1379"/>
      <c r="V50" s="1379"/>
      <c r="W50" s="1379"/>
      <c r="X50" s="1379"/>
    </row>
    <row r="51" spans="2:24" ht="13.5" customHeight="1" thickBot="1">
      <c r="B51" s="1366"/>
      <c r="C51" s="1625" t="s">
        <v>437</v>
      </c>
      <c r="D51" s="1625"/>
      <c r="E51" s="1625"/>
      <c r="F51" s="1625"/>
      <c r="G51" s="1362"/>
      <c r="H51" s="1628" t="s">
        <v>438</v>
      </c>
      <c r="I51" s="1628"/>
      <c r="J51" s="1628"/>
      <c r="K51" s="1628"/>
      <c r="L51" s="1362"/>
      <c r="S51" s="1377"/>
      <c r="T51" s="1379"/>
      <c r="U51" s="1379"/>
      <c r="V51" s="1379"/>
      <c r="W51" s="1379"/>
      <c r="X51" s="1379"/>
    </row>
    <row r="52" spans="2:24" ht="12.75" customHeight="1" thickBot="1">
      <c r="B52" s="1385"/>
      <c r="C52" s="1630" t="s">
        <v>430</v>
      </c>
      <c r="D52" s="1630"/>
      <c r="E52" s="1630"/>
      <c r="F52" s="1630"/>
      <c r="G52" s="1377"/>
      <c r="H52" s="1631" t="s">
        <v>431</v>
      </c>
      <c r="I52" s="1631"/>
      <c r="J52" s="1631"/>
      <c r="K52" s="1631"/>
      <c r="L52" s="1379"/>
      <c r="S52" s="1377"/>
      <c r="T52" s="1379"/>
      <c r="U52" s="1379"/>
      <c r="V52" s="1379"/>
      <c r="W52" s="1379"/>
      <c r="X52" s="1379"/>
    </row>
    <row r="53" spans="2:24" ht="27" customHeight="1">
      <c r="B53" s="1386"/>
      <c r="C53" s="1405" t="s">
        <v>420</v>
      </c>
      <c r="D53" s="1406" t="s">
        <v>421</v>
      </c>
      <c r="E53" s="1406" t="s">
        <v>422</v>
      </c>
      <c r="F53" s="1406" t="s">
        <v>423</v>
      </c>
      <c r="G53" s="1407"/>
      <c r="H53" s="1626" t="s">
        <v>432</v>
      </c>
      <c r="I53" s="1626"/>
      <c r="J53" s="1626" t="s">
        <v>433</v>
      </c>
      <c r="K53" s="1626"/>
      <c r="L53" s="1379"/>
      <c r="S53" s="1379"/>
      <c r="T53" s="1379"/>
      <c r="U53" s="1379"/>
      <c r="V53" s="1379"/>
      <c r="W53" s="1379"/>
      <c r="X53" s="1379"/>
    </row>
    <row r="54" spans="2:24" ht="13.8" thickBot="1">
      <c r="B54" s="1389"/>
      <c r="C54" s="1409" t="s">
        <v>32</v>
      </c>
      <c r="D54" s="1409" t="s">
        <v>32</v>
      </c>
      <c r="E54" s="1409" t="s">
        <v>32</v>
      </c>
      <c r="F54" s="1409" t="s">
        <v>32</v>
      </c>
      <c r="G54" s="1377"/>
      <c r="H54" s="1627" t="s">
        <v>2</v>
      </c>
      <c r="I54" s="1627"/>
      <c r="J54" s="1432"/>
      <c r="K54" s="1390" t="s">
        <v>434</v>
      </c>
      <c r="L54" s="1379"/>
      <c r="S54" s="1379"/>
      <c r="T54" s="1379"/>
      <c r="U54" s="1379"/>
      <c r="V54" s="1379"/>
      <c r="W54" s="1379"/>
      <c r="X54" s="1379"/>
    </row>
    <row r="55" spans="2:24">
      <c r="B55" s="1391" t="s">
        <v>64</v>
      </c>
      <c r="C55" s="1411">
        <v>0.1</v>
      </c>
      <c r="D55" s="1411">
        <v>5.5</v>
      </c>
      <c r="E55" s="1411">
        <v>39.799999999999997</v>
      </c>
      <c r="F55" s="1412">
        <v>1.5</v>
      </c>
      <c r="G55" s="1379"/>
      <c r="H55" s="1433"/>
      <c r="I55" s="1434">
        <v>661</v>
      </c>
      <c r="J55" s="1433"/>
      <c r="K55" s="1433">
        <v>39</v>
      </c>
      <c r="L55" s="1379"/>
      <c r="S55" s="1379"/>
      <c r="T55" s="1379"/>
      <c r="U55" s="1379"/>
      <c r="V55" s="1379"/>
      <c r="W55" s="1379"/>
      <c r="X55" s="1379"/>
    </row>
    <row r="56" spans="2:24">
      <c r="B56" s="1391" t="s">
        <v>65</v>
      </c>
      <c r="C56" s="1411">
        <v>1.3</v>
      </c>
      <c r="D56" s="1411">
        <v>19.2</v>
      </c>
      <c r="E56" s="1411">
        <v>72.5</v>
      </c>
      <c r="F56" s="1412">
        <v>7.4</v>
      </c>
      <c r="G56" s="1379"/>
      <c r="H56" s="1433"/>
      <c r="I56" s="1433">
        <v>999</v>
      </c>
      <c r="J56" s="1433"/>
      <c r="K56" s="1433">
        <v>296</v>
      </c>
      <c r="L56" s="1379"/>
      <c r="S56" s="1379"/>
      <c r="T56" s="1379"/>
      <c r="U56" s="1379"/>
      <c r="V56" s="1379"/>
      <c r="W56" s="1379"/>
      <c r="X56" s="1379"/>
    </row>
    <row r="57" spans="2:24" ht="13.8" thickBot="1">
      <c r="B57" s="1353" t="s">
        <v>31</v>
      </c>
      <c r="C57" s="1415">
        <v>0.1</v>
      </c>
      <c r="D57" s="1415">
        <v>7.2</v>
      </c>
      <c r="E57" s="1415">
        <v>36.9</v>
      </c>
      <c r="F57" s="1416">
        <v>5.6</v>
      </c>
      <c r="G57" s="1379"/>
      <c r="H57" s="1364"/>
      <c r="I57" s="1364">
        <v>27</v>
      </c>
      <c r="J57" s="1364"/>
      <c r="K57" s="1364">
        <v>44</v>
      </c>
      <c r="L57" s="1379"/>
      <c r="S57" s="1379"/>
      <c r="T57" s="1379"/>
      <c r="U57" s="1379"/>
      <c r="V57" s="1379"/>
      <c r="W57" s="1379"/>
      <c r="X57" s="1379"/>
    </row>
    <row r="58" spans="2:24" ht="13.8" thickBot="1">
      <c r="B58" s="1395" t="s">
        <v>425</v>
      </c>
      <c r="C58" s="1418">
        <v>0.3</v>
      </c>
      <c r="D58" s="1418">
        <v>7.5</v>
      </c>
      <c r="E58" s="1418">
        <v>51.3</v>
      </c>
      <c r="F58" s="1419">
        <v>2.5</v>
      </c>
      <c r="G58" s="1379"/>
      <c r="H58" s="1435"/>
      <c r="I58" s="1435">
        <v>1687</v>
      </c>
      <c r="J58" s="1435"/>
      <c r="K58" s="1435">
        <v>81</v>
      </c>
      <c r="L58" s="1379"/>
      <c r="S58" s="1379"/>
      <c r="T58" s="1379"/>
      <c r="U58" s="1379"/>
      <c r="V58" s="1379"/>
      <c r="W58" s="1379"/>
      <c r="X58" s="1379"/>
    </row>
    <row r="59" spans="2:24">
      <c r="B59" s="1391" t="s">
        <v>64</v>
      </c>
      <c r="C59" s="1411">
        <v>0.1</v>
      </c>
      <c r="D59" s="1411">
        <v>1.6</v>
      </c>
      <c r="E59" s="1411">
        <v>9.6</v>
      </c>
      <c r="F59" s="1412">
        <v>0.5</v>
      </c>
      <c r="G59" s="1379"/>
      <c r="H59" s="1433"/>
      <c r="I59" s="1433">
        <v>33</v>
      </c>
      <c r="J59" s="1433"/>
      <c r="K59" s="1433">
        <v>11</v>
      </c>
      <c r="L59" s="1379"/>
      <c r="S59" s="1379"/>
      <c r="T59" s="1379"/>
      <c r="U59" s="1379"/>
      <c r="V59" s="1379"/>
      <c r="W59" s="1379"/>
      <c r="X59" s="1379"/>
    </row>
    <row r="60" spans="2:24">
      <c r="B60" s="1391" t="s">
        <v>65</v>
      </c>
      <c r="C60" s="1411">
        <v>0.1</v>
      </c>
      <c r="D60" s="1411">
        <v>3.1</v>
      </c>
      <c r="E60" s="1411">
        <v>27.7</v>
      </c>
      <c r="F60" s="1412">
        <v>0.8</v>
      </c>
      <c r="G60" s="1379"/>
      <c r="H60" s="1433"/>
      <c r="I60" s="1433">
        <v>113</v>
      </c>
      <c r="J60" s="1433"/>
      <c r="K60" s="1433">
        <v>11</v>
      </c>
      <c r="L60" s="1379"/>
      <c r="S60" s="1379"/>
      <c r="T60" s="1379"/>
      <c r="U60" s="1379"/>
      <c r="V60" s="1379"/>
      <c r="W60" s="1379"/>
      <c r="X60" s="1379"/>
    </row>
    <row r="61" spans="2:24" ht="13.8" thickBot="1">
      <c r="B61" s="1353" t="s">
        <v>31</v>
      </c>
      <c r="C61" s="1415" t="s">
        <v>426</v>
      </c>
      <c r="D61" s="1415" t="s">
        <v>426</v>
      </c>
      <c r="E61" s="1415">
        <v>94.6</v>
      </c>
      <c r="F61" s="1416">
        <v>1.2</v>
      </c>
      <c r="G61" s="1379"/>
      <c r="H61" s="1364"/>
      <c r="I61" s="1364" t="s">
        <v>426</v>
      </c>
      <c r="J61" s="1364"/>
      <c r="K61" s="1364" t="s">
        <v>426</v>
      </c>
      <c r="L61" s="1379"/>
      <c r="S61" s="1379"/>
      <c r="T61" s="1379"/>
      <c r="U61" s="1379"/>
      <c r="V61" s="1379"/>
      <c r="W61" s="1379"/>
      <c r="X61" s="1379"/>
    </row>
    <row r="62" spans="2:24" ht="15" thickBot="1">
      <c r="B62" s="1395" t="s">
        <v>427</v>
      </c>
      <c r="C62" s="1418">
        <v>0.1</v>
      </c>
      <c r="D62" s="1418">
        <v>2.7</v>
      </c>
      <c r="E62" s="1418">
        <v>21.3</v>
      </c>
      <c r="F62" s="1419">
        <v>0.8</v>
      </c>
      <c r="G62" s="1379"/>
      <c r="H62" s="1435"/>
      <c r="I62" s="1435">
        <v>146</v>
      </c>
      <c r="J62" s="1435"/>
      <c r="K62" s="1435">
        <v>11</v>
      </c>
      <c r="L62" s="1379"/>
      <c r="N62" s="1382"/>
      <c r="O62" s="1382"/>
      <c r="P62" s="1382"/>
      <c r="Q62" s="1382"/>
      <c r="R62" s="1382"/>
      <c r="S62" s="1382"/>
      <c r="T62" s="1382"/>
      <c r="U62" s="1382"/>
      <c r="V62" s="1382"/>
      <c r="W62" s="1382"/>
      <c r="X62" s="1382"/>
    </row>
    <row r="63" spans="2:24" ht="23.4" thickBot="1">
      <c r="B63" s="1395" t="s">
        <v>428</v>
      </c>
      <c r="C63" s="1418">
        <v>0.2</v>
      </c>
      <c r="D63" s="1418">
        <v>6.2</v>
      </c>
      <c r="E63" s="1418">
        <v>40.700000000000003</v>
      </c>
      <c r="F63" s="1419">
        <v>1.8</v>
      </c>
      <c r="G63" s="1379"/>
      <c r="H63" s="1435"/>
      <c r="I63" s="1435">
        <v>1833</v>
      </c>
      <c r="J63" s="1435"/>
      <c r="K63" s="1435">
        <v>53</v>
      </c>
      <c r="L63" s="1379"/>
      <c r="N63" s="1382"/>
      <c r="O63" s="1382"/>
      <c r="P63" s="1382"/>
      <c r="Q63" s="1382"/>
      <c r="R63" s="1382"/>
      <c r="S63" s="1382"/>
      <c r="T63" s="1382"/>
      <c r="U63" s="1382"/>
      <c r="V63" s="1382"/>
      <c r="W63" s="1382"/>
      <c r="X63" s="1382"/>
    </row>
    <row r="64" spans="2:24" ht="20.399999999999999">
      <c r="B64" s="1391" t="s">
        <v>429</v>
      </c>
      <c r="C64" s="1411" t="s">
        <v>151</v>
      </c>
      <c r="D64" s="1411">
        <v>0.9</v>
      </c>
      <c r="E64" s="1411">
        <v>5.9</v>
      </c>
      <c r="F64" s="1412">
        <v>0.1</v>
      </c>
      <c r="G64" s="1348"/>
      <c r="H64" s="1436"/>
      <c r="I64" s="1433">
        <v>71</v>
      </c>
      <c r="J64" s="1436"/>
      <c r="K64" s="1436"/>
      <c r="L64" s="1348"/>
      <c r="N64" s="1382"/>
      <c r="O64" s="1382"/>
      <c r="P64" s="1382"/>
      <c r="Q64" s="1382"/>
      <c r="R64" s="1382"/>
      <c r="S64" s="1382"/>
      <c r="T64" s="1382"/>
      <c r="U64" s="1382"/>
      <c r="V64" s="1382"/>
      <c r="W64" s="1382"/>
      <c r="X64" s="1382"/>
    </row>
    <row r="65" spans="2:12" ht="21" thickBot="1">
      <c r="B65" s="1353" t="s">
        <v>435</v>
      </c>
      <c r="C65" s="1415"/>
      <c r="D65" s="1415"/>
      <c r="E65" s="1415"/>
      <c r="F65" s="1416"/>
      <c r="G65" s="1348"/>
      <c r="H65" s="1436"/>
      <c r="I65" s="1364">
        <v>8</v>
      </c>
      <c r="J65" s="1436"/>
      <c r="K65" s="1436"/>
      <c r="L65" s="1348"/>
    </row>
    <row r="66" spans="2:12">
      <c r="B66" s="1366" t="s">
        <v>423</v>
      </c>
      <c r="C66" s="1425">
        <v>0.1</v>
      </c>
      <c r="D66" s="1425">
        <v>4.4000000000000004</v>
      </c>
      <c r="E66" s="1425">
        <v>37.1</v>
      </c>
      <c r="F66" s="1426">
        <v>1</v>
      </c>
      <c r="G66" s="1348"/>
      <c r="H66" s="1436"/>
      <c r="I66" s="1437">
        <v>1912</v>
      </c>
      <c r="J66" s="1436"/>
      <c r="K66" s="1436"/>
      <c r="L66" s="1348"/>
    </row>
  </sheetData>
  <mergeCells count="22">
    <mergeCell ref="B2:H2"/>
    <mergeCell ref="C3:F3"/>
    <mergeCell ref="H3:K3"/>
    <mergeCell ref="L3:L4"/>
    <mergeCell ref="C18:F18"/>
    <mergeCell ref="H18:K18"/>
    <mergeCell ref="C19:F19"/>
    <mergeCell ref="H19:K19"/>
    <mergeCell ref="H20:I20"/>
    <mergeCell ref="J20:K20"/>
    <mergeCell ref="H21:I21"/>
    <mergeCell ref="J21:K21"/>
    <mergeCell ref="L36:L37"/>
    <mergeCell ref="C51:F51"/>
    <mergeCell ref="H51:K51"/>
    <mergeCell ref="C52:F52"/>
    <mergeCell ref="H52:K52"/>
    <mergeCell ref="H53:I53"/>
    <mergeCell ref="J53:K53"/>
    <mergeCell ref="H54:I54"/>
    <mergeCell ref="C36:F36"/>
    <mergeCell ref="H36:K36"/>
  </mergeCells>
  <pageMargins left="0.7" right="0.7" top="0.75" bottom="0.75" header="0.3" footer="0.3"/>
  <pageSetup paperSize="9" scale="76" orientation="portrait" r:id="rId1"/>
  <rowBreaks count="1" manualBreakCount="1">
    <brk id="34" min="1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1:I52"/>
  <sheetViews>
    <sheetView showGridLines="0" view="pageBreakPreview" zoomScale="60" zoomScaleNormal="80" workbookViewId="0">
      <selection activeCell="L33" sqref="L33"/>
    </sheetView>
  </sheetViews>
  <sheetFormatPr defaultColWidth="9.109375" defaultRowHeight="13.2"/>
  <cols>
    <col min="1" max="1" width="9.21875" style="1343" customWidth="1"/>
    <col min="2" max="2" width="40" style="1343" customWidth="1"/>
    <col min="3" max="9" width="9.77734375" style="1343" customWidth="1"/>
    <col min="10" max="16384" width="9.109375" style="1343"/>
  </cols>
  <sheetData>
    <row r="1" spans="2:9">
      <c r="B1" s="1383"/>
      <c r="C1" s="1383"/>
      <c r="D1" s="1383"/>
      <c r="E1" s="1383"/>
      <c r="F1" s="1383"/>
      <c r="G1" s="1383"/>
      <c r="H1" s="1383"/>
    </row>
    <row r="2" spans="2:9" ht="15.6">
      <c r="B2" s="1438" t="s">
        <v>439</v>
      </c>
      <c r="C2" s="1439"/>
      <c r="D2" s="1440"/>
      <c r="E2" s="1440"/>
      <c r="F2" s="1440"/>
      <c r="G2" s="1440"/>
      <c r="H2" s="1439"/>
    </row>
    <row r="3" spans="2:9" ht="15" thickBot="1">
      <c r="B3" s="1382"/>
      <c r="C3" s="1382"/>
      <c r="D3" s="1625" t="s">
        <v>440</v>
      </c>
      <c r="E3" s="1625"/>
      <c r="F3" s="1625"/>
      <c r="G3" s="1625"/>
      <c r="H3" s="1382"/>
      <c r="I3" s="1382"/>
    </row>
    <row r="4" spans="2:9" ht="22.8">
      <c r="B4" s="1441" t="s">
        <v>424</v>
      </c>
      <c r="C4" s="1345" t="s">
        <v>420</v>
      </c>
      <c r="D4" s="1345" t="s">
        <v>441</v>
      </c>
      <c r="E4" s="1346" t="s">
        <v>442</v>
      </c>
      <c r="F4" s="1346" t="s">
        <v>443</v>
      </c>
      <c r="G4" s="1346" t="s">
        <v>423</v>
      </c>
      <c r="H4" s="1345" t="s">
        <v>422</v>
      </c>
      <c r="I4" s="1345" t="s">
        <v>423</v>
      </c>
    </row>
    <row r="5" spans="2:9" ht="13.8" thickBot="1">
      <c r="B5" s="1442" t="s">
        <v>417</v>
      </c>
      <c r="C5" s="1347" t="s">
        <v>2</v>
      </c>
      <c r="D5" s="1347" t="s">
        <v>2</v>
      </c>
      <c r="E5" s="1347" t="s">
        <v>2</v>
      </c>
      <c r="F5" s="1347" t="s">
        <v>2</v>
      </c>
      <c r="G5" s="1347" t="s">
        <v>2</v>
      </c>
      <c r="H5" s="1347" t="s">
        <v>2</v>
      </c>
      <c r="I5" s="1347" t="s">
        <v>2</v>
      </c>
    </row>
    <row r="6" spans="2:9">
      <c r="B6" s="1443" t="s">
        <v>444</v>
      </c>
      <c r="C6" s="1351">
        <v>137394</v>
      </c>
      <c r="D6" s="1351">
        <v>14986</v>
      </c>
      <c r="E6" s="1351">
        <v>1654</v>
      </c>
      <c r="F6" s="1352">
        <v>732</v>
      </c>
      <c r="G6" s="1351">
        <v>17372</v>
      </c>
      <c r="H6" s="1351">
        <v>2155</v>
      </c>
      <c r="I6" s="1444">
        <v>156921</v>
      </c>
    </row>
    <row r="7" spans="2:9">
      <c r="B7" s="1443" t="s">
        <v>445</v>
      </c>
      <c r="C7" s="1351">
        <v>41973</v>
      </c>
      <c r="D7" s="1351">
        <v>10877</v>
      </c>
      <c r="E7" s="1352">
        <v>489</v>
      </c>
      <c r="F7" s="1352">
        <v>448</v>
      </c>
      <c r="G7" s="1351">
        <v>11814</v>
      </c>
      <c r="H7" s="1351">
        <v>3402</v>
      </c>
      <c r="I7" s="1444">
        <v>57189</v>
      </c>
    </row>
    <row r="8" spans="2:9" ht="13.8" thickBot="1">
      <c r="B8" s="1445" t="s">
        <v>446</v>
      </c>
      <c r="C8" s="1356">
        <v>152731</v>
      </c>
      <c r="D8" s="1356">
        <v>11168</v>
      </c>
      <c r="E8" s="1357">
        <v>588</v>
      </c>
      <c r="F8" s="1356">
        <v>701</v>
      </c>
      <c r="G8" s="1356">
        <v>12457</v>
      </c>
      <c r="H8" s="1356">
        <v>2790</v>
      </c>
      <c r="I8" s="1446">
        <v>167978</v>
      </c>
    </row>
    <row r="9" spans="2:9">
      <c r="B9" s="1447" t="s">
        <v>423</v>
      </c>
      <c r="C9" s="1361">
        <v>332098</v>
      </c>
      <c r="D9" s="1361">
        <v>37031</v>
      </c>
      <c r="E9" s="1361">
        <v>2731</v>
      </c>
      <c r="F9" s="1361">
        <v>1881</v>
      </c>
      <c r="G9" s="1361">
        <v>41643</v>
      </c>
      <c r="H9" s="1361">
        <v>8347</v>
      </c>
      <c r="I9" s="1448">
        <v>382088</v>
      </c>
    </row>
    <row r="10" spans="2:9">
      <c r="B10" s="1443"/>
      <c r="C10" s="1449"/>
      <c r="D10" s="1449"/>
      <c r="E10" s="1449"/>
      <c r="F10" s="1449"/>
      <c r="G10" s="1449"/>
      <c r="H10" s="1449"/>
      <c r="I10" s="1352"/>
    </row>
    <row r="11" spans="2:9" ht="13.8" thickBot="1">
      <c r="B11" s="1442" t="s">
        <v>418</v>
      </c>
      <c r="C11" s="1450"/>
      <c r="D11" s="1450"/>
      <c r="E11" s="1450"/>
      <c r="F11" s="1450"/>
      <c r="G11" s="1450"/>
      <c r="H11" s="1450"/>
      <c r="I11" s="1347"/>
    </row>
    <row r="12" spans="2:9">
      <c r="B12" s="1443" t="s">
        <v>444</v>
      </c>
      <c r="C12" s="1352">
        <v>23</v>
      </c>
      <c r="D12" s="1352">
        <v>50</v>
      </c>
      <c r="E12" s="1352">
        <v>19</v>
      </c>
      <c r="F12" s="1352">
        <v>13</v>
      </c>
      <c r="G12" s="1352">
        <v>82</v>
      </c>
      <c r="H12" s="1352">
        <v>358</v>
      </c>
      <c r="I12" s="1451">
        <v>463</v>
      </c>
    </row>
    <row r="13" spans="2:9">
      <c r="B13" s="1443" t="s">
        <v>445</v>
      </c>
      <c r="C13" s="1352">
        <v>665</v>
      </c>
      <c r="D13" s="1351">
        <v>2112</v>
      </c>
      <c r="E13" s="1352">
        <v>253</v>
      </c>
      <c r="F13" s="1352">
        <v>309</v>
      </c>
      <c r="G13" s="1351">
        <v>2674</v>
      </c>
      <c r="H13" s="1351">
        <v>2496</v>
      </c>
      <c r="I13" s="1444">
        <v>5835</v>
      </c>
    </row>
    <row r="14" spans="2:9" ht="13.8" thickBot="1">
      <c r="B14" s="1452" t="s">
        <v>446</v>
      </c>
      <c r="C14" s="1357">
        <v>158</v>
      </c>
      <c r="D14" s="1357">
        <v>555</v>
      </c>
      <c r="E14" s="1357">
        <v>15</v>
      </c>
      <c r="F14" s="1357">
        <v>16</v>
      </c>
      <c r="G14" s="1357">
        <v>586</v>
      </c>
      <c r="H14" s="1357">
        <v>897</v>
      </c>
      <c r="I14" s="1446">
        <v>1641</v>
      </c>
    </row>
    <row r="15" spans="2:9">
      <c r="B15" s="1447" t="s">
        <v>423</v>
      </c>
      <c r="C15" s="1362">
        <v>846</v>
      </c>
      <c r="D15" s="1361">
        <v>2717</v>
      </c>
      <c r="E15" s="1362">
        <v>287</v>
      </c>
      <c r="F15" s="1362">
        <v>338</v>
      </c>
      <c r="G15" s="1361">
        <v>3342</v>
      </c>
      <c r="H15" s="1361">
        <v>3751</v>
      </c>
      <c r="I15" s="1448">
        <v>7939</v>
      </c>
    </row>
    <row r="16" spans="2:9">
      <c r="B16" s="1443"/>
      <c r="C16" s="1449"/>
      <c r="D16" s="1449"/>
      <c r="E16" s="1449"/>
      <c r="F16" s="1449"/>
      <c r="G16" s="1449"/>
      <c r="H16" s="1449"/>
      <c r="I16" s="1352"/>
    </row>
    <row r="17" spans="2:9" ht="13.8" thickBot="1">
      <c r="B17" s="1442" t="s">
        <v>419</v>
      </c>
      <c r="C17" s="1347"/>
      <c r="D17" s="1347"/>
      <c r="E17" s="1347"/>
      <c r="F17" s="1347"/>
      <c r="G17" s="1347"/>
      <c r="H17" s="1347"/>
      <c r="I17" s="1347"/>
    </row>
    <row r="18" spans="2:9">
      <c r="B18" s="1443" t="s">
        <v>444</v>
      </c>
      <c r="C18" s="1351">
        <v>137371</v>
      </c>
      <c r="D18" s="1351">
        <v>14936</v>
      </c>
      <c r="E18" s="1351">
        <v>1635</v>
      </c>
      <c r="F18" s="1352">
        <v>719</v>
      </c>
      <c r="G18" s="1351">
        <v>17290</v>
      </c>
      <c r="H18" s="1351">
        <v>1797</v>
      </c>
      <c r="I18" s="1444">
        <v>156458</v>
      </c>
    </row>
    <row r="19" spans="2:9">
      <c r="B19" s="1443" t="s">
        <v>445</v>
      </c>
      <c r="C19" s="1351">
        <v>41308</v>
      </c>
      <c r="D19" s="1351">
        <v>8765</v>
      </c>
      <c r="E19" s="1352">
        <v>236</v>
      </c>
      <c r="F19" s="1352">
        <v>139</v>
      </c>
      <c r="G19" s="1351">
        <v>9140</v>
      </c>
      <c r="H19" s="1351">
        <v>906</v>
      </c>
      <c r="I19" s="1444">
        <v>51354</v>
      </c>
    </row>
    <row r="20" spans="2:9" ht="13.8" thickBot="1">
      <c r="B20" s="1452" t="s">
        <v>446</v>
      </c>
      <c r="C20" s="1453">
        <v>152573</v>
      </c>
      <c r="D20" s="1453">
        <v>10613</v>
      </c>
      <c r="E20" s="1454">
        <v>573</v>
      </c>
      <c r="F20" s="1453">
        <v>685</v>
      </c>
      <c r="G20" s="1453">
        <v>11871</v>
      </c>
      <c r="H20" s="1453">
        <v>1893</v>
      </c>
      <c r="I20" s="1446">
        <v>166337</v>
      </c>
    </row>
    <row r="21" spans="2:9">
      <c r="B21" s="1447" t="s">
        <v>423</v>
      </c>
      <c r="C21" s="1361">
        <v>331252</v>
      </c>
      <c r="D21" s="1361">
        <v>34314</v>
      </c>
      <c r="E21" s="1361">
        <v>2444</v>
      </c>
      <c r="F21" s="1361">
        <v>1543</v>
      </c>
      <c r="G21" s="1361">
        <v>38301</v>
      </c>
      <c r="H21" s="1361">
        <v>4596</v>
      </c>
      <c r="I21" s="1448">
        <v>374149</v>
      </c>
    </row>
    <row r="22" spans="2:9">
      <c r="B22" s="1443"/>
      <c r="C22" s="1449"/>
      <c r="D22" s="1449"/>
      <c r="E22" s="1449"/>
      <c r="F22" s="1449"/>
      <c r="G22" s="1449"/>
      <c r="H22" s="1449"/>
      <c r="I22" s="1352"/>
    </row>
    <row r="23" spans="2:9" ht="13.8" thickBot="1">
      <c r="B23" s="1442" t="s">
        <v>447</v>
      </c>
      <c r="C23" s="1347" t="s">
        <v>32</v>
      </c>
      <c r="D23" s="1347" t="s">
        <v>32</v>
      </c>
      <c r="E23" s="1347" t="s">
        <v>32</v>
      </c>
      <c r="F23" s="1347" t="s">
        <v>32</v>
      </c>
      <c r="G23" s="1347" t="s">
        <v>32</v>
      </c>
      <c r="H23" s="1347" t="s">
        <v>32</v>
      </c>
      <c r="I23" s="1347" t="s">
        <v>32</v>
      </c>
    </row>
    <row r="24" spans="2:9">
      <c r="B24" s="1443" t="s">
        <v>444</v>
      </c>
      <c r="C24" s="1455" t="s">
        <v>151</v>
      </c>
      <c r="D24" s="1455">
        <v>0.3</v>
      </c>
      <c r="E24" s="1455">
        <v>1.1000000000000001</v>
      </c>
      <c r="F24" s="1455">
        <v>1.8</v>
      </c>
      <c r="G24" s="1455">
        <v>0.5</v>
      </c>
      <c r="H24" s="1455">
        <v>16.600000000000001</v>
      </c>
      <c r="I24" s="1456">
        <v>0.3</v>
      </c>
    </row>
    <row r="25" spans="2:9">
      <c r="B25" s="1443" t="s">
        <v>445</v>
      </c>
      <c r="C25" s="1455">
        <v>1.6</v>
      </c>
      <c r="D25" s="1455">
        <v>19.399999999999999</v>
      </c>
      <c r="E25" s="1455">
        <v>51.7</v>
      </c>
      <c r="F25" s="1455">
        <v>69</v>
      </c>
      <c r="G25" s="1455">
        <v>22.6</v>
      </c>
      <c r="H25" s="1455">
        <v>73.400000000000006</v>
      </c>
      <c r="I25" s="1456">
        <v>10.199999999999999</v>
      </c>
    </row>
    <row r="26" spans="2:9" ht="13.8" thickBot="1">
      <c r="B26" s="1452" t="s">
        <v>446</v>
      </c>
      <c r="C26" s="1457">
        <v>0.1</v>
      </c>
      <c r="D26" s="1457">
        <v>5</v>
      </c>
      <c r="E26" s="1457">
        <v>2.6</v>
      </c>
      <c r="F26" s="1457">
        <v>2.2999999999999998</v>
      </c>
      <c r="G26" s="1457">
        <v>4.7</v>
      </c>
      <c r="H26" s="1457">
        <v>32.200000000000003</v>
      </c>
      <c r="I26" s="1458">
        <v>1</v>
      </c>
    </row>
    <row r="27" spans="2:9">
      <c r="B27" s="1447" t="s">
        <v>423</v>
      </c>
      <c r="C27" s="1459">
        <v>0.3</v>
      </c>
      <c r="D27" s="1459">
        <v>7.3</v>
      </c>
      <c r="E27" s="1459">
        <v>10.5</v>
      </c>
      <c r="F27" s="1459">
        <v>18</v>
      </c>
      <c r="G27" s="1459">
        <v>8</v>
      </c>
      <c r="H27" s="1459">
        <v>44.9</v>
      </c>
      <c r="I27" s="1460">
        <v>2.1</v>
      </c>
    </row>
    <row r="28" spans="2:9">
      <c r="B28" s="1443"/>
      <c r="C28" s="1449"/>
      <c r="D28" s="1449"/>
      <c r="E28" s="1449"/>
      <c r="F28" s="1449"/>
      <c r="G28" s="1449"/>
      <c r="H28" s="1449"/>
      <c r="I28" s="1352"/>
    </row>
    <row r="29" spans="2:9">
      <c r="B29" s="1441" t="s">
        <v>437</v>
      </c>
      <c r="C29" s="1345"/>
      <c r="D29" s="1345"/>
      <c r="E29" s="1345"/>
      <c r="F29" s="1345"/>
      <c r="G29" s="1345"/>
      <c r="H29" s="1345"/>
      <c r="I29" s="1345"/>
    </row>
    <row r="30" spans="2:9" ht="13.8" thickBot="1">
      <c r="B30" s="1442" t="s">
        <v>417</v>
      </c>
      <c r="C30" s="1347" t="s">
        <v>2</v>
      </c>
      <c r="D30" s="1347" t="s">
        <v>2</v>
      </c>
      <c r="E30" s="1347" t="s">
        <v>2</v>
      </c>
      <c r="F30" s="1347" t="s">
        <v>2</v>
      </c>
      <c r="G30" s="1347" t="s">
        <v>2</v>
      </c>
      <c r="H30" s="1347" t="s">
        <v>2</v>
      </c>
      <c r="I30" s="1347" t="s">
        <v>2</v>
      </c>
    </row>
    <row r="31" spans="2:9">
      <c r="B31" s="1443" t="s">
        <v>444</v>
      </c>
      <c r="C31" s="1351">
        <v>135713</v>
      </c>
      <c r="D31" s="1351">
        <v>14733</v>
      </c>
      <c r="E31" s="1351">
        <v>1585</v>
      </c>
      <c r="F31" s="1352">
        <v>725</v>
      </c>
      <c r="G31" s="1351">
        <v>17043</v>
      </c>
      <c r="H31" s="1351">
        <v>2155</v>
      </c>
      <c r="I31" s="1444">
        <v>154911</v>
      </c>
    </row>
    <row r="32" spans="2:9">
      <c r="B32" s="1443" t="s">
        <v>445</v>
      </c>
      <c r="C32" s="1351">
        <v>46012</v>
      </c>
      <c r="D32" s="1351">
        <v>9759</v>
      </c>
      <c r="E32" s="1352">
        <v>496</v>
      </c>
      <c r="F32" s="1352">
        <v>504</v>
      </c>
      <c r="G32" s="1351">
        <v>10759</v>
      </c>
      <c r="H32" s="1351">
        <v>3409</v>
      </c>
      <c r="I32" s="1444">
        <v>60180</v>
      </c>
    </row>
    <row r="33" spans="2:9" ht="13.8" thickBot="1">
      <c r="B33" s="1445" t="s">
        <v>446</v>
      </c>
      <c r="C33" s="1356">
        <v>117541</v>
      </c>
      <c r="D33" s="1356">
        <v>9374</v>
      </c>
      <c r="E33" s="1357">
        <v>374</v>
      </c>
      <c r="F33" s="1357">
        <v>684</v>
      </c>
      <c r="G33" s="1356">
        <v>10432</v>
      </c>
      <c r="H33" s="1356">
        <v>2359</v>
      </c>
      <c r="I33" s="1461">
        <v>130332</v>
      </c>
    </row>
    <row r="34" spans="2:9">
      <c r="B34" s="1447" t="s">
        <v>423</v>
      </c>
      <c r="C34" s="1361">
        <v>299266</v>
      </c>
      <c r="D34" s="1361">
        <v>33866</v>
      </c>
      <c r="E34" s="1361">
        <v>2455</v>
      </c>
      <c r="F34" s="1361">
        <v>1913</v>
      </c>
      <c r="G34" s="1361">
        <v>38234</v>
      </c>
      <c r="H34" s="1361">
        <v>7923</v>
      </c>
      <c r="I34" s="1448">
        <v>345423</v>
      </c>
    </row>
    <row r="35" spans="2:9">
      <c r="B35" s="1443"/>
      <c r="C35" s="1449"/>
      <c r="D35" s="1449"/>
      <c r="E35" s="1449"/>
      <c r="F35" s="1449"/>
      <c r="G35" s="1449"/>
      <c r="H35" s="1449"/>
      <c r="I35" s="1352"/>
    </row>
    <row r="36" spans="2:9" ht="13.8" thickBot="1">
      <c r="B36" s="1442" t="s">
        <v>418</v>
      </c>
      <c r="C36" s="1450"/>
      <c r="D36" s="1450"/>
      <c r="E36" s="1450"/>
      <c r="F36" s="1450"/>
      <c r="G36" s="1450"/>
      <c r="H36" s="1450"/>
      <c r="I36" s="1450"/>
    </row>
    <row r="37" spans="2:9">
      <c r="B37" s="1443" t="s">
        <v>444</v>
      </c>
      <c r="C37" s="1352">
        <v>22</v>
      </c>
      <c r="D37" s="1352">
        <v>37</v>
      </c>
      <c r="E37" s="1352">
        <v>14</v>
      </c>
      <c r="F37" s="1352">
        <v>13</v>
      </c>
      <c r="G37" s="1352">
        <v>64</v>
      </c>
      <c r="H37" s="1352">
        <v>346</v>
      </c>
      <c r="I37" s="1451">
        <v>432</v>
      </c>
    </row>
    <row r="38" spans="2:9">
      <c r="B38" s="1443" t="s">
        <v>445</v>
      </c>
      <c r="C38" s="1352">
        <v>542</v>
      </c>
      <c r="D38" s="1351">
        <v>1597</v>
      </c>
      <c r="E38" s="1352">
        <v>159</v>
      </c>
      <c r="F38" s="1352">
        <v>251</v>
      </c>
      <c r="G38" s="1351">
        <v>2007</v>
      </c>
      <c r="H38" s="1351">
        <v>2335</v>
      </c>
      <c r="I38" s="1444">
        <v>4884</v>
      </c>
    </row>
    <row r="39" spans="2:9" ht="13.8" thickBot="1">
      <c r="B39" s="1452" t="s">
        <v>446</v>
      </c>
      <c r="C39" s="1454">
        <v>143</v>
      </c>
      <c r="D39" s="1454">
        <v>284</v>
      </c>
      <c r="E39" s="1454">
        <v>9</v>
      </c>
      <c r="F39" s="1454">
        <v>9</v>
      </c>
      <c r="G39" s="1454">
        <v>302</v>
      </c>
      <c r="H39" s="1454">
        <v>547</v>
      </c>
      <c r="I39" s="1462">
        <v>992</v>
      </c>
    </row>
    <row r="40" spans="2:9">
      <c r="B40" s="1447" t="s">
        <v>423</v>
      </c>
      <c r="C40" s="1362">
        <v>707</v>
      </c>
      <c r="D40" s="1361">
        <v>1918</v>
      </c>
      <c r="E40" s="1362">
        <v>182</v>
      </c>
      <c r="F40" s="1362">
        <v>273</v>
      </c>
      <c r="G40" s="1361">
        <v>2373</v>
      </c>
      <c r="H40" s="1361">
        <v>3228</v>
      </c>
      <c r="I40" s="1448">
        <v>6308</v>
      </c>
    </row>
    <row r="41" spans="2:9">
      <c r="B41" s="1443"/>
      <c r="C41" s="1449"/>
      <c r="D41" s="1449"/>
      <c r="E41" s="1449"/>
      <c r="F41" s="1449"/>
      <c r="G41" s="1449"/>
      <c r="H41" s="1449"/>
      <c r="I41" s="1352"/>
    </row>
    <row r="42" spans="2:9" ht="13.8" thickBot="1">
      <c r="B42" s="1442" t="s">
        <v>419</v>
      </c>
      <c r="C42" s="1347"/>
      <c r="D42" s="1347"/>
      <c r="E42" s="1347"/>
      <c r="F42" s="1347"/>
      <c r="G42" s="1347"/>
      <c r="H42" s="1347"/>
      <c r="I42" s="1347"/>
    </row>
    <row r="43" spans="2:9">
      <c r="B43" s="1443" t="s">
        <v>444</v>
      </c>
      <c r="C43" s="1351">
        <v>135691</v>
      </c>
      <c r="D43" s="1351">
        <v>14696</v>
      </c>
      <c r="E43" s="1351">
        <v>1571</v>
      </c>
      <c r="F43" s="1352">
        <v>712</v>
      </c>
      <c r="G43" s="1351">
        <v>16979</v>
      </c>
      <c r="H43" s="1351">
        <v>1809</v>
      </c>
      <c r="I43" s="1444">
        <v>154479</v>
      </c>
    </row>
    <row r="44" spans="2:9">
      <c r="B44" s="1443" t="s">
        <v>445</v>
      </c>
      <c r="C44" s="1351">
        <v>45470</v>
      </c>
      <c r="D44" s="1351">
        <v>8162</v>
      </c>
      <c r="E44" s="1352">
        <v>337</v>
      </c>
      <c r="F44" s="1352">
        <v>253</v>
      </c>
      <c r="G44" s="1351">
        <v>8752</v>
      </c>
      <c r="H44" s="1351">
        <v>1074</v>
      </c>
      <c r="I44" s="1444">
        <v>55296</v>
      </c>
    </row>
    <row r="45" spans="2:9" ht="13.8" thickBot="1">
      <c r="B45" s="1452" t="s">
        <v>446</v>
      </c>
      <c r="C45" s="1453">
        <v>117398</v>
      </c>
      <c r="D45" s="1453">
        <v>9090</v>
      </c>
      <c r="E45" s="1454">
        <v>365</v>
      </c>
      <c r="F45" s="1454">
        <v>675</v>
      </c>
      <c r="G45" s="1453">
        <v>10130</v>
      </c>
      <c r="H45" s="1453">
        <v>1812</v>
      </c>
      <c r="I45" s="1446">
        <v>129340</v>
      </c>
    </row>
    <row r="46" spans="2:9">
      <c r="B46" s="1447" t="s">
        <v>423</v>
      </c>
      <c r="C46" s="1361">
        <v>298559</v>
      </c>
      <c r="D46" s="1361">
        <v>31948</v>
      </c>
      <c r="E46" s="1361">
        <v>2273</v>
      </c>
      <c r="F46" s="1361">
        <v>1640</v>
      </c>
      <c r="G46" s="1361">
        <v>35861</v>
      </c>
      <c r="H46" s="1361">
        <v>4695</v>
      </c>
      <c r="I46" s="1448">
        <v>339115</v>
      </c>
    </row>
    <row r="47" spans="2:9">
      <c r="B47" s="1443"/>
      <c r="C47" s="1449"/>
      <c r="D47" s="1449"/>
      <c r="E47" s="1449"/>
      <c r="F47" s="1449"/>
      <c r="G47" s="1449"/>
      <c r="H47" s="1449"/>
      <c r="I47" s="1373"/>
    </row>
    <row r="48" spans="2:9" ht="13.8" thickBot="1">
      <c r="B48" s="1442" t="s">
        <v>447</v>
      </c>
      <c r="C48" s="1347" t="s">
        <v>32</v>
      </c>
      <c r="D48" s="1347" t="s">
        <v>32</v>
      </c>
      <c r="E48" s="1347" t="s">
        <v>32</v>
      </c>
      <c r="F48" s="1347" t="s">
        <v>32</v>
      </c>
      <c r="G48" s="1347" t="s">
        <v>32</v>
      </c>
      <c r="H48" s="1347" t="s">
        <v>32</v>
      </c>
      <c r="I48" s="1347" t="s">
        <v>32</v>
      </c>
    </row>
    <row r="49" spans="2:9">
      <c r="B49" s="1443" t="s">
        <v>444</v>
      </c>
      <c r="C49" s="1455" t="s">
        <v>151</v>
      </c>
      <c r="D49" s="1455">
        <v>0.3</v>
      </c>
      <c r="E49" s="1455">
        <v>0.9</v>
      </c>
      <c r="F49" s="1455">
        <v>1.8</v>
      </c>
      <c r="G49" s="1455">
        <v>0.4</v>
      </c>
      <c r="H49" s="1455">
        <v>16.100000000000001</v>
      </c>
      <c r="I49" s="1456">
        <v>0.3</v>
      </c>
    </row>
    <row r="50" spans="2:9">
      <c r="B50" s="1443" t="s">
        <v>445</v>
      </c>
      <c r="C50" s="1455">
        <v>1.2</v>
      </c>
      <c r="D50" s="1455">
        <v>16.399999999999999</v>
      </c>
      <c r="E50" s="1455">
        <v>32.1</v>
      </c>
      <c r="F50" s="1455">
        <v>49.8</v>
      </c>
      <c r="G50" s="1455">
        <v>18.7</v>
      </c>
      <c r="H50" s="1455">
        <v>68.5</v>
      </c>
      <c r="I50" s="1456">
        <v>8.1</v>
      </c>
    </row>
    <row r="51" spans="2:9" ht="13.8" thickBot="1">
      <c r="B51" s="1445" t="s">
        <v>446</v>
      </c>
      <c r="C51" s="1463">
        <v>0.1</v>
      </c>
      <c r="D51" s="1463">
        <v>3</v>
      </c>
      <c r="E51" s="1463">
        <v>2.4</v>
      </c>
      <c r="F51" s="1463">
        <v>1.3</v>
      </c>
      <c r="G51" s="1463">
        <v>2.9</v>
      </c>
      <c r="H51" s="1463">
        <v>23.2</v>
      </c>
      <c r="I51" s="1464">
        <v>0.8</v>
      </c>
    </row>
    <row r="52" spans="2:9" ht="13.8" thickBot="1">
      <c r="B52" s="1465" t="s">
        <v>423</v>
      </c>
      <c r="C52" s="1466">
        <v>0.2</v>
      </c>
      <c r="D52" s="1466">
        <v>5.7</v>
      </c>
      <c r="E52" s="1466">
        <v>7.4</v>
      </c>
      <c r="F52" s="1466">
        <v>14.3</v>
      </c>
      <c r="G52" s="1466">
        <v>6.2</v>
      </c>
      <c r="H52" s="1466">
        <v>40.700000000000003</v>
      </c>
      <c r="I52" s="1467">
        <v>1.8</v>
      </c>
    </row>
  </sheetData>
  <mergeCells count="1">
    <mergeCell ref="D3:G3"/>
  </mergeCells>
  <pageMargins left="0.7" right="0.7" top="0.75" bottom="0.75" header="0.3" footer="0.3"/>
  <pageSetup paperSize="9" scale="8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31"/>
  <sheetViews>
    <sheetView showGridLines="0" view="pageBreakPreview" zoomScale="85" zoomScaleNormal="80" zoomScaleSheetLayoutView="85" workbookViewId="0"/>
  </sheetViews>
  <sheetFormatPr defaultColWidth="9.109375" defaultRowHeight="13.2"/>
  <cols>
    <col min="1" max="1" width="5" style="82" customWidth="1"/>
    <col min="2" max="2" width="33.6640625" style="82" customWidth="1"/>
    <col min="3" max="7" width="12.77734375" style="82" customWidth="1"/>
    <col min="8" max="16384" width="9.109375" style="82"/>
  </cols>
  <sheetData>
    <row r="1" spans="1:7">
      <c r="A1" s="1468"/>
      <c r="B1" s="1468"/>
      <c r="C1" s="1468"/>
      <c r="D1" s="1468"/>
      <c r="E1" s="1468"/>
      <c r="F1" s="1468"/>
      <c r="G1" s="1468"/>
    </row>
    <row r="2" spans="1:7" ht="15.75" customHeight="1">
      <c r="A2" s="1468"/>
      <c r="B2" s="1636" t="s">
        <v>448</v>
      </c>
      <c r="C2" s="1636"/>
      <c r="D2" s="1636"/>
      <c r="E2" s="1636"/>
      <c r="F2" s="1636"/>
      <c r="G2" s="1636"/>
    </row>
    <row r="3" spans="1:7" ht="22.8">
      <c r="A3" s="1468"/>
      <c r="B3" s="1469"/>
      <c r="C3" s="1470"/>
      <c r="D3" s="1470"/>
      <c r="E3" s="1471">
        <v>2020</v>
      </c>
      <c r="F3" s="1471">
        <v>2021</v>
      </c>
      <c r="G3" s="1471" t="s">
        <v>449</v>
      </c>
    </row>
    <row r="4" spans="1:7" ht="15" customHeight="1" thickBot="1">
      <c r="B4" s="1472" t="s">
        <v>424</v>
      </c>
      <c r="C4" s="1473"/>
      <c r="D4" s="1473"/>
      <c r="E4" s="1474" t="s">
        <v>450</v>
      </c>
      <c r="F4" s="1474" t="s">
        <v>450</v>
      </c>
      <c r="G4" s="1474" t="s">
        <v>450</v>
      </c>
    </row>
    <row r="5" spans="1:7" ht="11.85" customHeight="1">
      <c r="B5" s="1475" t="s">
        <v>451</v>
      </c>
      <c r="C5" s="1476"/>
      <c r="D5" s="1476"/>
      <c r="E5" s="1477">
        <v>-8</v>
      </c>
      <c r="F5" s="1477">
        <v>6.3</v>
      </c>
      <c r="G5" s="1477">
        <v>-51.5</v>
      </c>
    </row>
    <row r="6" spans="1:7" ht="11.85" customHeight="1">
      <c r="B6" s="1478" t="s">
        <v>452</v>
      </c>
      <c r="C6" s="1476"/>
      <c r="D6" s="1476"/>
      <c r="E6" s="1477">
        <v>6.7</v>
      </c>
      <c r="F6" s="1477">
        <v>4.5</v>
      </c>
      <c r="G6" s="1477">
        <v>8</v>
      </c>
    </row>
    <row r="7" spans="1:7" ht="11.85" customHeight="1">
      <c r="B7" s="1478" t="s">
        <v>453</v>
      </c>
      <c r="C7" s="1476"/>
      <c r="D7" s="1476"/>
      <c r="E7" s="1477">
        <v>-3.5</v>
      </c>
      <c r="F7" s="1477">
        <v>2.6</v>
      </c>
      <c r="G7" s="1477">
        <v>-6.5</v>
      </c>
    </row>
    <row r="8" spans="1:7" ht="15" customHeight="1">
      <c r="B8" s="1478" t="s">
        <v>454</v>
      </c>
      <c r="C8" s="1476"/>
      <c r="D8" s="1476"/>
      <c r="E8" s="1479">
        <v>0.1</v>
      </c>
      <c r="F8" s="1479">
        <v>0.3</v>
      </c>
      <c r="G8" s="1479">
        <v>0.1</v>
      </c>
    </row>
    <row r="9" spans="1:7">
      <c r="B9" s="1478" t="s">
        <v>455</v>
      </c>
      <c r="C9" s="1476"/>
      <c r="D9" s="1476"/>
      <c r="E9" s="1477">
        <v>-6.4</v>
      </c>
      <c r="F9" s="1477">
        <v>4.4000000000000004</v>
      </c>
      <c r="G9" s="1477">
        <v>-45</v>
      </c>
    </row>
    <row r="10" spans="1:7">
      <c r="B10" s="1478" t="s">
        <v>456</v>
      </c>
      <c r="C10" s="1476"/>
      <c r="D10" s="1476"/>
      <c r="E10" s="1477">
        <v>12.9</v>
      </c>
      <c r="F10" s="1477">
        <v>7.5</v>
      </c>
      <c r="G10" s="1477">
        <v>17</v>
      </c>
    </row>
    <row r="11" spans="1:7">
      <c r="B11" s="1478" t="s">
        <v>457</v>
      </c>
      <c r="C11" s="1476"/>
      <c r="D11" s="1476"/>
      <c r="E11" s="1477" t="s">
        <v>151</v>
      </c>
      <c r="F11" s="1477">
        <v>0.7</v>
      </c>
      <c r="G11" s="1477">
        <v>-0.3</v>
      </c>
    </row>
    <row r="12" spans="1:7">
      <c r="B12" s="1478" t="s">
        <v>458</v>
      </c>
      <c r="C12" s="1476"/>
      <c r="D12" s="1476"/>
      <c r="E12" s="1479">
        <v>0.25</v>
      </c>
      <c r="F12" s="1479">
        <v>0.25</v>
      </c>
      <c r="G12" s="1479">
        <v>0.25</v>
      </c>
    </row>
    <row r="13" spans="1:7">
      <c r="B13" s="1478"/>
      <c r="C13" s="1480"/>
      <c r="D13" s="1480"/>
      <c r="E13" s="1480"/>
      <c r="F13" s="1480"/>
      <c r="G13" s="1480"/>
    </row>
    <row r="14" spans="1:7" ht="14.4">
      <c r="B14" s="1481" t="s">
        <v>459</v>
      </c>
      <c r="C14" s="1443"/>
      <c r="D14" s="1443"/>
      <c r="E14" s="1443"/>
      <c r="F14" s="1443"/>
      <c r="G14" s="1443"/>
    </row>
    <row r="15" spans="1:7">
      <c r="B15" s="1386"/>
      <c r="C15" s="1345" t="s">
        <v>460</v>
      </c>
      <c r="D15" s="1345" t="s">
        <v>461</v>
      </c>
      <c r="E15" s="1345" t="s">
        <v>462</v>
      </c>
      <c r="F15" s="1345" t="s">
        <v>463</v>
      </c>
      <c r="G15" s="1345" t="s">
        <v>464</v>
      </c>
    </row>
    <row r="16" spans="1:7" ht="13.8" thickBot="1">
      <c r="B16" s="1389" t="s">
        <v>424</v>
      </c>
      <c r="C16" s="1347" t="s">
        <v>450</v>
      </c>
      <c r="D16" s="1347" t="s">
        <v>450</v>
      </c>
      <c r="E16" s="1347" t="s">
        <v>450</v>
      </c>
      <c r="F16" s="1347" t="s">
        <v>450</v>
      </c>
      <c r="G16" s="1347" t="s">
        <v>450</v>
      </c>
    </row>
    <row r="17" spans="2:10">
      <c r="B17" s="1391" t="s">
        <v>459</v>
      </c>
      <c r="C17" s="1412">
        <v>5</v>
      </c>
      <c r="D17" s="1412">
        <v>20.8</v>
      </c>
      <c r="E17" s="1412">
        <v>46.7</v>
      </c>
      <c r="F17" s="1412">
        <v>21</v>
      </c>
      <c r="G17" s="1412">
        <v>6.5</v>
      </c>
    </row>
    <row r="18" spans="2:10">
      <c r="B18" s="1391"/>
      <c r="C18" s="1455"/>
      <c r="D18" s="1455"/>
      <c r="E18" s="1455"/>
      <c r="F18" s="1455"/>
      <c r="G18" s="1455"/>
    </row>
    <row r="19" spans="2:10" ht="13.8" thickBot="1">
      <c r="B19" s="1389" t="s">
        <v>437</v>
      </c>
      <c r="C19" s="1482"/>
      <c r="D19" s="1482"/>
      <c r="E19" s="1482"/>
      <c r="F19" s="1482"/>
      <c r="G19" s="1482"/>
    </row>
    <row r="20" spans="2:10">
      <c r="B20" s="1391" t="s">
        <v>459</v>
      </c>
      <c r="C20" s="1455">
        <v>10.1</v>
      </c>
      <c r="D20" s="1455">
        <v>23.1</v>
      </c>
      <c r="E20" s="1455">
        <v>40.799999999999997</v>
      </c>
      <c r="F20" s="1455">
        <v>22.7</v>
      </c>
      <c r="G20" s="1455">
        <v>3.3</v>
      </c>
    </row>
    <row r="29" spans="2:10">
      <c r="B29" s="1483"/>
      <c r="C29" s="1484"/>
      <c r="D29" s="1484"/>
      <c r="E29" s="1484"/>
      <c r="F29" s="1484"/>
      <c r="G29" s="1484"/>
      <c r="H29" s="1484"/>
      <c r="I29" s="1484"/>
      <c r="J29" s="1484"/>
    </row>
    <row r="30" spans="2:10">
      <c r="B30" s="1485"/>
      <c r="C30" s="1484"/>
      <c r="D30" s="1484"/>
      <c r="E30" s="1484"/>
      <c r="F30" s="1484"/>
      <c r="G30" s="1484"/>
      <c r="H30" s="1484"/>
      <c r="I30" s="1484"/>
      <c r="J30" s="1484"/>
    </row>
    <row r="31" spans="2:10">
      <c r="B31" s="1485"/>
      <c r="C31" s="1484"/>
      <c r="D31" s="1484"/>
      <c r="E31" s="1484"/>
      <c r="F31" s="1484"/>
      <c r="G31" s="1484"/>
      <c r="H31" s="1484"/>
      <c r="I31" s="1484"/>
      <c r="J31" s="1484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colBreaks count="1" manualBreakCount="1">
    <brk id="7" min="1" max="27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13"/>
  <sheetViews>
    <sheetView showGridLines="0" view="pageBreakPreview" zoomScale="115" zoomScaleNormal="80" zoomScaleSheetLayoutView="115" workbookViewId="0"/>
  </sheetViews>
  <sheetFormatPr defaultColWidth="9.109375" defaultRowHeight="13.2"/>
  <cols>
    <col min="1" max="1" width="5" style="82" customWidth="1"/>
    <col min="2" max="2" width="56.77734375" style="82" customWidth="1"/>
    <col min="3" max="3" width="13.33203125" style="82" customWidth="1"/>
    <col min="4" max="8" width="9.109375" style="82" customWidth="1"/>
    <col min="9" max="16384" width="9.109375" style="82"/>
  </cols>
  <sheetData>
    <row r="1" spans="1:11">
      <c r="A1" s="1486"/>
      <c r="B1" s="1486"/>
      <c r="C1" s="1486"/>
      <c r="D1" s="1486"/>
      <c r="E1" s="1468"/>
      <c r="F1" s="1468"/>
      <c r="G1" s="1468"/>
      <c r="H1" s="1468"/>
    </row>
    <row r="2" spans="1:11" ht="14.4">
      <c r="B2" s="1368" t="s">
        <v>465</v>
      </c>
      <c r="C2" s="1368"/>
      <c r="D2" s="1487"/>
      <c r="E2" s="1352"/>
      <c r="F2" s="1352"/>
      <c r="G2" s="1352"/>
      <c r="H2" s="1352"/>
    </row>
    <row r="3" spans="1:11" ht="15.6">
      <c r="B3" s="1488"/>
      <c r="C3" s="1488"/>
      <c r="D3" s="1487"/>
    </row>
    <row r="4" spans="1:11" ht="13.8" thickBot="1">
      <c r="B4" s="1489" t="s">
        <v>405</v>
      </c>
      <c r="C4" s="1489"/>
      <c r="D4" s="1490" t="s">
        <v>2</v>
      </c>
    </row>
    <row r="5" spans="1:11">
      <c r="B5" s="1491" t="s">
        <v>466</v>
      </c>
      <c r="C5" s="1491"/>
      <c r="D5" s="1492">
        <v>370</v>
      </c>
    </row>
    <row r="6" spans="1:11" ht="13.8" thickBot="1">
      <c r="B6" s="1363" t="s">
        <v>467</v>
      </c>
      <c r="C6" s="1363"/>
      <c r="D6" s="1493">
        <v>405</v>
      </c>
    </row>
    <row r="7" spans="1:11">
      <c r="B7" s="1366" t="s">
        <v>468</v>
      </c>
      <c r="C7" s="1366"/>
      <c r="D7" s="1494">
        <v>775</v>
      </c>
    </row>
    <row r="8" spans="1:11">
      <c r="B8" s="1348"/>
      <c r="C8" s="1348"/>
      <c r="D8" s="1495"/>
    </row>
    <row r="9" spans="1:11">
      <c r="B9" s="1491" t="s">
        <v>469</v>
      </c>
      <c r="C9" s="1491"/>
      <c r="D9" s="1492">
        <v>1190</v>
      </c>
    </row>
    <row r="10" spans="1:11">
      <c r="B10" s="1491" t="s">
        <v>470</v>
      </c>
      <c r="C10" s="1491"/>
      <c r="D10" s="1492">
        <v>300</v>
      </c>
    </row>
    <row r="11" spans="1:11" ht="13.8" thickBot="1">
      <c r="B11" s="1363" t="s">
        <v>471</v>
      </c>
      <c r="C11" s="1363"/>
      <c r="D11" s="1493">
        <v>-150</v>
      </c>
      <c r="E11" s="1484"/>
      <c r="F11" s="1484"/>
      <c r="G11" s="1484"/>
      <c r="H11" s="1484"/>
      <c r="I11" s="1484"/>
      <c r="J11" s="1484"/>
      <c r="K11" s="1484"/>
    </row>
    <row r="12" spans="1:11">
      <c r="B12" s="1366" t="s">
        <v>472</v>
      </c>
      <c r="C12" s="1366"/>
      <c r="D12" s="1494">
        <v>2115</v>
      </c>
      <c r="E12" s="1484"/>
      <c r="F12" s="1484"/>
      <c r="G12" s="1484"/>
      <c r="H12" s="1484"/>
      <c r="I12" s="1484"/>
      <c r="J12" s="1484"/>
      <c r="K12" s="1484"/>
    </row>
    <row r="13" spans="1:11">
      <c r="B13" s="1485"/>
      <c r="C13" s="1485"/>
      <c r="D13" s="1484"/>
      <c r="E13" s="1484"/>
      <c r="F13" s="1484"/>
      <c r="G13" s="1484"/>
      <c r="H13" s="1484"/>
      <c r="I13" s="1484"/>
      <c r="J13" s="1484"/>
      <c r="K13" s="1484"/>
    </row>
  </sheetData>
  <pageMargins left="0.70866141732283472" right="0.70866141732283472" top="0.74803149606299213" bottom="0.74803149606299213" header="0.31496062992125984" footer="0.31496062992125984"/>
  <pageSetup paperSize="9" scale="74" orientation="portrait" r:id="rId1"/>
  <colBreaks count="1" manualBreakCount="1">
    <brk id="4" min="1" max="11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H24"/>
  <sheetViews>
    <sheetView showGridLines="0" view="pageBreakPreview" zoomScale="60" zoomScaleNormal="80" workbookViewId="0">
      <selection activeCell="D10" sqref="D10"/>
    </sheetView>
  </sheetViews>
  <sheetFormatPr defaultColWidth="9.109375" defaultRowHeight="13.2"/>
  <cols>
    <col min="1" max="1" width="5.109375" style="82" customWidth="1"/>
    <col min="2" max="2" width="43.21875" style="82" customWidth="1"/>
    <col min="3" max="3" width="1.33203125" style="82" customWidth="1"/>
    <col min="4" max="8" width="12.77734375" style="82" customWidth="1"/>
    <col min="9" max="16384" width="9.109375" style="82"/>
  </cols>
  <sheetData>
    <row r="2" spans="2:8" ht="15.75" customHeight="1">
      <c r="B2" s="1637" t="s">
        <v>473</v>
      </c>
      <c r="C2" s="1637"/>
      <c r="D2" s="1637"/>
      <c r="E2" s="1637"/>
      <c r="F2" s="1637"/>
      <c r="G2" s="1637"/>
      <c r="H2" s="1637"/>
    </row>
    <row r="3" spans="2:8" ht="12" customHeight="1">
      <c r="B3" s="1496"/>
      <c r="C3" s="1496"/>
      <c r="D3" s="1470"/>
      <c r="E3" s="1496"/>
      <c r="F3" s="1496"/>
      <c r="G3" s="1496"/>
      <c r="H3" s="1470"/>
    </row>
    <row r="4" spans="2:8" ht="12" customHeight="1" thickBot="1">
      <c r="B4" s="1496"/>
      <c r="C4" s="1496"/>
      <c r="D4" s="1638" t="s">
        <v>424</v>
      </c>
      <c r="E4" s="1638"/>
      <c r="F4" s="1638"/>
      <c r="G4" s="1638"/>
      <c r="H4" s="1497" t="s">
        <v>437</v>
      </c>
    </row>
    <row r="5" spans="2:8" ht="12" customHeight="1" thickBot="1">
      <c r="B5" s="1498"/>
      <c r="C5" s="1499"/>
      <c r="D5" s="1639" t="s">
        <v>474</v>
      </c>
      <c r="E5" s="1641" t="s">
        <v>475</v>
      </c>
      <c r="F5" s="1641"/>
      <c r="G5" s="1641"/>
      <c r="H5" s="1639" t="s">
        <v>474</v>
      </c>
    </row>
    <row r="6" spans="2:8" ht="12" customHeight="1">
      <c r="B6" s="1499"/>
      <c r="C6" s="1499"/>
      <c r="D6" s="1640"/>
      <c r="E6" s="1500" t="s">
        <v>476</v>
      </c>
      <c r="F6" s="1501" t="s">
        <v>477</v>
      </c>
      <c r="G6" s="1501" t="s">
        <v>478</v>
      </c>
      <c r="H6" s="1642"/>
    </row>
    <row r="7" spans="2:8" ht="12" customHeight="1" thickBot="1">
      <c r="B7" s="1502"/>
      <c r="C7" s="1503"/>
      <c r="D7" s="1504" t="s">
        <v>150</v>
      </c>
      <c r="E7" s="1504" t="s">
        <v>150</v>
      </c>
      <c r="F7" s="1504" t="s">
        <v>150</v>
      </c>
      <c r="G7" s="1504" t="s">
        <v>150</v>
      </c>
      <c r="H7" s="1504" t="s">
        <v>150</v>
      </c>
    </row>
    <row r="8" spans="2:8" ht="12" customHeight="1">
      <c r="B8" s="1505" t="s">
        <v>479</v>
      </c>
      <c r="C8" s="1505"/>
      <c r="D8" s="1506">
        <v>157</v>
      </c>
      <c r="E8" s="1506">
        <v>154</v>
      </c>
      <c r="F8" s="1506" t="s">
        <v>151</v>
      </c>
      <c r="G8" s="1506" t="s">
        <v>151</v>
      </c>
      <c r="H8" s="1507">
        <v>153</v>
      </c>
    </row>
    <row r="9" spans="2:8" ht="12" customHeight="1">
      <c r="B9" s="1508"/>
      <c r="C9" s="1508"/>
      <c r="D9" s="1348"/>
      <c r="E9" s="1348"/>
      <c r="F9" s="1348"/>
      <c r="G9" s="1348"/>
      <c r="H9" s="1348"/>
    </row>
    <row r="10" spans="2:8" ht="12" customHeight="1">
      <c r="B10" s="1505" t="s">
        <v>480</v>
      </c>
      <c r="C10" s="1509"/>
      <c r="D10" s="1491"/>
      <c r="E10" s="1491"/>
      <c r="F10" s="1491"/>
      <c r="G10" s="1491"/>
      <c r="H10" s="1491"/>
    </row>
    <row r="11" spans="2:8" ht="12.75" customHeight="1">
      <c r="B11" s="1509" t="s">
        <v>481</v>
      </c>
      <c r="C11" s="1509"/>
      <c r="D11" s="1367">
        <v>43</v>
      </c>
      <c r="E11" s="1367" t="s">
        <v>151</v>
      </c>
      <c r="F11" s="1367">
        <v>38</v>
      </c>
      <c r="G11" s="1367">
        <v>1</v>
      </c>
      <c r="H11" s="1373">
        <v>31</v>
      </c>
    </row>
    <row r="12" spans="2:8" ht="12.75" customHeight="1">
      <c r="B12" s="1509" t="s">
        <v>482</v>
      </c>
      <c r="C12" s="1509"/>
      <c r="D12" s="1367">
        <v>14</v>
      </c>
      <c r="E12" s="1367" t="s">
        <v>151</v>
      </c>
      <c r="F12" s="1367">
        <v>7</v>
      </c>
      <c r="G12" s="1367">
        <v>6</v>
      </c>
      <c r="H12" s="1373">
        <v>2</v>
      </c>
    </row>
    <row r="13" spans="2:8" ht="12.75" customHeight="1" thickBot="1">
      <c r="B13" s="1510" t="s">
        <v>483</v>
      </c>
      <c r="C13" s="1510"/>
      <c r="D13" s="1394">
        <v>4</v>
      </c>
      <c r="E13" s="1394" t="s">
        <v>151</v>
      </c>
      <c r="F13" s="1394">
        <v>4</v>
      </c>
      <c r="G13" s="1394" t="s">
        <v>151</v>
      </c>
      <c r="H13" s="1393">
        <v>3</v>
      </c>
    </row>
    <row r="14" spans="2:8" ht="12.75" customHeight="1">
      <c r="B14" s="1511" t="s">
        <v>484</v>
      </c>
      <c r="C14" s="1478"/>
      <c r="D14" s="1360">
        <v>61</v>
      </c>
      <c r="E14" s="1360" t="s">
        <v>151</v>
      </c>
      <c r="F14" s="1360">
        <v>49</v>
      </c>
      <c r="G14" s="1360">
        <v>7</v>
      </c>
      <c r="H14" s="1379">
        <v>36</v>
      </c>
    </row>
    <row r="15" spans="2:8" ht="12" customHeight="1">
      <c r="B15" s="1509"/>
      <c r="C15" s="1509"/>
      <c r="D15" s="1491"/>
      <c r="E15" s="1491"/>
      <c r="F15" s="1491"/>
      <c r="G15" s="1491"/>
      <c r="H15" s="1491"/>
    </row>
    <row r="16" spans="2:8" ht="12" customHeight="1">
      <c r="B16" s="1499" t="s">
        <v>409</v>
      </c>
      <c r="C16" s="1508"/>
      <c r="D16" s="1348"/>
      <c r="E16" s="1348"/>
      <c r="F16" s="1348"/>
      <c r="G16" s="1348"/>
      <c r="H16" s="1348"/>
    </row>
    <row r="17" spans="2:8" ht="12.75" customHeight="1">
      <c r="B17" s="1509" t="s">
        <v>485</v>
      </c>
      <c r="C17" s="1509"/>
      <c r="D17" s="1367">
        <v>8</v>
      </c>
      <c r="E17" s="1367" t="s">
        <v>151</v>
      </c>
      <c r="F17" s="1367">
        <v>7</v>
      </c>
      <c r="G17" s="1367">
        <v>1</v>
      </c>
      <c r="H17" s="1373">
        <v>9</v>
      </c>
    </row>
    <row r="18" spans="2:8" ht="12.75" customHeight="1">
      <c r="B18" s="1509" t="s">
        <v>486</v>
      </c>
      <c r="C18" s="1509"/>
      <c r="D18" s="1367">
        <v>6</v>
      </c>
      <c r="E18" s="1367" t="s">
        <v>151</v>
      </c>
      <c r="F18" s="1367">
        <v>6</v>
      </c>
      <c r="G18" s="1367" t="s">
        <v>151</v>
      </c>
      <c r="H18" s="1373">
        <v>7</v>
      </c>
    </row>
    <row r="19" spans="2:8" ht="12.75" customHeight="1" thickBot="1">
      <c r="B19" s="1509" t="s">
        <v>487</v>
      </c>
      <c r="C19" s="1509"/>
      <c r="D19" s="1394">
        <v>5</v>
      </c>
      <c r="E19" s="1394" t="s">
        <v>151</v>
      </c>
      <c r="F19" s="1394">
        <v>5</v>
      </c>
      <c r="G19" s="1394">
        <v>1</v>
      </c>
      <c r="H19" s="1393">
        <v>6</v>
      </c>
    </row>
    <row r="20" spans="2:8" ht="12.75" customHeight="1">
      <c r="B20" s="1512" t="s">
        <v>488</v>
      </c>
      <c r="C20" s="1512"/>
      <c r="D20" s="1360">
        <v>19</v>
      </c>
      <c r="E20" s="1360" t="s">
        <v>151</v>
      </c>
      <c r="F20" s="1360">
        <v>18</v>
      </c>
      <c r="G20" s="1360">
        <v>2</v>
      </c>
      <c r="H20" s="1379">
        <v>22</v>
      </c>
    </row>
    <row r="21" spans="2:8" ht="12.75" customHeight="1" thickBot="1">
      <c r="B21" s="1510"/>
      <c r="C21" s="1510"/>
      <c r="D21" s="1363"/>
      <c r="E21" s="1363"/>
      <c r="F21" s="1363"/>
      <c r="G21" s="1363"/>
      <c r="H21" s="1491"/>
    </row>
    <row r="22" spans="2:8" ht="12" customHeight="1" thickBot="1">
      <c r="B22" s="1503" t="s">
        <v>489</v>
      </c>
      <c r="C22" s="1510"/>
      <c r="D22" s="1421">
        <v>237</v>
      </c>
      <c r="E22" s="1513">
        <v>154</v>
      </c>
      <c r="F22" s="1513">
        <v>67</v>
      </c>
      <c r="G22" s="1513">
        <v>9</v>
      </c>
      <c r="H22" s="1379">
        <v>211</v>
      </c>
    </row>
    <row r="23" spans="2:8" ht="12" customHeight="1">
      <c r="B23" s="1505" t="s">
        <v>490</v>
      </c>
      <c r="C23" s="1509"/>
      <c r="D23" s="1379">
        <v>211</v>
      </c>
      <c r="E23" s="1400">
        <v>150</v>
      </c>
      <c r="F23" s="1400">
        <v>50</v>
      </c>
      <c r="G23" s="1400">
        <v>3</v>
      </c>
      <c r="H23" s="1379"/>
    </row>
    <row r="24" spans="2:8" ht="12" customHeight="1"/>
  </sheetData>
  <mergeCells count="5">
    <mergeCell ref="B2:H2"/>
    <mergeCell ref="D4:G4"/>
    <mergeCell ref="D5:D6"/>
    <mergeCell ref="E5:G5"/>
    <mergeCell ref="H5:H6"/>
  </mergeCells>
  <pageMargins left="0.74803149606299213" right="0.74803149606299213" top="0.98425196850393704" bottom="0.98425196850393704" header="0.51181102362204722" footer="0.51181102362204722"/>
  <pageSetup paperSize="9" scale="8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D40"/>
  <sheetViews>
    <sheetView showGridLines="0" view="pageBreakPreview" zoomScale="60" zoomScaleNormal="80" workbookViewId="0"/>
  </sheetViews>
  <sheetFormatPr defaultColWidth="9.109375" defaultRowHeight="13.2"/>
  <cols>
    <col min="1" max="1" width="9.21875" style="1343" customWidth="1"/>
    <col min="2" max="2" width="66.77734375" style="1343" customWidth="1"/>
    <col min="3" max="4" width="10.6640625" style="1343" customWidth="1"/>
    <col min="5" max="16384" width="9.109375" style="1343"/>
  </cols>
  <sheetData>
    <row r="2" spans="2:4" ht="12.75" customHeight="1">
      <c r="B2" s="1643" t="s">
        <v>491</v>
      </c>
      <c r="C2" s="1345" t="s">
        <v>492</v>
      </c>
      <c r="D2" s="1345" t="s">
        <v>492</v>
      </c>
    </row>
    <row r="3" spans="2:4" ht="13.5" customHeight="1" thickBot="1">
      <c r="B3" s="1644"/>
      <c r="C3" s="1450" t="s">
        <v>493</v>
      </c>
      <c r="D3" s="1450" t="s">
        <v>156</v>
      </c>
    </row>
    <row r="4" spans="2:4">
      <c r="B4" s="1514" t="s">
        <v>494</v>
      </c>
      <c r="C4" s="1515">
        <v>0.13100000000000001</v>
      </c>
      <c r="D4" s="1516">
        <v>0.13800000000000001</v>
      </c>
    </row>
    <row r="5" spans="2:4">
      <c r="B5" s="1391" t="s">
        <v>495</v>
      </c>
      <c r="C5" s="1517">
        <v>0.16600000000000001</v>
      </c>
      <c r="D5" s="1518">
        <v>0.17699999999999999</v>
      </c>
    </row>
    <row r="6" spans="2:4">
      <c r="B6" s="1391" t="s">
        <v>496</v>
      </c>
      <c r="C6" s="1517">
        <v>0.20399999999999999</v>
      </c>
      <c r="D6" s="1518">
        <v>0.216</v>
      </c>
    </row>
    <row r="7" spans="2:4">
      <c r="B7" s="1391" t="s">
        <v>497</v>
      </c>
      <c r="C7" s="1373" t="s">
        <v>1</v>
      </c>
      <c r="D7" s="1352"/>
    </row>
    <row r="8" spans="2:4" ht="16.2" thickBot="1">
      <c r="B8" s="1519" t="s">
        <v>498</v>
      </c>
      <c r="C8" s="1520" t="s">
        <v>2</v>
      </c>
      <c r="D8" s="1520" t="s">
        <v>2</v>
      </c>
    </row>
    <row r="9" spans="2:4">
      <c r="B9" s="1366" t="s">
        <v>499</v>
      </c>
      <c r="C9" s="1437">
        <v>68369</v>
      </c>
      <c r="D9" s="1521">
        <v>64429</v>
      </c>
    </row>
    <row r="10" spans="2:4">
      <c r="B10" s="1391" t="s">
        <v>500</v>
      </c>
      <c r="C10" s="1433">
        <v>-10871</v>
      </c>
      <c r="D10" s="1522">
        <v>-10871</v>
      </c>
    </row>
    <row r="11" spans="2:4">
      <c r="B11" s="1391" t="s">
        <v>501</v>
      </c>
      <c r="C11" s="1433">
        <v>-49</v>
      </c>
      <c r="D11" s="1522">
        <v>-1096</v>
      </c>
    </row>
    <row r="12" spans="2:4">
      <c r="B12" s="1391"/>
      <c r="C12" s="1523"/>
      <c r="D12" s="1522"/>
    </row>
    <row r="13" spans="2:4">
      <c r="B13" s="1366" t="s">
        <v>502</v>
      </c>
      <c r="C13" s="1523"/>
      <c r="D13" s="1522"/>
    </row>
    <row r="14" spans="2:4">
      <c r="B14" s="1391" t="s">
        <v>503</v>
      </c>
      <c r="C14" s="1433">
        <v>-1847</v>
      </c>
      <c r="D14" s="1522">
        <v>-1746</v>
      </c>
    </row>
    <row r="15" spans="2:4">
      <c r="B15" s="1391" t="s">
        <v>504</v>
      </c>
      <c r="C15" s="1433">
        <v>-8197</v>
      </c>
      <c r="D15" s="1522">
        <v>-8109</v>
      </c>
    </row>
    <row r="16" spans="2:4">
      <c r="B16" s="1391" t="s">
        <v>505</v>
      </c>
      <c r="C16" s="1433">
        <v>-294</v>
      </c>
      <c r="D16" s="1522">
        <v>-479</v>
      </c>
    </row>
    <row r="17" spans="2:4">
      <c r="B17" s="1391" t="s">
        <v>506</v>
      </c>
      <c r="C17" s="1433">
        <v>-1709</v>
      </c>
      <c r="D17" s="1522">
        <v>-1002</v>
      </c>
    </row>
    <row r="18" spans="2:4">
      <c r="B18" s="1391" t="s">
        <v>507</v>
      </c>
      <c r="C18" s="1433">
        <v>-389</v>
      </c>
      <c r="D18" s="1522">
        <v>260</v>
      </c>
    </row>
    <row r="19" spans="2:4">
      <c r="B19" s="1391" t="s">
        <v>508</v>
      </c>
      <c r="C19" s="1433">
        <v>-3603</v>
      </c>
      <c r="D19" s="1522">
        <v>-1594</v>
      </c>
    </row>
    <row r="20" spans="2:4">
      <c r="B20" s="1391" t="s">
        <v>509</v>
      </c>
      <c r="C20" s="1433">
        <v>-50</v>
      </c>
      <c r="D20" s="1522">
        <v>-50</v>
      </c>
    </row>
    <row r="21" spans="2:4">
      <c r="B21" s="1391" t="s">
        <v>510</v>
      </c>
      <c r="C21" s="1433">
        <v>1215</v>
      </c>
      <c r="D21" s="1522">
        <v>1126</v>
      </c>
    </row>
    <row r="22" spans="2:4" ht="13.8" thickBot="1">
      <c r="B22" s="1353" t="s">
        <v>511</v>
      </c>
      <c r="C22" s="1364">
        <v>-57</v>
      </c>
      <c r="D22" s="1524">
        <v>-55</v>
      </c>
    </row>
    <row r="23" spans="2:4">
      <c r="B23" s="1366" t="s">
        <v>512</v>
      </c>
      <c r="C23" s="1437">
        <v>42518</v>
      </c>
      <c r="D23" s="1521">
        <v>40813</v>
      </c>
    </row>
    <row r="24" spans="2:4">
      <c r="B24" s="1366" t="s">
        <v>497</v>
      </c>
      <c r="C24" s="1411"/>
      <c r="D24" s="1455"/>
    </row>
    <row r="25" spans="2:4">
      <c r="B25" s="1366" t="s">
        <v>513</v>
      </c>
      <c r="C25" s="1411"/>
      <c r="D25" s="1455"/>
    </row>
    <row r="26" spans="2:4">
      <c r="B26" s="1391" t="s">
        <v>514</v>
      </c>
      <c r="C26" s="1433">
        <v>10871</v>
      </c>
      <c r="D26" s="1522">
        <v>10871</v>
      </c>
    </row>
    <row r="27" spans="2:4">
      <c r="B27" s="1391" t="s">
        <v>515</v>
      </c>
      <c r="C27" s="1433">
        <v>753</v>
      </c>
      <c r="D27" s="1522">
        <v>687</v>
      </c>
    </row>
    <row r="28" spans="2:4" ht="13.8" thickBot="1">
      <c r="B28" s="1353" t="s">
        <v>502</v>
      </c>
      <c r="C28" s="1364">
        <v>-130</v>
      </c>
      <c r="D28" s="1524">
        <v>-130</v>
      </c>
    </row>
    <row r="29" spans="2:4">
      <c r="B29" s="1366" t="s">
        <v>516</v>
      </c>
      <c r="C29" s="1437">
        <v>11494</v>
      </c>
      <c r="D29" s="1521">
        <v>11428</v>
      </c>
    </row>
    <row r="30" spans="2:4" ht="13.8" thickBot="1">
      <c r="B30" s="1353"/>
      <c r="C30" s="1525"/>
      <c r="D30" s="1365"/>
    </row>
    <row r="31" spans="2:4">
      <c r="B31" s="1366" t="s">
        <v>517</v>
      </c>
      <c r="C31" s="1437">
        <v>54012</v>
      </c>
      <c r="D31" s="1521">
        <v>52241</v>
      </c>
    </row>
    <row r="32" spans="2:4">
      <c r="B32" s="1391" t="s">
        <v>497</v>
      </c>
      <c r="C32" s="1523"/>
      <c r="D32" s="1523"/>
    </row>
    <row r="33" spans="2:4">
      <c r="B33" s="1366" t="s">
        <v>518</v>
      </c>
      <c r="C33" s="1523"/>
      <c r="D33" s="1523"/>
    </row>
    <row r="34" spans="2:4">
      <c r="B34" s="1391" t="s">
        <v>514</v>
      </c>
      <c r="C34" s="1433">
        <v>8423</v>
      </c>
      <c r="D34" s="1522">
        <v>7650</v>
      </c>
    </row>
    <row r="35" spans="2:4">
      <c r="B35" s="1391" t="s">
        <v>519</v>
      </c>
      <c r="C35" s="1433">
        <v>4013</v>
      </c>
      <c r="D35" s="1522">
        <v>3984</v>
      </c>
    </row>
    <row r="36" spans="2:4">
      <c r="B36" s="1391" t="s">
        <v>520</v>
      </c>
      <c r="C36" s="1433">
        <v>196</v>
      </c>
      <c r="D36" s="1522">
        <v>16</v>
      </c>
    </row>
    <row r="37" spans="2:4" ht="13.8" thickBot="1">
      <c r="B37" s="1353" t="s">
        <v>502</v>
      </c>
      <c r="C37" s="1364">
        <v>-250</v>
      </c>
      <c r="D37" s="1524">
        <v>-250</v>
      </c>
    </row>
    <row r="38" spans="2:4">
      <c r="B38" s="1366" t="s">
        <v>496</v>
      </c>
      <c r="C38" s="1437">
        <v>66394</v>
      </c>
      <c r="D38" s="1521">
        <v>63641</v>
      </c>
    </row>
    <row r="39" spans="2:4" ht="13.8" thickBot="1">
      <c r="B39" s="1526"/>
      <c r="C39" s="1527"/>
      <c r="D39" s="1528"/>
    </row>
    <row r="40" spans="2:4">
      <c r="B40" s="1366" t="s">
        <v>521</v>
      </c>
      <c r="C40" s="1437">
        <v>325631</v>
      </c>
      <c r="D40" s="1521">
        <v>295131</v>
      </c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2:C30"/>
  <sheetViews>
    <sheetView showGridLines="0" view="pageBreakPreview" zoomScale="60" zoomScaleNormal="80" workbookViewId="0">
      <selection activeCell="D54" sqref="D54"/>
    </sheetView>
  </sheetViews>
  <sheetFormatPr defaultColWidth="9.109375" defaultRowHeight="13.2"/>
  <cols>
    <col min="1" max="1" width="9.21875" style="1343" customWidth="1"/>
    <col min="2" max="2" width="70.33203125" style="1343" customWidth="1"/>
    <col min="3" max="3" width="14.109375" style="1343" bestFit="1" customWidth="1"/>
    <col min="4" max="6" width="10.77734375" style="1343" customWidth="1"/>
    <col min="7" max="16384" width="9.109375" style="1343"/>
  </cols>
  <sheetData>
    <row r="2" spans="2:3" ht="12.75" customHeight="1">
      <c r="B2" s="1645" t="s">
        <v>522</v>
      </c>
      <c r="C2" s="1487" t="s">
        <v>523</v>
      </c>
    </row>
    <row r="3" spans="2:3" ht="12.75" customHeight="1">
      <c r="B3" s="1645"/>
      <c r="C3" s="1487" t="s">
        <v>524</v>
      </c>
    </row>
    <row r="4" spans="2:3" ht="12.75" customHeight="1">
      <c r="B4" s="1645"/>
      <c r="C4" s="1487" t="s">
        <v>493</v>
      </c>
    </row>
    <row r="5" spans="2:3" ht="13.5" customHeight="1" thickBot="1">
      <c r="B5" s="1646"/>
      <c r="C5" s="1490" t="s">
        <v>2</v>
      </c>
    </row>
    <row r="6" spans="2:3">
      <c r="B6" s="1529" t="s">
        <v>525</v>
      </c>
      <c r="C6" s="1530">
        <v>40813</v>
      </c>
    </row>
    <row r="7" spans="2:3">
      <c r="B7" s="1366"/>
      <c r="C7" s="1531"/>
    </row>
    <row r="8" spans="2:3">
      <c r="B8" s="1491" t="s">
        <v>526</v>
      </c>
      <c r="C8" s="1492">
        <v>826</v>
      </c>
    </row>
    <row r="9" spans="2:3">
      <c r="B9" s="1491" t="s">
        <v>527</v>
      </c>
      <c r="C9" s="1492">
        <v>-169</v>
      </c>
    </row>
    <row r="10" spans="2:3" ht="13.8" thickBot="1">
      <c r="B10" s="1363" t="s">
        <v>528</v>
      </c>
      <c r="C10" s="1493">
        <v>826</v>
      </c>
    </row>
    <row r="11" spans="2:3">
      <c r="B11" s="1366" t="s">
        <v>529</v>
      </c>
      <c r="C11" s="1494">
        <v>1483</v>
      </c>
    </row>
    <row r="12" spans="2:3">
      <c r="B12" s="1348"/>
      <c r="C12" s="1532"/>
    </row>
    <row r="13" spans="2:3">
      <c r="B13" s="1491" t="s">
        <v>530</v>
      </c>
      <c r="C13" s="1492">
        <v>-56</v>
      </c>
    </row>
    <row r="14" spans="2:3">
      <c r="B14" s="1491" t="s">
        <v>531</v>
      </c>
      <c r="C14" s="1492">
        <v>-777</v>
      </c>
    </row>
    <row r="15" spans="2:3">
      <c r="B15" s="1491" t="s">
        <v>532</v>
      </c>
      <c r="C15" s="1492">
        <v>997</v>
      </c>
    </row>
    <row r="16" spans="2:3" ht="13.8" thickBot="1">
      <c r="B16" s="1363" t="s">
        <v>533</v>
      </c>
      <c r="C16" s="1493">
        <v>-6</v>
      </c>
    </row>
    <row r="17" spans="2:3">
      <c r="B17" s="1366" t="s">
        <v>534</v>
      </c>
      <c r="C17" s="1494">
        <v>158</v>
      </c>
    </row>
    <row r="18" spans="2:3">
      <c r="B18" s="1348"/>
      <c r="C18" s="1531"/>
    </row>
    <row r="19" spans="2:3">
      <c r="B19" s="1491" t="s">
        <v>535</v>
      </c>
      <c r="C19" s="1492">
        <v>1990</v>
      </c>
    </row>
    <row r="20" spans="2:3" ht="13.8" thickBot="1">
      <c r="B20" s="1363" t="s">
        <v>536</v>
      </c>
      <c r="C20" s="1493">
        <v>-2009</v>
      </c>
    </row>
    <row r="21" spans="2:3">
      <c r="B21" s="1366" t="s">
        <v>537</v>
      </c>
      <c r="C21" s="1494">
        <v>-19</v>
      </c>
    </row>
    <row r="22" spans="2:3">
      <c r="B22" s="1447"/>
      <c r="C22" s="1531"/>
    </row>
    <row r="23" spans="2:3">
      <c r="B23" s="1491" t="s">
        <v>503</v>
      </c>
      <c r="C23" s="1492">
        <v>-101</v>
      </c>
    </row>
    <row r="24" spans="2:3">
      <c r="B24" s="1491" t="s">
        <v>504</v>
      </c>
      <c r="C24" s="1492">
        <v>-88</v>
      </c>
    </row>
    <row r="25" spans="2:3">
      <c r="B25" s="1491" t="s">
        <v>538</v>
      </c>
      <c r="C25" s="1492">
        <v>185</v>
      </c>
    </row>
    <row r="26" spans="2:3">
      <c r="B26" s="1491" t="s">
        <v>510</v>
      </c>
      <c r="C26" s="1492">
        <v>89</v>
      </c>
    </row>
    <row r="27" spans="2:3" ht="13.8" thickBot="1">
      <c r="B27" s="1533" t="s">
        <v>511</v>
      </c>
      <c r="C27" s="1493">
        <v>-2</v>
      </c>
    </row>
    <row r="28" spans="2:3">
      <c r="B28" s="1358" t="s">
        <v>539</v>
      </c>
      <c r="C28" s="1494">
        <v>83</v>
      </c>
    </row>
    <row r="29" spans="2:3" ht="13.8" thickBot="1">
      <c r="B29" s="1432"/>
      <c r="C29" s="1534"/>
    </row>
    <row r="30" spans="2:3">
      <c r="B30" s="1447" t="s">
        <v>540</v>
      </c>
      <c r="C30" s="1494">
        <v>42518</v>
      </c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9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2:O20"/>
  <sheetViews>
    <sheetView showGridLines="0" view="pageBreakPreview" zoomScale="60" zoomScaleNormal="80" workbookViewId="0">
      <selection activeCell="K34" sqref="K34"/>
    </sheetView>
  </sheetViews>
  <sheetFormatPr defaultColWidth="9.109375" defaultRowHeight="13.2"/>
  <cols>
    <col min="1" max="1" width="9.21875" style="1343" customWidth="1"/>
    <col min="2" max="2" width="30.33203125" style="1343" customWidth="1"/>
    <col min="3" max="4" width="9.77734375" style="1343" customWidth="1"/>
    <col min="5" max="5" width="0.33203125" style="1343" customWidth="1"/>
    <col min="6" max="9" width="9.77734375" style="1343" customWidth="1"/>
    <col min="10" max="10" width="0.33203125" style="1554" customWidth="1"/>
    <col min="11" max="12" width="9.77734375" style="1343" customWidth="1"/>
    <col min="13" max="13" width="0.33203125" style="1343" customWidth="1"/>
    <col min="14" max="15" width="9.77734375" style="1343" customWidth="1"/>
    <col min="16" max="16384" width="9.109375" style="1343"/>
  </cols>
  <sheetData>
    <row r="2" spans="2:15" ht="26.25" customHeight="1">
      <c r="B2" s="1647" t="s">
        <v>541</v>
      </c>
      <c r="C2" s="1647"/>
      <c r="D2" s="1647"/>
      <c r="E2" s="1647"/>
      <c r="F2" s="1647"/>
      <c r="G2" s="1647"/>
      <c r="H2" s="1647"/>
      <c r="I2" s="1647"/>
      <c r="J2" s="1647"/>
      <c r="K2" s="1647"/>
      <c r="L2" s="1647"/>
      <c r="M2" s="1647"/>
      <c r="N2" s="1647"/>
      <c r="O2" s="1647"/>
    </row>
    <row r="3" spans="2:15" ht="26.25" customHeight="1" thickBot="1">
      <c r="B3" s="1386"/>
      <c r="C3" s="1648" t="s">
        <v>542</v>
      </c>
      <c r="D3" s="1648"/>
      <c r="E3" s="1535"/>
      <c r="F3" s="1648" t="s">
        <v>543</v>
      </c>
      <c r="G3" s="1648"/>
      <c r="H3" s="1648"/>
      <c r="I3" s="1648"/>
      <c r="J3" s="1536"/>
      <c r="K3" s="1648" t="s">
        <v>544</v>
      </c>
      <c r="L3" s="1648"/>
      <c r="M3" s="1536"/>
      <c r="N3" s="1537" t="s">
        <v>545</v>
      </c>
      <c r="O3" s="1537" t="s">
        <v>521</v>
      </c>
    </row>
    <row r="4" spans="2:15" ht="23.4">
      <c r="B4" s="1386"/>
      <c r="C4" s="1538" t="s">
        <v>546</v>
      </c>
      <c r="D4" s="1539" t="s">
        <v>547</v>
      </c>
      <c r="E4" s="1538"/>
      <c r="F4" s="1538" t="s">
        <v>546</v>
      </c>
      <c r="G4" s="1539" t="s">
        <v>547</v>
      </c>
      <c r="H4" s="1539" t="s">
        <v>548</v>
      </c>
      <c r="I4" s="1539" t="s">
        <v>549</v>
      </c>
      <c r="J4" s="1540"/>
      <c r="K4" s="1538" t="s">
        <v>546</v>
      </c>
      <c r="L4" s="1539" t="s">
        <v>550</v>
      </c>
      <c r="M4" s="1538"/>
      <c r="N4" s="1538"/>
      <c r="O4" s="1538"/>
    </row>
    <row r="5" spans="2:15" ht="13.8" thickBot="1">
      <c r="B5" s="1541" t="s">
        <v>424</v>
      </c>
      <c r="C5" s="1542" t="s">
        <v>2</v>
      </c>
      <c r="D5" s="1542" t="s">
        <v>2</v>
      </c>
      <c r="E5" s="1543"/>
      <c r="F5" s="1542" t="s">
        <v>2</v>
      </c>
      <c r="G5" s="1542" t="s">
        <v>2</v>
      </c>
      <c r="H5" s="1542" t="s">
        <v>2</v>
      </c>
      <c r="I5" s="1542" t="s">
        <v>2</v>
      </c>
      <c r="J5" s="1543"/>
      <c r="K5" s="1542" t="s">
        <v>2</v>
      </c>
      <c r="L5" s="1542" t="s">
        <v>2</v>
      </c>
      <c r="M5" s="1543"/>
      <c r="N5" s="1542" t="s">
        <v>2</v>
      </c>
      <c r="O5" s="1542" t="s">
        <v>2</v>
      </c>
    </row>
    <row r="6" spans="2:15">
      <c r="B6" s="1447" t="s">
        <v>64</v>
      </c>
      <c r="C6" s="1359">
        <v>5835</v>
      </c>
      <c r="D6" s="1359">
        <v>59451</v>
      </c>
      <c r="E6" s="1362"/>
      <c r="F6" s="1360">
        <v>311</v>
      </c>
      <c r="G6" s="1360" t="s">
        <v>426</v>
      </c>
      <c r="H6" s="1360" t="s">
        <v>426</v>
      </c>
      <c r="I6" s="1360">
        <v>28</v>
      </c>
      <c r="J6" s="1362"/>
      <c r="K6" s="1360">
        <v>202</v>
      </c>
      <c r="L6" s="1360" t="s">
        <v>426</v>
      </c>
      <c r="M6" s="1379"/>
      <c r="N6" s="1359">
        <v>11851</v>
      </c>
      <c r="O6" s="1359">
        <v>77678</v>
      </c>
    </row>
    <row r="7" spans="2:15">
      <c r="B7" s="1544" t="s">
        <v>403</v>
      </c>
      <c r="C7" s="1349">
        <v>30620</v>
      </c>
      <c r="D7" s="1349">
        <v>71993</v>
      </c>
      <c r="E7" s="1352"/>
      <c r="F7" s="1349">
        <v>15611</v>
      </c>
      <c r="G7" s="1349">
        <v>19756</v>
      </c>
      <c r="H7" s="1349">
        <v>1022</v>
      </c>
      <c r="I7" s="1349">
        <v>3309</v>
      </c>
      <c r="J7" s="1352"/>
      <c r="K7" s="1349">
        <v>14036</v>
      </c>
      <c r="L7" s="1349">
        <v>24010</v>
      </c>
      <c r="M7" s="1373"/>
      <c r="N7" s="1349">
        <v>21390</v>
      </c>
      <c r="O7" s="1349">
        <v>201747</v>
      </c>
    </row>
    <row r="8" spans="2:15" ht="13.8" thickBot="1">
      <c r="B8" s="1545" t="s">
        <v>551</v>
      </c>
      <c r="C8" s="1354">
        <v>25205</v>
      </c>
      <c r="D8" s="1354">
        <v>3085</v>
      </c>
      <c r="E8" s="1352"/>
      <c r="F8" s="1394">
        <v>132</v>
      </c>
      <c r="G8" s="1394">
        <v>31</v>
      </c>
      <c r="H8" s="1394" t="s">
        <v>426</v>
      </c>
      <c r="I8" s="1394">
        <v>21</v>
      </c>
      <c r="J8" s="1352"/>
      <c r="K8" s="1394" t="s">
        <v>426</v>
      </c>
      <c r="L8" s="1394">
        <v>151</v>
      </c>
      <c r="M8" s="1373"/>
      <c r="N8" s="1354">
        <v>7536</v>
      </c>
      <c r="O8" s="1354">
        <v>36161</v>
      </c>
    </row>
    <row r="9" spans="2:15">
      <c r="B9" s="1447" t="s">
        <v>65</v>
      </c>
      <c r="C9" s="1359">
        <v>55825</v>
      </c>
      <c r="D9" s="1359">
        <v>75078</v>
      </c>
      <c r="E9" s="1362"/>
      <c r="F9" s="1359">
        <v>15743</v>
      </c>
      <c r="G9" s="1359">
        <v>19787</v>
      </c>
      <c r="H9" s="1359">
        <v>1022</v>
      </c>
      <c r="I9" s="1359">
        <v>3330</v>
      </c>
      <c r="J9" s="1362"/>
      <c r="K9" s="1359">
        <v>14036</v>
      </c>
      <c r="L9" s="1359">
        <v>24161</v>
      </c>
      <c r="M9" s="1379"/>
      <c r="N9" s="1359">
        <v>28926</v>
      </c>
      <c r="O9" s="1359">
        <v>237908</v>
      </c>
    </row>
    <row r="10" spans="2:15" ht="13.8" thickBot="1">
      <c r="B10" s="1442" t="s">
        <v>31</v>
      </c>
      <c r="C10" s="1397">
        <v>3706</v>
      </c>
      <c r="D10" s="1397">
        <v>6212</v>
      </c>
      <c r="E10" s="1362"/>
      <c r="F10" s="1421" t="s">
        <v>426</v>
      </c>
      <c r="G10" s="1421" t="s">
        <v>426</v>
      </c>
      <c r="H10" s="1421" t="s">
        <v>426</v>
      </c>
      <c r="I10" s="1421" t="s">
        <v>426</v>
      </c>
      <c r="J10" s="1362"/>
      <c r="K10" s="1421" t="s">
        <v>426</v>
      </c>
      <c r="L10" s="1421" t="s">
        <v>426</v>
      </c>
      <c r="M10" s="1379"/>
      <c r="N10" s="1421">
        <v>127</v>
      </c>
      <c r="O10" s="1397">
        <v>10045</v>
      </c>
    </row>
    <row r="11" spans="2:15">
      <c r="B11" s="1447" t="s">
        <v>34</v>
      </c>
      <c r="C11" s="1359">
        <v>65366</v>
      </c>
      <c r="D11" s="1359">
        <v>140741</v>
      </c>
      <c r="E11" s="1352"/>
      <c r="F11" s="1359">
        <v>16054</v>
      </c>
      <c r="G11" s="1359">
        <v>19787</v>
      </c>
      <c r="H11" s="1359">
        <v>1022</v>
      </c>
      <c r="I11" s="1359">
        <v>3358</v>
      </c>
      <c r="J11" s="1352"/>
      <c r="K11" s="1359">
        <v>14238</v>
      </c>
      <c r="L11" s="1359">
        <v>24161</v>
      </c>
      <c r="M11" s="1373"/>
      <c r="N11" s="1359">
        <v>40904</v>
      </c>
      <c r="O11" s="1359">
        <v>325631</v>
      </c>
    </row>
    <row r="12" spans="2:15">
      <c r="B12" s="1447"/>
      <c r="C12" s="1362"/>
      <c r="D12" s="1362"/>
      <c r="E12" s="1362"/>
      <c r="F12" s="1362"/>
      <c r="G12" s="1362"/>
      <c r="H12" s="1362"/>
      <c r="I12" s="1362"/>
      <c r="J12" s="1362"/>
      <c r="K12" s="1362"/>
      <c r="L12" s="1362"/>
      <c r="M12" s="1362"/>
      <c r="N12" s="1362"/>
      <c r="O12" s="1362"/>
    </row>
    <row r="13" spans="2:15" ht="13.8" thickBot="1">
      <c r="B13" s="1541" t="s">
        <v>437</v>
      </c>
      <c r="C13" s="1546"/>
      <c r="D13" s="1547"/>
      <c r="E13" s="1352"/>
      <c r="F13" s="1547"/>
      <c r="G13" s="1547"/>
      <c r="H13" s="1547"/>
      <c r="I13" s="1547"/>
      <c r="J13" s="1491"/>
      <c r="K13" s="1353"/>
      <c r="L13" s="1353"/>
      <c r="M13" s="1352"/>
      <c r="N13" s="1353"/>
      <c r="O13" s="1353"/>
    </row>
    <row r="14" spans="2:15">
      <c r="B14" s="1447" t="s">
        <v>64</v>
      </c>
      <c r="C14" s="1361">
        <v>5189</v>
      </c>
      <c r="D14" s="1361">
        <v>57455</v>
      </c>
      <c r="E14" s="1362"/>
      <c r="F14" s="1362">
        <v>235</v>
      </c>
      <c r="G14" s="1362" t="s">
        <v>151</v>
      </c>
      <c r="H14" s="1362" t="s">
        <v>151</v>
      </c>
      <c r="I14" s="1362">
        <v>23</v>
      </c>
      <c r="J14" s="1379"/>
      <c r="K14" s="1362">
        <v>178</v>
      </c>
      <c r="L14" s="1362" t="s">
        <v>151</v>
      </c>
      <c r="M14" s="1362"/>
      <c r="N14" s="1361">
        <v>11821</v>
      </c>
      <c r="O14" s="1361">
        <v>74901</v>
      </c>
    </row>
    <row r="15" spans="2:15">
      <c r="B15" s="1544" t="s">
        <v>403</v>
      </c>
      <c r="C15" s="1351">
        <v>25749</v>
      </c>
      <c r="D15" s="1351">
        <v>62177</v>
      </c>
      <c r="E15" s="1352"/>
      <c r="F15" s="1351">
        <v>12051</v>
      </c>
      <c r="G15" s="1351">
        <v>16875</v>
      </c>
      <c r="H15" s="1352">
        <v>276</v>
      </c>
      <c r="I15" s="1351">
        <v>2470</v>
      </c>
      <c r="J15" s="1373"/>
      <c r="K15" s="1351">
        <v>12854</v>
      </c>
      <c r="L15" s="1351">
        <v>17626</v>
      </c>
      <c r="M15" s="1352"/>
      <c r="N15" s="1351">
        <v>21475</v>
      </c>
      <c r="O15" s="1351">
        <v>171553</v>
      </c>
    </row>
    <row r="16" spans="2:15" ht="13.8" thickBot="1">
      <c r="B16" s="1545" t="s">
        <v>551</v>
      </c>
      <c r="C16" s="1356">
        <v>27209</v>
      </c>
      <c r="D16" s="1356">
        <v>2706</v>
      </c>
      <c r="E16" s="1352"/>
      <c r="F16" s="1357">
        <v>92</v>
      </c>
      <c r="G16" s="1357">
        <v>37</v>
      </c>
      <c r="H16" s="1357" t="s">
        <v>151</v>
      </c>
      <c r="I16" s="1357">
        <v>11</v>
      </c>
      <c r="J16" s="1373"/>
      <c r="K16" s="1357" t="s">
        <v>151</v>
      </c>
      <c r="L16" s="1357">
        <v>103</v>
      </c>
      <c r="M16" s="1352"/>
      <c r="N16" s="1356">
        <v>7532</v>
      </c>
      <c r="O16" s="1356">
        <v>37690</v>
      </c>
    </row>
    <row r="17" spans="2:15">
      <c r="B17" s="1447" t="s">
        <v>65</v>
      </c>
      <c r="C17" s="1361">
        <v>52958</v>
      </c>
      <c r="D17" s="1361">
        <v>64883</v>
      </c>
      <c r="E17" s="1362"/>
      <c r="F17" s="1361">
        <v>12143</v>
      </c>
      <c r="G17" s="1361">
        <v>16912</v>
      </c>
      <c r="H17" s="1362">
        <v>276</v>
      </c>
      <c r="I17" s="1361">
        <v>2481</v>
      </c>
      <c r="J17" s="1379"/>
      <c r="K17" s="1361">
        <v>12854</v>
      </c>
      <c r="L17" s="1361">
        <v>17729</v>
      </c>
      <c r="M17" s="1362"/>
      <c r="N17" s="1361">
        <v>29007</v>
      </c>
      <c r="O17" s="1361">
        <v>209243</v>
      </c>
    </row>
    <row r="18" spans="2:15" ht="13.8" thickBot="1">
      <c r="B18" s="1442" t="s">
        <v>31</v>
      </c>
      <c r="C18" s="1548">
        <v>5104</v>
      </c>
      <c r="D18" s="1548">
        <v>5754</v>
      </c>
      <c r="E18" s="1362"/>
      <c r="F18" s="1549" t="s">
        <v>151</v>
      </c>
      <c r="G18" s="1549" t="s">
        <v>151</v>
      </c>
      <c r="H18" s="1549" t="s">
        <v>151</v>
      </c>
      <c r="I18" s="1549" t="s">
        <v>151</v>
      </c>
      <c r="J18" s="1379"/>
      <c r="K18" s="1549" t="s">
        <v>151</v>
      </c>
      <c r="L18" s="1549" t="s">
        <v>151</v>
      </c>
      <c r="M18" s="1362"/>
      <c r="N18" s="1549">
        <v>129</v>
      </c>
      <c r="O18" s="1548">
        <v>10987</v>
      </c>
    </row>
    <row r="19" spans="2:15">
      <c r="B19" s="1447" t="s">
        <v>34</v>
      </c>
      <c r="C19" s="1361">
        <v>63251</v>
      </c>
      <c r="D19" s="1361">
        <v>128092</v>
      </c>
      <c r="E19" s="1362"/>
      <c r="F19" s="1361">
        <v>12378</v>
      </c>
      <c r="G19" s="1361">
        <v>16912</v>
      </c>
      <c r="H19" s="1362">
        <v>276</v>
      </c>
      <c r="I19" s="1361">
        <v>2504</v>
      </c>
      <c r="J19" s="1379"/>
      <c r="K19" s="1361">
        <v>13032</v>
      </c>
      <c r="L19" s="1361">
        <v>17729</v>
      </c>
      <c r="M19" s="1362"/>
      <c r="N19" s="1361">
        <v>40957</v>
      </c>
      <c r="O19" s="1361">
        <v>295131</v>
      </c>
    </row>
    <row r="20" spans="2:15">
      <c r="B20" s="1447"/>
      <c r="C20" s="1550"/>
      <c r="D20" s="1551"/>
      <c r="E20" s="1455"/>
      <c r="F20" s="1551"/>
      <c r="G20" s="1551"/>
      <c r="H20" s="1551"/>
      <c r="I20" s="1551"/>
      <c r="J20" s="1552"/>
      <c r="K20" s="1553"/>
      <c r="L20" s="1553"/>
      <c r="M20" s="1455"/>
      <c r="N20" s="1553"/>
      <c r="O20" s="1553"/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2:G18"/>
  <sheetViews>
    <sheetView showGridLines="0" view="pageBreakPreview" zoomScale="60" zoomScaleNormal="80" workbookViewId="0">
      <selection activeCell="G16" sqref="G16"/>
    </sheetView>
  </sheetViews>
  <sheetFormatPr defaultColWidth="9.109375" defaultRowHeight="13.2"/>
  <cols>
    <col min="1" max="1" width="9.21875" style="1343" customWidth="1"/>
    <col min="2" max="2" width="38.21875" style="1343" customWidth="1"/>
    <col min="3" max="7" width="12.77734375" style="1343" customWidth="1"/>
    <col min="8" max="16384" width="9.109375" style="1343"/>
  </cols>
  <sheetData>
    <row r="2" spans="2:7" ht="24.75" customHeight="1">
      <c r="B2" s="1649" t="s">
        <v>552</v>
      </c>
      <c r="C2" s="1649"/>
      <c r="D2" s="1649"/>
      <c r="E2" s="1649"/>
      <c r="F2" s="1649"/>
      <c r="G2" s="1649"/>
    </row>
    <row r="3" spans="2:7" ht="24" customHeight="1">
      <c r="B3" s="1386"/>
      <c r="C3" s="1538" t="s">
        <v>553</v>
      </c>
      <c r="D3" s="1538" t="s">
        <v>543</v>
      </c>
      <c r="E3" s="1538" t="s">
        <v>544</v>
      </c>
      <c r="F3" s="1538" t="s">
        <v>545</v>
      </c>
      <c r="G3" s="1538" t="s">
        <v>521</v>
      </c>
    </row>
    <row r="4" spans="2:7" ht="12" customHeight="1" thickBot="1">
      <c r="B4" s="1389"/>
      <c r="C4" s="1542" t="s">
        <v>2</v>
      </c>
      <c r="D4" s="1542" t="s">
        <v>2</v>
      </c>
      <c r="E4" s="1542" t="s">
        <v>2</v>
      </c>
      <c r="F4" s="1542" t="s">
        <v>2</v>
      </c>
      <c r="G4" s="1542" t="s">
        <v>2</v>
      </c>
    </row>
    <row r="5" spans="2:7" ht="12.75" customHeight="1">
      <c r="B5" s="1529" t="s">
        <v>554</v>
      </c>
      <c r="C5" s="1555">
        <v>191343</v>
      </c>
      <c r="D5" s="1555">
        <v>32070</v>
      </c>
      <c r="E5" s="1555">
        <v>30761</v>
      </c>
      <c r="F5" s="1555">
        <v>40957</v>
      </c>
      <c r="G5" s="1555">
        <v>295131</v>
      </c>
    </row>
    <row r="6" spans="2:7" ht="12.75" customHeight="1">
      <c r="B6" s="1391" t="s">
        <v>555</v>
      </c>
      <c r="C6" s="1556">
        <v>7205</v>
      </c>
      <c r="D6" s="1556">
        <v>8300</v>
      </c>
      <c r="E6" s="1556">
        <v>9977</v>
      </c>
      <c r="F6" s="1556">
        <v>-53</v>
      </c>
      <c r="G6" s="1556">
        <v>25429</v>
      </c>
    </row>
    <row r="7" spans="2:7" ht="12.75" customHeight="1">
      <c r="B7" s="1391" t="s">
        <v>556</v>
      </c>
      <c r="C7" s="1556">
        <v>-33</v>
      </c>
      <c r="D7" s="1556" t="s">
        <v>151</v>
      </c>
      <c r="E7" s="1556" t="s">
        <v>151</v>
      </c>
      <c r="F7" s="1556" t="s">
        <v>151</v>
      </c>
      <c r="G7" s="1556">
        <v>-33</v>
      </c>
    </row>
    <row r="8" spans="2:7" ht="12.75" customHeight="1">
      <c r="B8" s="1391" t="s">
        <v>557</v>
      </c>
      <c r="C8" s="1556">
        <v>1511</v>
      </c>
      <c r="D8" s="1556">
        <v>-404</v>
      </c>
      <c r="E8" s="1556" t="s">
        <v>151</v>
      </c>
      <c r="F8" s="1556" t="s">
        <v>151</v>
      </c>
      <c r="G8" s="1556">
        <v>1107</v>
      </c>
    </row>
    <row r="9" spans="2:7" ht="12.75" customHeight="1">
      <c r="B9" s="1391" t="s">
        <v>558</v>
      </c>
      <c r="C9" s="1556">
        <v>887</v>
      </c>
      <c r="D9" s="1556" t="s">
        <v>151</v>
      </c>
      <c r="E9" s="1556" t="s">
        <v>151</v>
      </c>
      <c r="F9" s="1556" t="s">
        <v>151</v>
      </c>
      <c r="G9" s="1556">
        <v>887</v>
      </c>
    </row>
    <row r="10" spans="2:7" ht="12.75" customHeight="1">
      <c r="B10" s="1391" t="s">
        <v>559</v>
      </c>
      <c r="C10" s="1556">
        <v>1166</v>
      </c>
      <c r="D10" s="1556">
        <v>255</v>
      </c>
      <c r="E10" s="1556">
        <v>-2339</v>
      </c>
      <c r="F10" s="1556" t="s">
        <v>151</v>
      </c>
      <c r="G10" s="1556">
        <v>-918</v>
      </c>
    </row>
    <row r="11" spans="2:7" ht="12.75" customHeight="1" thickBot="1">
      <c r="B11" s="1353" t="s">
        <v>560</v>
      </c>
      <c r="C11" s="1557">
        <v>4028</v>
      </c>
      <c r="D11" s="1557" t="s">
        <v>151</v>
      </c>
      <c r="E11" s="1557" t="s">
        <v>151</v>
      </c>
      <c r="F11" s="1557" t="s">
        <v>151</v>
      </c>
      <c r="G11" s="1557">
        <v>4028</v>
      </c>
    </row>
    <row r="12" spans="2:7" ht="12.75" customHeight="1">
      <c r="B12" s="1366" t="s">
        <v>561</v>
      </c>
      <c r="C12" s="1437">
        <v>206107</v>
      </c>
      <c r="D12" s="1437">
        <v>40221</v>
      </c>
      <c r="E12" s="1437">
        <v>38399</v>
      </c>
      <c r="F12" s="1437">
        <v>40904</v>
      </c>
      <c r="G12" s="1437">
        <v>325631</v>
      </c>
    </row>
    <row r="13" spans="2:7">
      <c r="B13" s="1558"/>
    </row>
    <row r="18" ht="15.75" customHeight="1"/>
  </sheetData>
  <mergeCells count="1">
    <mergeCell ref="B2:G2"/>
  </mergeCells>
  <pageMargins left="0.75" right="0.75" top="1" bottom="1" header="0.5" footer="0.5"/>
  <pageSetup paperSize="9" scale="8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2:D42"/>
  <sheetViews>
    <sheetView showGridLines="0" view="pageBreakPreview" zoomScale="60" zoomScaleNormal="80" workbookViewId="0">
      <selection activeCell="C23" sqref="C23"/>
    </sheetView>
  </sheetViews>
  <sheetFormatPr defaultColWidth="9.109375" defaultRowHeight="13.2"/>
  <cols>
    <col min="1" max="1" width="9.21875" style="1343" customWidth="1"/>
    <col min="2" max="2" width="59.77734375" style="1343" customWidth="1"/>
    <col min="3" max="4" width="10.6640625" style="1343" customWidth="1"/>
    <col min="5" max="16384" width="9.109375" style="1343"/>
  </cols>
  <sheetData>
    <row r="2" spans="2:4" ht="12.6" customHeight="1">
      <c r="B2" s="1645" t="s">
        <v>562</v>
      </c>
      <c r="C2" s="1559" t="s">
        <v>563</v>
      </c>
      <c r="D2" s="1559" t="s">
        <v>563</v>
      </c>
    </row>
    <row r="3" spans="2:4" ht="12.75" customHeight="1">
      <c r="B3" s="1645"/>
      <c r="C3" s="1559" t="s">
        <v>493</v>
      </c>
      <c r="D3" s="1559" t="s">
        <v>156</v>
      </c>
    </row>
    <row r="4" spans="2:4" ht="11.25" customHeight="1" thickBot="1">
      <c r="B4" s="1646"/>
      <c r="C4" s="1409" t="s">
        <v>2</v>
      </c>
      <c r="D4" s="1409" t="s">
        <v>2</v>
      </c>
    </row>
    <row r="5" spans="2:4" ht="11.25" customHeight="1">
      <c r="B5" s="1560" t="s">
        <v>564</v>
      </c>
      <c r="C5" s="1561">
        <v>4.4999999999999998E-2</v>
      </c>
      <c r="D5" s="1562">
        <v>4.4999999999999998E-2</v>
      </c>
    </row>
    <row r="6" spans="2:4" ht="11.25" customHeight="1">
      <c r="B6" s="1491" t="s">
        <v>565</v>
      </c>
      <c r="C6" s="1433">
        <v>53274</v>
      </c>
      <c r="D6" s="1523">
        <v>51823</v>
      </c>
    </row>
    <row r="7" spans="2:4" ht="11.25" customHeight="1">
      <c r="B7" s="1491" t="s">
        <v>95</v>
      </c>
      <c r="C7" s="1433">
        <v>1176198</v>
      </c>
      <c r="D7" s="1523">
        <v>1142819</v>
      </c>
    </row>
    <row r="8" spans="2:4" ht="11.25" customHeight="1">
      <c r="B8" s="1358"/>
      <c r="C8" s="1360"/>
      <c r="D8" s="1362"/>
    </row>
    <row r="9" spans="2:4" ht="11.25" customHeight="1">
      <c r="B9" s="1358" t="s">
        <v>566</v>
      </c>
      <c r="C9" s="1563">
        <v>4.4999999999999998E-2</v>
      </c>
      <c r="D9" s="1564">
        <v>5.0999999999999997E-2</v>
      </c>
    </row>
    <row r="10" spans="2:4" ht="11.25" customHeight="1">
      <c r="B10" s="1358"/>
      <c r="C10" s="1360"/>
      <c r="D10" s="1379"/>
    </row>
    <row r="11" spans="2:4" ht="11.25" customHeight="1">
      <c r="B11" s="1491" t="s">
        <v>512</v>
      </c>
      <c r="C11" s="1433">
        <v>42518</v>
      </c>
      <c r="D11" s="1523">
        <v>40812</v>
      </c>
    </row>
    <row r="12" spans="2:4" ht="11.25" customHeight="1" thickBot="1">
      <c r="B12" s="1565" t="s">
        <v>516</v>
      </c>
      <c r="C12" s="1364">
        <v>10741</v>
      </c>
      <c r="D12" s="1365">
        <v>10741</v>
      </c>
    </row>
    <row r="13" spans="2:4" ht="11.25" customHeight="1">
      <c r="B13" s="1358" t="s">
        <v>517</v>
      </c>
      <c r="C13" s="1437">
        <v>53259</v>
      </c>
      <c r="D13" s="1566">
        <v>51553</v>
      </c>
    </row>
    <row r="14" spans="2:4" ht="11.25" customHeight="1">
      <c r="B14" s="1358"/>
      <c r="C14" s="1566"/>
      <c r="D14" s="1566"/>
    </row>
    <row r="15" spans="2:4" ht="11.25" customHeight="1">
      <c r="B15" s="1358" t="s">
        <v>567</v>
      </c>
      <c r="C15" s="1437">
        <v>1178708</v>
      </c>
      <c r="D15" s="1566">
        <v>1007721</v>
      </c>
    </row>
    <row r="16" spans="2:4" ht="15.75" customHeight="1">
      <c r="B16" s="1358"/>
      <c r="C16" s="1566"/>
      <c r="D16" s="1566"/>
    </row>
    <row r="17" spans="2:4" ht="16.2" thickBot="1">
      <c r="B17" s="1567" t="s">
        <v>567</v>
      </c>
      <c r="C17" s="1568"/>
      <c r="D17" s="1569"/>
    </row>
    <row r="18" spans="2:4" ht="11.25" customHeight="1">
      <c r="B18" s="1358" t="s">
        <v>568</v>
      </c>
      <c r="C18" s="1570"/>
      <c r="D18" s="1571"/>
    </row>
    <row r="19" spans="2:4" ht="11.25" customHeight="1">
      <c r="B19" s="1491" t="s">
        <v>569</v>
      </c>
      <c r="C19" s="1433">
        <v>342120</v>
      </c>
      <c r="D19" s="1523">
        <v>229236</v>
      </c>
    </row>
    <row r="20" spans="2:4" ht="11.25" customHeight="1">
      <c r="B20" s="1491" t="s">
        <v>570</v>
      </c>
      <c r="C20" s="1433">
        <v>85321</v>
      </c>
      <c r="D20" s="1523">
        <v>56589</v>
      </c>
    </row>
    <row r="21" spans="2:4" ht="11.25" customHeight="1">
      <c r="B21" s="1491" t="s">
        <v>571</v>
      </c>
      <c r="C21" s="1433">
        <v>185725</v>
      </c>
      <c r="D21" s="1523">
        <v>111307</v>
      </c>
    </row>
    <row r="22" spans="2:4" ht="11.25" customHeight="1" thickBot="1">
      <c r="B22" s="1565" t="s">
        <v>572</v>
      </c>
      <c r="C22" s="1572">
        <v>831130</v>
      </c>
      <c r="D22" s="1365">
        <v>743097</v>
      </c>
    </row>
    <row r="23" spans="2:4" ht="11.25" customHeight="1">
      <c r="B23" s="1358" t="s">
        <v>573</v>
      </c>
      <c r="C23" s="1437">
        <v>1444296</v>
      </c>
      <c r="D23" s="1566">
        <v>1140229</v>
      </c>
    </row>
    <row r="24" spans="2:4" ht="11.25" customHeight="1">
      <c r="B24" s="1358"/>
      <c r="C24" s="1566"/>
      <c r="D24" s="1566"/>
    </row>
    <row r="25" spans="2:4">
      <c r="B25" s="1358" t="s">
        <v>574</v>
      </c>
      <c r="C25" s="1437">
        <v>-4841</v>
      </c>
      <c r="D25" s="1566">
        <v>-1170</v>
      </c>
    </row>
    <row r="26" spans="2:4">
      <c r="B26" s="1358"/>
      <c r="C26" s="1566"/>
      <c r="D26" s="1566"/>
    </row>
    <row r="27" spans="2:4" ht="11.25" customHeight="1">
      <c r="B27" s="1358" t="s">
        <v>575</v>
      </c>
      <c r="C27" s="1523"/>
      <c r="D27" s="1523"/>
    </row>
    <row r="28" spans="2:4" ht="11.25" customHeight="1">
      <c r="B28" s="1491" t="s">
        <v>576</v>
      </c>
      <c r="C28" s="1433">
        <v>-309585</v>
      </c>
      <c r="D28" s="1523">
        <v>-207756</v>
      </c>
    </row>
    <row r="29" spans="2:4" ht="11.25" customHeight="1">
      <c r="B29" s="1491" t="s">
        <v>577</v>
      </c>
      <c r="C29" s="1433">
        <v>-70758</v>
      </c>
      <c r="D29" s="1523">
        <v>-48464</v>
      </c>
    </row>
    <row r="30" spans="2:4" ht="11.25" customHeight="1">
      <c r="B30" s="1491" t="s">
        <v>578</v>
      </c>
      <c r="C30" s="1433">
        <v>19994</v>
      </c>
      <c r="D30" s="1523">
        <v>13784</v>
      </c>
    </row>
    <row r="31" spans="2:4" ht="11.25" customHeight="1" thickBot="1">
      <c r="B31" s="1565" t="s">
        <v>579</v>
      </c>
      <c r="C31" s="1572">
        <v>126503</v>
      </c>
      <c r="D31" s="1573">
        <v>119118</v>
      </c>
    </row>
    <row r="32" spans="2:4" ht="14.25" customHeight="1">
      <c r="B32" s="1358" t="s">
        <v>580</v>
      </c>
      <c r="C32" s="1437">
        <v>-233846</v>
      </c>
      <c r="D32" s="1566">
        <v>-123318</v>
      </c>
    </row>
    <row r="33" spans="2:4" ht="11.25" customHeight="1">
      <c r="B33" s="1358"/>
      <c r="C33" s="1566"/>
      <c r="D33" s="1523"/>
    </row>
    <row r="34" spans="2:4" ht="11.25" customHeight="1">
      <c r="B34" s="1358" t="s">
        <v>581</v>
      </c>
      <c r="C34" s="1437">
        <v>34271</v>
      </c>
      <c r="D34" s="1566">
        <v>18339</v>
      </c>
    </row>
    <row r="35" spans="2:4" ht="11.25" customHeight="1">
      <c r="B35" s="1358"/>
      <c r="C35" s="1566"/>
      <c r="D35" s="1523"/>
    </row>
    <row r="36" spans="2:4" ht="11.25" customHeight="1">
      <c r="B36" s="1358" t="s">
        <v>582</v>
      </c>
      <c r="C36" s="1437">
        <v>-14615</v>
      </c>
      <c r="D36" s="1566">
        <v>-11984</v>
      </c>
    </row>
    <row r="37" spans="2:4" ht="11.25" customHeight="1">
      <c r="B37" s="1491"/>
      <c r="C37" s="1522"/>
      <c r="D37" s="1566"/>
    </row>
    <row r="38" spans="2:4" ht="11.25" customHeight="1">
      <c r="B38" s="1358" t="s">
        <v>583</v>
      </c>
      <c r="C38" s="1437">
        <v>102499</v>
      </c>
      <c r="D38" s="1566">
        <v>105289</v>
      </c>
    </row>
    <row r="39" spans="2:4" ht="11.25" customHeight="1">
      <c r="B39" s="1358"/>
      <c r="C39" s="1566"/>
      <c r="D39" s="1566"/>
    </row>
    <row r="40" spans="2:4" ht="11.25" customHeight="1">
      <c r="B40" s="1358" t="s">
        <v>584</v>
      </c>
      <c r="C40" s="1437">
        <v>-149056</v>
      </c>
      <c r="D40" s="1566">
        <v>-119664</v>
      </c>
    </row>
    <row r="41" spans="2:4" ht="11.25" customHeight="1" thickBot="1">
      <c r="B41" s="1574"/>
      <c r="C41" s="1524"/>
      <c r="D41" s="1524"/>
    </row>
    <row r="42" spans="2:4">
      <c r="B42" s="1358" t="s">
        <v>567</v>
      </c>
      <c r="C42" s="1437">
        <v>1178708</v>
      </c>
      <c r="D42" s="1566">
        <v>1007721</v>
      </c>
    </row>
  </sheetData>
  <mergeCells count="1">
    <mergeCell ref="B2:B4"/>
  </mergeCells>
  <pageMargins left="0.7" right="0.7" top="0.75" bottom="0.75" header="0.3" footer="0.3"/>
  <pageSetup paperSize="9" scale="96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B2:D26"/>
  <sheetViews>
    <sheetView showGridLines="0" view="pageBreakPreview" zoomScale="60" zoomScaleNormal="80" workbookViewId="0">
      <selection activeCell="B30" sqref="B30"/>
    </sheetView>
  </sheetViews>
  <sheetFormatPr defaultColWidth="9.109375" defaultRowHeight="13.2"/>
  <cols>
    <col min="1" max="1" width="9.21875" style="1343" customWidth="1"/>
    <col min="2" max="2" width="83.77734375" style="1343" bestFit="1" customWidth="1"/>
    <col min="3" max="4" width="10.6640625" style="1343" customWidth="1"/>
    <col min="5" max="16384" width="9.109375" style="1343"/>
  </cols>
  <sheetData>
    <row r="2" spans="2:4" ht="15.75" customHeight="1">
      <c r="B2" s="1575" t="s">
        <v>585</v>
      </c>
      <c r="C2" s="1575"/>
    </row>
    <row r="3" spans="2:4" ht="12.75" customHeight="1">
      <c r="B3" s="1576"/>
      <c r="C3" s="1576"/>
    </row>
    <row r="4" spans="2:4" ht="12.75" customHeight="1">
      <c r="B4" s="1647" t="s">
        <v>586</v>
      </c>
      <c r="C4" s="1345" t="s">
        <v>563</v>
      </c>
      <c r="D4" s="1345" t="s">
        <v>563</v>
      </c>
    </row>
    <row r="5" spans="2:4" ht="12.75" customHeight="1" thickBot="1">
      <c r="B5" s="1650"/>
      <c r="C5" s="1450" t="s">
        <v>493</v>
      </c>
      <c r="D5" s="1450" t="s">
        <v>156</v>
      </c>
    </row>
    <row r="6" spans="2:4" ht="12.75" customHeight="1">
      <c r="B6" s="1514" t="s">
        <v>512</v>
      </c>
      <c r="C6" s="1515">
        <v>0.13100000000000001</v>
      </c>
      <c r="D6" s="1577">
        <v>0.13800000000000001</v>
      </c>
    </row>
    <row r="7" spans="2:4" ht="12.75" customHeight="1">
      <c r="B7" s="1391" t="s">
        <v>587</v>
      </c>
      <c r="C7" s="1517">
        <v>3.3000000000000002E-2</v>
      </c>
      <c r="D7" s="1578">
        <v>3.5999999999999997E-2</v>
      </c>
    </row>
    <row r="8" spans="2:4" ht="12.75" customHeight="1">
      <c r="B8" s="1391" t="s">
        <v>588</v>
      </c>
      <c r="C8" s="1517">
        <v>2.5999999999999999E-2</v>
      </c>
      <c r="D8" s="1578">
        <v>2.5000000000000001E-2</v>
      </c>
    </row>
    <row r="9" spans="2:4" ht="12.75" customHeight="1" thickBot="1">
      <c r="B9" s="1353" t="s">
        <v>589</v>
      </c>
      <c r="C9" s="1579">
        <v>0.10299999999999999</v>
      </c>
      <c r="D9" s="1580">
        <v>0.112</v>
      </c>
    </row>
    <row r="10" spans="2:4" ht="12.75" customHeight="1">
      <c r="B10" s="1366" t="s">
        <v>590</v>
      </c>
      <c r="C10" s="1563">
        <v>0.29299999999999998</v>
      </c>
      <c r="D10" s="1564">
        <v>0.312</v>
      </c>
    </row>
    <row r="11" spans="2:4" ht="12.75" customHeight="1">
      <c r="B11" s="1391" t="s">
        <v>591</v>
      </c>
      <c r="C11" s="1517">
        <v>2E-3</v>
      </c>
      <c r="D11" s="1578">
        <v>2E-3</v>
      </c>
    </row>
    <row r="12" spans="2:4" ht="12.75" customHeight="1" thickBot="1">
      <c r="B12" s="1353" t="s">
        <v>519</v>
      </c>
      <c r="C12" s="1579">
        <v>1.2E-2</v>
      </c>
      <c r="D12" s="1580">
        <v>1.2999999999999999E-2</v>
      </c>
    </row>
    <row r="13" spans="2:4" ht="12.75" customHeight="1">
      <c r="B13" s="1366" t="s">
        <v>592</v>
      </c>
      <c r="C13" s="1563">
        <v>0.307</v>
      </c>
      <c r="D13" s="1564">
        <v>0.32800000000000001</v>
      </c>
    </row>
    <row r="14" spans="2:4" ht="12" customHeight="1">
      <c r="B14" s="1391"/>
      <c r="C14" s="1352"/>
      <c r="D14" s="1344"/>
    </row>
    <row r="15" spans="2:4" ht="16.2" thickBot="1">
      <c r="B15" s="1519" t="s">
        <v>593</v>
      </c>
      <c r="C15" s="1450" t="s">
        <v>2</v>
      </c>
      <c r="D15" s="1450" t="s">
        <v>2</v>
      </c>
    </row>
    <row r="16" spans="2:4" ht="12.75" customHeight="1">
      <c r="B16" s="1391" t="s">
        <v>512</v>
      </c>
      <c r="C16" s="1349">
        <v>42518</v>
      </c>
      <c r="D16" s="1351">
        <v>40813</v>
      </c>
    </row>
    <row r="17" spans="2:4" ht="12.75" customHeight="1">
      <c r="B17" s="1391" t="s">
        <v>587</v>
      </c>
      <c r="C17" s="1349">
        <v>10741</v>
      </c>
      <c r="D17" s="1351">
        <v>10741</v>
      </c>
    </row>
    <row r="18" spans="2:4" ht="12.75" customHeight="1">
      <c r="B18" s="1391" t="s">
        <v>588</v>
      </c>
      <c r="C18" s="1349">
        <v>8369</v>
      </c>
      <c r="D18" s="1351">
        <v>7416</v>
      </c>
    </row>
    <row r="19" spans="2:4" ht="12.75" customHeight="1" thickBot="1">
      <c r="B19" s="1353" t="s">
        <v>589</v>
      </c>
      <c r="C19" s="1354">
        <v>33674</v>
      </c>
      <c r="D19" s="1356">
        <v>33025</v>
      </c>
    </row>
    <row r="20" spans="2:4" ht="12.75" customHeight="1">
      <c r="B20" s="1366" t="s">
        <v>590</v>
      </c>
      <c r="C20" s="1359">
        <v>95302</v>
      </c>
      <c r="D20" s="1361">
        <v>91995</v>
      </c>
    </row>
    <row r="21" spans="2:4" ht="12.75" customHeight="1">
      <c r="B21" s="1391" t="s">
        <v>591</v>
      </c>
      <c r="C21" s="1367">
        <v>753</v>
      </c>
      <c r="D21" s="1352">
        <v>687</v>
      </c>
    </row>
    <row r="22" spans="2:4" ht="12.75" customHeight="1" thickBot="1">
      <c r="B22" s="1353" t="s">
        <v>519</v>
      </c>
      <c r="C22" s="1354">
        <v>4013</v>
      </c>
      <c r="D22" s="1356">
        <v>3984</v>
      </c>
    </row>
    <row r="23" spans="2:4" ht="12" customHeight="1">
      <c r="B23" s="1366" t="s">
        <v>592</v>
      </c>
      <c r="C23" s="1359">
        <v>100068</v>
      </c>
      <c r="D23" s="1361">
        <v>96666</v>
      </c>
    </row>
    <row r="24" spans="2:4" ht="12.75" customHeight="1" thickBot="1">
      <c r="B24" s="1395"/>
      <c r="C24" s="1393"/>
      <c r="D24" s="1357"/>
    </row>
    <row r="25" spans="2:4">
      <c r="B25" s="1366" t="s">
        <v>521</v>
      </c>
      <c r="C25" s="1359">
        <v>325631</v>
      </c>
      <c r="D25" s="1361">
        <v>295131</v>
      </c>
    </row>
    <row r="26" spans="2:4">
      <c r="B26" s="1558"/>
    </row>
  </sheetData>
  <mergeCells count="1">
    <mergeCell ref="B4:B5"/>
  </mergeCells>
  <pageMargins left="0.7" right="0.7" top="0.75" bottom="0.75" header="0.3" footer="0.3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2:E25"/>
  <sheetViews>
    <sheetView showGridLines="0" view="pageBreakPreview" zoomScale="60" zoomScaleNormal="80" workbookViewId="0">
      <selection activeCell="D43" sqref="D43"/>
    </sheetView>
  </sheetViews>
  <sheetFormatPr defaultColWidth="9.109375" defaultRowHeight="13.2"/>
  <cols>
    <col min="1" max="1" width="9.21875" style="1343" customWidth="1"/>
    <col min="2" max="2" width="59.77734375" style="1595" customWidth="1"/>
    <col min="3" max="3" width="5.6640625" style="1595" customWidth="1"/>
    <col min="4" max="4" width="13.77734375" style="1595" customWidth="1"/>
    <col min="5" max="5" width="13.77734375" style="1343" customWidth="1"/>
    <col min="6" max="16384" width="9.109375" style="1343"/>
  </cols>
  <sheetData>
    <row r="2" spans="2:5" ht="15.6">
      <c r="B2" s="1645" t="s">
        <v>594</v>
      </c>
      <c r="C2" s="1645"/>
      <c r="D2" s="1645"/>
      <c r="E2" s="1645"/>
    </row>
    <row r="3" spans="2:5" ht="24.45" customHeight="1">
      <c r="B3" s="1385"/>
      <c r="C3" s="1581"/>
      <c r="D3" s="1345" t="s">
        <v>595</v>
      </c>
      <c r="E3" s="1345" t="s">
        <v>595</v>
      </c>
    </row>
    <row r="4" spans="2:5">
      <c r="B4" s="1385"/>
      <c r="C4" s="1581"/>
      <c r="D4" s="1345" t="s">
        <v>493</v>
      </c>
      <c r="E4" s="1345" t="s">
        <v>493</v>
      </c>
    </row>
    <row r="5" spans="2:5" ht="13.8" thickBot="1">
      <c r="B5" s="1489"/>
      <c r="C5" s="1582"/>
      <c r="D5" s="1490" t="s">
        <v>2</v>
      </c>
      <c r="E5" s="1490" t="s">
        <v>2</v>
      </c>
    </row>
    <row r="6" spans="2:5">
      <c r="B6" s="1348" t="s">
        <v>101</v>
      </c>
      <c r="C6" s="1583"/>
      <c r="D6" s="1584">
        <v>6283</v>
      </c>
      <c r="E6" s="1585">
        <v>5252</v>
      </c>
    </row>
    <row r="7" spans="2:5" ht="13.8" thickBot="1">
      <c r="B7" s="1432" t="s">
        <v>596</v>
      </c>
      <c r="C7" s="1586"/>
      <c r="D7" s="1493">
        <v>-2115</v>
      </c>
      <c r="E7" s="1534">
        <v>-448</v>
      </c>
    </row>
    <row r="8" spans="2:5">
      <c r="B8" s="1358" t="s">
        <v>172</v>
      </c>
      <c r="C8" s="1587"/>
      <c r="D8" s="1494">
        <v>4168</v>
      </c>
      <c r="E8" s="1531">
        <v>4804</v>
      </c>
    </row>
    <row r="9" spans="2:5">
      <c r="B9" s="1491" t="s">
        <v>597</v>
      </c>
      <c r="C9" s="1583"/>
      <c r="D9" s="1492">
        <v>-3253</v>
      </c>
      <c r="E9" s="1532">
        <v>-3257</v>
      </c>
    </row>
    <row r="10" spans="2:5" ht="13.8" thickBot="1">
      <c r="B10" s="1363" t="s">
        <v>4</v>
      </c>
      <c r="C10" s="1586"/>
      <c r="D10" s="1493">
        <v>-10</v>
      </c>
      <c r="E10" s="1534">
        <v>-61</v>
      </c>
    </row>
    <row r="11" spans="2:5">
      <c r="B11" s="1377" t="s">
        <v>0</v>
      </c>
      <c r="C11" s="1583"/>
      <c r="D11" s="1494">
        <v>-3263</v>
      </c>
      <c r="E11" s="1531">
        <v>-3318</v>
      </c>
    </row>
    <row r="12" spans="2:5" ht="13.8" thickBot="1">
      <c r="B12" s="1363" t="s">
        <v>9</v>
      </c>
      <c r="C12" s="1586"/>
      <c r="D12" s="1493">
        <v>8</v>
      </c>
      <c r="E12" s="1534">
        <v>-3</v>
      </c>
    </row>
    <row r="13" spans="2:5">
      <c r="B13" s="1358" t="s">
        <v>102</v>
      </c>
      <c r="C13" s="1587"/>
      <c r="D13" s="1494">
        <v>913</v>
      </c>
      <c r="E13" s="1531">
        <v>1483</v>
      </c>
    </row>
    <row r="14" spans="2:5" ht="13.8" thickBot="1">
      <c r="B14" s="1432" t="s">
        <v>598</v>
      </c>
      <c r="C14" s="1588"/>
      <c r="D14" s="1493">
        <v>-71</v>
      </c>
      <c r="E14" s="1534">
        <v>-248</v>
      </c>
    </row>
    <row r="15" spans="2:5">
      <c r="B15" s="1358" t="s">
        <v>599</v>
      </c>
      <c r="C15" s="1491"/>
      <c r="D15" s="1494">
        <v>842</v>
      </c>
      <c r="E15" s="1531">
        <v>1235</v>
      </c>
    </row>
    <row r="16" spans="2:5">
      <c r="B16" s="1358"/>
      <c r="C16" s="1583"/>
      <c r="D16" s="1531"/>
      <c r="E16" s="1531"/>
    </row>
    <row r="17" spans="2:5" ht="13.8" thickBot="1">
      <c r="B17" s="1574" t="s">
        <v>600</v>
      </c>
      <c r="C17" s="1586"/>
      <c r="D17" s="1589"/>
      <c r="E17" s="1589"/>
    </row>
    <row r="18" spans="2:5">
      <c r="B18" s="1348" t="s">
        <v>601</v>
      </c>
      <c r="C18" s="1590"/>
      <c r="D18" s="1492">
        <v>605</v>
      </c>
      <c r="E18" s="1532">
        <v>1038</v>
      </c>
    </row>
    <row r="19" spans="2:5" ht="13.8" thickBot="1">
      <c r="B19" s="1432" t="s">
        <v>602</v>
      </c>
      <c r="C19" s="1588"/>
      <c r="D19" s="1493">
        <v>221</v>
      </c>
      <c r="E19" s="1534">
        <v>180</v>
      </c>
    </row>
    <row r="20" spans="2:5">
      <c r="B20" s="1377" t="s">
        <v>603</v>
      </c>
      <c r="C20" s="1590"/>
      <c r="D20" s="1494">
        <v>826</v>
      </c>
      <c r="E20" s="1531">
        <v>1218</v>
      </c>
    </row>
    <row r="21" spans="2:5" ht="13.8" thickBot="1">
      <c r="B21" s="1432" t="s">
        <v>604</v>
      </c>
      <c r="C21" s="1586"/>
      <c r="D21" s="1493">
        <v>16</v>
      </c>
      <c r="E21" s="1534">
        <v>17</v>
      </c>
    </row>
    <row r="22" spans="2:5">
      <c r="B22" s="1377" t="s">
        <v>599</v>
      </c>
      <c r="C22" s="1590"/>
      <c r="D22" s="1494">
        <v>842</v>
      </c>
      <c r="E22" s="1531">
        <v>1235</v>
      </c>
    </row>
    <row r="23" spans="2:5">
      <c r="B23" s="1348"/>
      <c r="C23" s="1590"/>
      <c r="D23" s="1522"/>
      <c r="E23" s="1522"/>
    </row>
    <row r="24" spans="2:5" ht="13.8" thickBot="1">
      <c r="B24" s="1591" t="s">
        <v>605</v>
      </c>
      <c r="C24" s="1592"/>
      <c r="D24" s="1593" t="s">
        <v>395</v>
      </c>
      <c r="E24" s="1593" t="s">
        <v>395</v>
      </c>
    </row>
    <row r="25" spans="2:5">
      <c r="B25" s="1348" t="s">
        <v>229</v>
      </c>
      <c r="C25" s="1590"/>
      <c r="D25" s="1423">
        <v>3.5</v>
      </c>
      <c r="E25" s="1594">
        <v>6.1</v>
      </c>
    </row>
  </sheetData>
  <mergeCells count="1">
    <mergeCell ref="B2:E2"/>
  </mergeCells>
  <pageMargins left="0.75" right="0.75" top="1" bottom="1" header="0.5" footer="0.5"/>
  <pageSetup paperSize="9" scale="9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B2:E45"/>
  <sheetViews>
    <sheetView showGridLines="0" view="pageBreakPreview" zoomScale="60" zoomScaleNormal="80" workbookViewId="0">
      <selection activeCell="B55" sqref="B55"/>
    </sheetView>
  </sheetViews>
  <sheetFormatPr defaultColWidth="9.109375" defaultRowHeight="13.2"/>
  <cols>
    <col min="1" max="1" width="9.21875" style="1343" customWidth="1"/>
    <col min="2" max="2" width="68" style="1343" bestFit="1" customWidth="1"/>
    <col min="3" max="3" width="9.77734375" style="1343" customWidth="1"/>
    <col min="4" max="5" width="10.6640625" style="1343" customWidth="1"/>
    <col min="6" max="9" width="9.77734375" style="1343" customWidth="1"/>
    <col min="10" max="16384" width="9.109375" style="1343"/>
  </cols>
  <sheetData>
    <row r="2" spans="2:5" ht="15.6">
      <c r="B2" s="1651" t="s">
        <v>606</v>
      </c>
      <c r="C2" s="1651"/>
      <c r="D2" s="1651"/>
      <c r="E2" s="1651"/>
    </row>
    <row r="3" spans="2:5" ht="14.4">
      <c r="B3" s="1596"/>
      <c r="C3" s="1597"/>
      <c r="D3" s="1345" t="s">
        <v>563</v>
      </c>
      <c r="E3" s="1345" t="s">
        <v>563</v>
      </c>
    </row>
    <row r="4" spans="2:5">
      <c r="B4" s="1598"/>
      <c r="C4" s="1599"/>
      <c r="D4" s="1559" t="s">
        <v>493</v>
      </c>
      <c r="E4" s="1559" t="s">
        <v>156</v>
      </c>
    </row>
    <row r="5" spans="2:5" ht="13.8" thickBot="1">
      <c r="B5" s="1600" t="s">
        <v>142</v>
      </c>
      <c r="C5" s="1601"/>
      <c r="D5" s="1602" t="s">
        <v>2</v>
      </c>
      <c r="E5" s="1602" t="s">
        <v>2</v>
      </c>
    </row>
    <row r="6" spans="2:5">
      <c r="B6" s="1391" t="s">
        <v>607</v>
      </c>
      <c r="C6" s="1603"/>
      <c r="D6" s="1492">
        <v>151805</v>
      </c>
      <c r="E6" s="1532">
        <v>150258</v>
      </c>
    </row>
    <row r="7" spans="2:5">
      <c r="B7" s="1443" t="s">
        <v>116</v>
      </c>
      <c r="C7" s="1603"/>
      <c r="D7" s="1492">
        <v>157162</v>
      </c>
      <c r="E7" s="1532">
        <v>83256</v>
      </c>
    </row>
    <row r="8" spans="2:5">
      <c r="B8" s="1391" t="s">
        <v>115</v>
      </c>
      <c r="C8" s="1603"/>
      <c r="D8" s="1492">
        <v>374149</v>
      </c>
      <c r="E8" s="1532">
        <v>339115</v>
      </c>
    </row>
    <row r="9" spans="2:5">
      <c r="B9" s="1391" t="s">
        <v>608</v>
      </c>
      <c r="C9" s="1604"/>
      <c r="D9" s="1492">
        <v>15384</v>
      </c>
      <c r="E9" s="1532">
        <v>3379</v>
      </c>
    </row>
    <row r="10" spans="2:5">
      <c r="B10" s="1391" t="s">
        <v>123</v>
      </c>
      <c r="C10" s="1604"/>
      <c r="D10" s="1492">
        <v>102000</v>
      </c>
      <c r="E10" s="1532">
        <v>114195</v>
      </c>
    </row>
    <row r="11" spans="2:5">
      <c r="B11" s="1391" t="s">
        <v>119</v>
      </c>
      <c r="C11" s="1603"/>
      <c r="D11" s="1492">
        <v>193107</v>
      </c>
      <c r="E11" s="1532">
        <v>133086</v>
      </c>
    </row>
    <row r="12" spans="2:5">
      <c r="B12" s="1391" t="s">
        <v>569</v>
      </c>
      <c r="C12" s="1603"/>
      <c r="D12" s="1492">
        <v>342120</v>
      </c>
      <c r="E12" s="1532">
        <v>229236</v>
      </c>
    </row>
    <row r="13" spans="2:5">
      <c r="B13" s="1391" t="s">
        <v>609</v>
      </c>
      <c r="C13" s="1603"/>
      <c r="D13" s="1492">
        <v>83367</v>
      </c>
      <c r="E13" s="1532">
        <v>65750</v>
      </c>
    </row>
    <row r="14" spans="2:5">
      <c r="B14" s="1391" t="s">
        <v>610</v>
      </c>
      <c r="C14" s="1603"/>
      <c r="D14" s="1492">
        <v>739</v>
      </c>
      <c r="E14" s="1532">
        <v>721</v>
      </c>
    </row>
    <row r="15" spans="2:5">
      <c r="B15" s="1391" t="s">
        <v>504</v>
      </c>
      <c r="C15" s="1603"/>
      <c r="D15" s="1492">
        <v>8209</v>
      </c>
      <c r="E15" s="1532">
        <v>8119</v>
      </c>
    </row>
    <row r="16" spans="2:5">
      <c r="B16" s="1391" t="s">
        <v>611</v>
      </c>
      <c r="C16" s="1603"/>
      <c r="D16" s="1492">
        <v>510</v>
      </c>
      <c r="E16" s="1532">
        <v>412</v>
      </c>
    </row>
    <row r="17" spans="2:5">
      <c r="B17" s="1391" t="s">
        <v>612</v>
      </c>
      <c r="C17" s="1603"/>
      <c r="D17" s="1492">
        <v>2713</v>
      </c>
      <c r="E17" s="1532">
        <v>3290</v>
      </c>
    </row>
    <row r="18" spans="2:5" ht="13.8" thickBot="1">
      <c r="B18" s="1353" t="s">
        <v>120</v>
      </c>
      <c r="C18" s="1605"/>
      <c r="D18" s="1493">
        <v>13031</v>
      </c>
      <c r="E18" s="1534">
        <v>9412</v>
      </c>
    </row>
    <row r="19" spans="2:5">
      <c r="B19" s="1447" t="s">
        <v>10</v>
      </c>
      <c r="C19" s="1606"/>
      <c r="D19" s="1494">
        <v>1444296</v>
      </c>
      <c r="E19" s="1531">
        <v>1140229</v>
      </c>
    </row>
    <row r="20" spans="2:5">
      <c r="B20" s="1447"/>
      <c r="C20" s="1603"/>
      <c r="D20" s="1566"/>
      <c r="E20" s="1521"/>
    </row>
    <row r="21" spans="2:5" ht="13.8" thickBot="1">
      <c r="B21" s="1600" t="s">
        <v>613</v>
      </c>
      <c r="C21" s="1605"/>
      <c r="D21" s="1607"/>
      <c r="E21" s="1608"/>
    </row>
    <row r="22" spans="2:5">
      <c r="B22" s="1391" t="s">
        <v>122</v>
      </c>
      <c r="C22" s="1603"/>
      <c r="D22" s="1492">
        <v>470698</v>
      </c>
      <c r="E22" s="1532">
        <v>415787</v>
      </c>
    </row>
    <row r="23" spans="2:5">
      <c r="B23" s="1391" t="s">
        <v>116</v>
      </c>
      <c r="C23" s="1603"/>
      <c r="D23" s="1492">
        <v>127052</v>
      </c>
      <c r="E23" s="1532">
        <v>67341</v>
      </c>
    </row>
    <row r="24" spans="2:5">
      <c r="B24" s="1391" t="s">
        <v>614</v>
      </c>
      <c r="C24" s="1603"/>
      <c r="D24" s="1492">
        <v>35958</v>
      </c>
      <c r="E24" s="1532">
        <v>14517</v>
      </c>
    </row>
    <row r="25" spans="2:5">
      <c r="B25" s="1391" t="s">
        <v>615</v>
      </c>
      <c r="C25" s="1603"/>
      <c r="D25" s="1492">
        <v>87961</v>
      </c>
      <c r="E25" s="1532">
        <v>76369</v>
      </c>
    </row>
    <row r="26" spans="2:5">
      <c r="B26" s="1391" t="s">
        <v>616</v>
      </c>
      <c r="C26" s="1603"/>
      <c r="D26" s="1492">
        <v>19595</v>
      </c>
      <c r="E26" s="1532">
        <v>18156</v>
      </c>
    </row>
    <row r="27" spans="2:5">
      <c r="B27" s="1391" t="s">
        <v>617</v>
      </c>
      <c r="C27" s="1603"/>
      <c r="D27" s="1492">
        <v>54125</v>
      </c>
      <c r="E27" s="1532">
        <v>36916</v>
      </c>
    </row>
    <row r="28" spans="2:5">
      <c r="B28" s="1391" t="s">
        <v>618</v>
      </c>
      <c r="C28" s="1348"/>
      <c r="D28" s="1492">
        <v>227632</v>
      </c>
      <c r="E28" s="1532">
        <v>204326</v>
      </c>
    </row>
    <row r="29" spans="2:5">
      <c r="B29" s="1391" t="s">
        <v>569</v>
      </c>
      <c r="C29" s="1603"/>
      <c r="D29" s="1492">
        <v>338982</v>
      </c>
      <c r="E29" s="1532">
        <v>229204</v>
      </c>
    </row>
    <row r="30" spans="2:5">
      <c r="B30" s="1391" t="s">
        <v>619</v>
      </c>
      <c r="C30" s="1603"/>
      <c r="D30" s="1492">
        <v>294</v>
      </c>
      <c r="E30" s="1532">
        <v>313</v>
      </c>
    </row>
    <row r="31" spans="2:5">
      <c r="B31" s="1391" t="s">
        <v>620</v>
      </c>
      <c r="C31" s="1603"/>
      <c r="D31" s="1492">
        <v>516</v>
      </c>
      <c r="E31" s="1532">
        <v>23</v>
      </c>
    </row>
    <row r="32" spans="2:5" ht="13.8" thickBot="1">
      <c r="B32" s="1353" t="s">
        <v>621</v>
      </c>
      <c r="C32" s="1605"/>
      <c r="D32" s="1493">
        <v>11883</v>
      </c>
      <c r="E32" s="1534">
        <v>11617</v>
      </c>
    </row>
    <row r="33" spans="2:5">
      <c r="B33" s="1447" t="s">
        <v>622</v>
      </c>
      <c r="C33" s="1606"/>
      <c r="D33" s="1494">
        <v>1374696</v>
      </c>
      <c r="E33" s="1531">
        <v>1074569</v>
      </c>
    </row>
    <row r="34" spans="2:5">
      <c r="B34" s="1391"/>
      <c r="C34" s="1603"/>
      <c r="D34" s="1556"/>
      <c r="E34" s="1532"/>
    </row>
    <row r="35" spans="2:5" ht="13.8" thickBot="1">
      <c r="B35" s="1600" t="s">
        <v>623</v>
      </c>
      <c r="C35" s="1605"/>
      <c r="D35" s="1607"/>
      <c r="E35" s="1608"/>
    </row>
    <row r="36" spans="2:5">
      <c r="B36" s="1391" t="s">
        <v>624</v>
      </c>
      <c r="C36" s="1603"/>
      <c r="D36" s="1492">
        <v>4607</v>
      </c>
      <c r="E36" s="1532">
        <v>4594</v>
      </c>
    </row>
    <row r="37" spans="2:5">
      <c r="B37" s="1443" t="s">
        <v>533</v>
      </c>
      <c r="C37" s="1603"/>
      <c r="D37" s="1492">
        <v>6166</v>
      </c>
      <c r="E37" s="1532">
        <v>4760</v>
      </c>
    </row>
    <row r="38" spans="2:5" ht="13.8" thickBot="1">
      <c r="B38" s="1445" t="s">
        <v>625</v>
      </c>
      <c r="C38" s="1609"/>
      <c r="D38" s="1493">
        <v>46725</v>
      </c>
      <c r="E38" s="1534">
        <v>44204</v>
      </c>
    </row>
    <row r="39" spans="2:5" ht="13.05" customHeight="1">
      <c r="B39" s="1366" t="s">
        <v>626</v>
      </c>
      <c r="C39" s="1603"/>
      <c r="D39" s="1494">
        <v>57498</v>
      </c>
      <c r="E39" s="1531">
        <v>53558</v>
      </c>
    </row>
    <row r="40" spans="2:5" ht="13.8" thickBot="1">
      <c r="B40" s="1445" t="s">
        <v>627</v>
      </c>
      <c r="C40" s="1605"/>
      <c r="D40" s="1493">
        <v>10871</v>
      </c>
      <c r="E40" s="1534">
        <v>10871</v>
      </c>
    </row>
    <row r="41" spans="2:5">
      <c r="B41" s="1366" t="s">
        <v>628</v>
      </c>
      <c r="C41" s="1603"/>
      <c r="D41" s="1494">
        <v>68369</v>
      </c>
      <c r="E41" s="1531">
        <v>64429</v>
      </c>
    </row>
    <row r="42" spans="2:5" ht="13.8" thickBot="1">
      <c r="B42" s="1353" t="s">
        <v>604</v>
      </c>
      <c r="C42" s="1605"/>
      <c r="D42" s="1493">
        <v>1231</v>
      </c>
      <c r="E42" s="1534">
        <v>1231</v>
      </c>
    </row>
    <row r="43" spans="2:5">
      <c r="B43" s="1447" t="s">
        <v>629</v>
      </c>
      <c r="C43" s="1606"/>
      <c r="D43" s="1494">
        <v>69600</v>
      </c>
      <c r="E43" s="1531">
        <v>65660</v>
      </c>
    </row>
    <row r="44" spans="2:5" ht="13.8" thickBot="1">
      <c r="B44" s="1442"/>
      <c r="C44" s="1610"/>
      <c r="D44" s="1611"/>
      <c r="E44" s="1611"/>
    </row>
    <row r="45" spans="2:5">
      <c r="B45" s="1447" t="s">
        <v>630</v>
      </c>
      <c r="C45" s="1606"/>
      <c r="D45" s="1494">
        <v>1444296</v>
      </c>
      <c r="E45" s="1531">
        <v>1140229</v>
      </c>
    </row>
  </sheetData>
  <mergeCells count="1">
    <mergeCell ref="B2:E2"/>
  </mergeCells>
  <pageMargins left="0.75" right="0.75" top="1" bottom="1" header="0.5" footer="0.5"/>
  <pageSetup paperSize="9" scale="7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2:J25"/>
  <sheetViews>
    <sheetView showGridLines="0" view="pageBreakPreview" zoomScale="60" zoomScaleNormal="80" workbookViewId="0">
      <selection activeCell="K16" sqref="K16"/>
    </sheetView>
  </sheetViews>
  <sheetFormatPr defaultColWidth="9.109375" defaultRowHeight="13.2"/>
  <cols>
    <col min="1" max="1" width="9.21875" style="1343" customWidth="1"/>
    <col min="2" max="2" width="40.33203125" style="1343" customWidth="1"/>
    <col min="3" max="3" width="10.6640625" style="1612" customWidth="1"/>
    <col min="4" max="4" width="11.77734375" style="1612" customWidth="1"/>
    <col min="5" max="7" width="10.6640625" style="1612" customWidth="1"/>
    <col min="8" max="8" width="11.77734375" style="1612" customWidth="1"/>
    <col min="9" max="9" width="10.6640625" style="1612" customWidth="1"/>
    <col min="10" max="10" width="9.109375" style="1612"/>
    <col min="11" max="16384" width="9.109375" style="1343"/>
  </cols>
  <sheetData>
    <row r="2" spans="2:9" ht="15.6">
      <c r="B2" s="1645" t="s">
        <v>631</v>
      </c>
      <c r="C2" s="1645"/>
      <c r="D2" s="1645"/>
      <c r="E2" s="1645"/>
      <c r="F2" s="1645"/>
      <c r="G2" s="1645"/>
      <c r="H2" s="1645"/>
      <c r="I2" s="1645"/>
    </row>
    <row r="3" spans="2:9" ht="45.6">
      <c r="B3" s="1613"/>
      <c r="C3" s="1538" t="s">
        <v>624</v>
      </c>
      <c r="D3" s="1538" t="s">
        <v>627</v>
      </c>
      <c r="E3" s="1538" t="s">
        <v>533</v>
      </c>
      <c r="F3" s="1538" t="s">
        <v>632</v>
      </c>
      <c r="G3" s="1538" t="s">
        <v>423</v>
      </c>
      <c r="H3" s="1538" t="s">
        <v>604</v>
      </c>
      <c r="I3" s="1538" t="s">
        <v>629</v>
      </c>
    </row>
    <row r="4" spans="2:9" ht="13.8" thickBot="1">
      <c r="B4" s="1389" t="s">
        <v>405</v>
      </c>
      <c r="C4" s="1347" t="s">
        <v>2</v>
      </c>
      <c r="D4" s="1347" t="s">
        <v>2</v>
      </c>
      <c r="E4" s="1347" t="s">
        <v>2</v>
      </c>
      <c r="F4" s="1347" t="s">
        <v>2</v>
      </c>
      <c r="G4" s="1347" t="s">
        <v>2</v>
      </c>
      <c r="H4" s="1347" t="s">
        <v>2</v>
      </c>
      <c r="I4" s="1347" t="s">
        <v>2</v>
      </c>
    </row>
    <row r="5" spans="2:9">
      <c r="B5" s="1366" t="s">
        <v>633</v>
      </c>
      <c r="C5" s="1614">
        <v>4594</v>
      </c>
      <c r="D5" s="1614">
        <v>10871</v>
      </c>
      <c r="E5" s="1614">
        <v>4760</v>
      </c>
      <c r="F5" s="1614">
        <v>44204</v>
      </c>
      <c r="G5" s="1494">
        <v>64429</v>
      </c>
      <c r="H5" s="1614">
        <v>1231</v>
      </c>
      <c r="I5" s="1494">
        <v>65660</v>
      </c>
    </row>
    <row r="6" spans="2:9">
      <c r="B6" s="1391" t="s">
        <v>599</v>
      </c>
      <c r="C6" s="1556" t="s">
        <v>151</v>
      </c>
      <c r="D6" s="1556">
        <v>221</v>
      </c>
      <c r="E6" s="1556" t="s">
        <v>151</v>
      </c>
      <c r="F6" s="1556">
        <v>605</v>
      </c>
      <c r="G6" s="1492">
        <v>826</v>
      </c>
      <c r="H6" s="1556">
        <v>16</v>
      </c>
      <c r="I6" s="1492">
        <v>842</v>
      </c>
    </row>
    <row r="7" spans="2:9">
      <c r="B7" s="1391" t="s">
        <v>634</v>
      </c>
      <c r="C7" s="1556" t="s">
        <v>151</v>
      </c>
      <c r="D7" s="1556" t="s">
        <v>151</v>
      </c>
      <c r="E7" s="1556" t="s">
        <v>151</v>
      </c>
      <c r="F7" s="1556">
        <v>1990</v>
      </c>
      <c r="G7" s="1492">
        <v>1990</v>
      </c>
      <c r="H7" s="1556" t="s">
        <v>151</v>
      </c>
      <c r="I7" s="1492">
        <v>1990</v>
      </c>
    </row>
    <row r="8" spans="2:9" ht="13.8" thickBot="1">
      <c r="B8" s="1353" t="s">
        <v>409</v>
      </c>
      <c r="C8" s="1557" t="s">
        <v>151</v>
      </c>
      <c r="D8" s="1557" t="s">
        <v>151</v>
      </c>
      <c r="E8" s="1557">
        <v>1407</v>
      </c>
      <c r="F8" s="1557">
        <v>-7</v>
      </c>
      <c r="G8" s="1493">
        <v>1400</v>
      </c>
      <c r="H8" s="1557" t="s">
        <v>151</v>
      </c>
      <c r="I8" s="1493">
        <v>1400</v>
      </c>
    </row>
    <row r="9" spans="2:9">
      <c r="B9" s="1366" t="s">
        <v>635</v>
      </c>
      <c r="C9" s="1614" t="s">
        <v>151</v>
      </c>
      <c r="D9" s="1614">
        <v>221</v>
      </c>
      <c r="E9" s="1614">
        <v>1407</v>
      </c>
      <c r="F9" s="1614">
        <v>2588</v>
      </c>
      <c r="G9" s="1494">
        <v>4216</v>
      </c>
      <c r="H9" s="1614">
        <v>16</v>
      </c>
      <c r="I9" s="1494">
        <v>4232</v>
      </c>
    </row>
    <row r="10" spans="2:9">
      <c r="B10" s="1391" t="s">
        <v>636</v>
      </c>
      <c r="C10" s="1556">
        <v>13</v>
      </c>
      <c r="D10" s="1556" t="s">
        <v>151</v>
      </c>
      <c r="E10" s="1556" t="s">
        <v>151</v>
      </c>
      <c r="F10" s="1556">
        <v>252</v>
      </c>
      <c r="G10" s="1492">
        <v>265</v>
      </c>
      <c r="H10" s="1556" t="s">
        <v>151</v>
      </c>
      <c r="I10" s="1492">
        <v>265</v>
      </c>
    </row>
    <row r="11" spans="2:9">
      <c r="B11" s="1391" t="s">
        <v>637</v>
      </c>
      <c r="C11" s="1556" t="s">
        <v>151</v>
      </c>
      <c r="D11" s="1556">
        <v>-221</v>
      </c>
      <c r="E11" s="1556" t="s">
        <v>151</v>
      </c>
      <c r="F11" s="1556" t="s">
        <v>151</v>
      </c>
      <c r="G11" s="1492">
        <v>-221</v>
      </c>
      <c r="H11" s="1556" t="s">
        <v>151</v>
      </c>
      <c r="I11" s="1492">
        <v>-221</v>
      </c>
    </row>
    <row r="12" spans="2:9">
      <c r="B12" s="1391" t="s">
        <v>638</v>
      </c>
      <c r="C12" s="1556" t="s">
        <v>151</v>
      </c>
      <c r="D12" s="1556" t="s">
        <v>151</v>
      </c>
      <c r="E12" s="1556">
        <v>-1</v>
      </c>
      <c r="F12" s="1556">
        <v>-320</v>
      </c>
      <c r="G12" s="1492">
        <v>-321</v>
      </c>
      <c r="H12" s="1556" t="s">
        <v>151</v>
      </c>
      <c r="I12" s="1492">
        <v>-321</v>
      </c>
    </row>
    <row r="13" spans="2:9">
      <c r="B13" s="1391" t="s">
        <v>639</v>
      </c>
      <c r="C13" s="1556" t="s">
        <v>151</v>
      </c>
      <c r="D13" s="1556" t="s">
        <v>151</v>
      </c>
      <c r="E13" s="1556" t="s">
        <v>151</v>
      </c>
      <c r="F13" s="1556" t="s">
        <v>151</v>
      </c>
      <c r="G13" s="1492" t="s">
        <v>151</v>
      </c>
      <c r="H13" s="1556">
        <v>-16</v>
      </c>
      <c r="I13" s="1492">
        <v>-16</v>
      </c>
    </row>
    <row r="14" spans="2:9" ht="13.8" thickBot="1">
      <c r="B14" s="1353" t="s">
        <v>640</v>
      </c>
      <c r="C14" s="1557" t="s">
        <v>151</v>
      </c>
      <c r="D14" s="1557" t="s">
        <v>151</v>
      </c>
      <c r="E14" s="1557" t="s">
        <v>151</v>
      </c>
      <c r="F14" s="1557">
        <v>1</v>
      </c>
      <c r="G14" s="1493">
        <v>1</v>
      </c>
      <c r="H14" s="1557" t="s">
        <v>151</v>
      </c>
      <c r="I14" s="1493">
        <v>1</v>
      </c>
    </row>
    <row r="15" spans="2:9">
      <c r="B15" s="1366" t="s">
        <v>641</v>
      </c>
      <c r="C15" s="1531">
        <v>4607</v>
      </c>
      <c r="D15" s="1531">
        <v>10871</v>
      </c>
      <c r="E15" s="1531">
        <v>6166</v>
      </c>
      <c r="F15" s="1531">
        <v>46725</v>
      </c>
      <c r="G15" s="1494">
        <v>68369</v>
      </c>
      <c r="H15" s="1531">
        <v>1231</v>
      </c>
      <c r="I15" s="1494">
        <v>69600</v>
      </c>
    </row>
    <row r="16" spans="2:9">
      <c r="B16" s="1391"/>
      <c r="C16" s="1556"/>
      <c r="D16" s="1556"/>
      <c r="E16" s="1556"/>
      <c r="F16" s="1556"/>
      <c r="G16" s="1556"/>
      <c r="H16" s="1556"/>
      <c r="I16" s="1556"/>
    </row>
    <row r="17" spans="2:9">
      <c r="H17" s="1487" t="s">
        <v>563</v>
      </c>
      <c r="I17" s="1487" t="s">
        <v>563</v>
      </c>
    </row>
    <row r="18" spans="2:9">
      <c r="H18" s="1487" t="s">
        <v>493</v>
      </c>
      <c r="I18" s="1487" t="s">
        <v>156</v>
      </c>
    </row>
    <row r="19" spans="2:9" ht="13.8" thickBot="1">
      <c r="B19" s="1574" t="s">
        <v>533</v>
      </c>
      <c r="C19" s="1574"/>
      <c r="D19" s="1574"/>
      <c r="E19" s="1574"/>
      <c r="F19" s="1574"/>
      <c r="G19" s="1574"/>
      <c r="H19" s="1490" t="s">
        <v>2</v>
      </c>
      <c r="I19" s="1490" t="s">
        <v>2</v>
      </c>
    </row>
    <row r="20" spans="2:9">
      <c r="B20" s="1491" t="s">
        <v>532</v>
      </c>
      <c r="C20" s="1491"/>
      <c r="D20" s="1491"/>
      <c r="E20" s="1491"/>
      <c r="F20" s="1491"/>
      <c r="G20" s="1491"/>
      <c r="H20" s="1492">
        <v>4341</v>
      </c>
      <c r="I20" s="1532">
        <v>3344</v>
      </c>
    </row>
    <row r="21" spans="2:9">
      <c r="B21" s="1491" t="s">
        <v>531</v>
      </c>
      <c r="C21" s="1491"/>
      <c r="D21" s="1491"/>
      <c r="E21" s="1491"/>
      <c r="F21" s="1491"/>
      <c r="G21" s="1491"/>
      <c r="H21" s="1492">
        <v>-964</v>
      </c>
      <c r="I21" s="1532">
        <v>-187</v>
      </c>
    </row>
    <row r="22" spans="2:9">
      <c r="B22" s="1491" t="s">
        <v>642</v>
      </c>
      <c r="C22" s="1491"/>
      <c r="D22" s="1491"/>
      <c r="E22" s="1491"/>
      <c r="F22" s="1491"/>
      <c r="G22" s="1491"/>
      <c r="H22" s="1492">
        <v>1709</v>
      </c>
      <c r="I22" s="1532">
        <v>1002</v>
      </c>
    </row>
    <row r="23" spans="2:9">
      <c r="B23" s="1491" t="s">
        <v>643</v>
      </c>
      <c r="C23" s="1491"/>
      <c r="D23" s="1491"/>
      <c r="E23" s="1491"/>
      <c r="F23" s="1491"/>
      <c r="G23" s="1491"/>
      <c r="H23" s="1492">
        <v>107</v>
      </c>
      <c r="I23" s="1532">
        <v>-373</v>
      </c>
    </row>
    <row r="24" spans="2:9" ht="13.8" thickBot="1">
      <c r="B24" s="1363" t="s">
        <v>644</v>
      </c>
      <c r="C24" s="1363"/>
      <c r="D24" s="1363"/>
      <c r="E24" s="1363"/>
      <c r="F24" s="1363"/>
      <c r="G24" s="1363"/>
      <c r="H24" s="1493">
        <v>973</v>
      </c>
      <c r="I24" s="1534">
        <v>974</v>
      </c>
    </row>
    <row r="25" spans="2:9">
      <c r="B25" s="1358" t="s">
        <v>423</v>
      </c>
      <c r="H25" s="1494">
        <v>6166</v>
      </c>
      <c r="I25" s="1531">
        <v>4760</v>
      </c>
    </row>
  </sheetData>
  <mergeCells count="1">
    <mergeCell ref="B2:I2"/>
  </mergeCells>
  <pageMargins left="0.75" right="0.75" top="1" bottom="1" header="0.5" footer="0.5"/>
  <pageSetup paperSize="9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F17"/>
  <sheetViews>
    <sheetView showGridLines="0" view="pageBreakPreview" zoomScale="115" zoomScaleNormal="100" zoomScaleSheetLayoutView="115" workbookViewId="0">
      <selection activeCell="B26" sqref="B26"/>
    </sheetView>
  </sheetViews>
  <sheetFormatPr defaultColWidth="9" defaultRowHeight="13.2"/>
  <cols>
    <col min="1" max="1" width="33" style="82" customWidth="1"/>
    <col min="2" max="2" width="11" style="82" customWidth="1"/>
    <col min="3" max="3" width="0.77734375" style="82" customWidth="1"/>
    <col min="4" max="4" width="14.77734375" style="82" customWidth="1"/>
    <col min="5" max="5" width="0.77734375" style="82" customWidth="1"/>
    <col min="6" max="6" width="12.21875" style="82" customWidth="1"/>
    <col min="7" max="16384" width="9" style="82"/>
  </cols>
  <sheetData>
    <row r="1" spans="1:6" ht="15.6">
      <c r="A1" s="165" t="s">
        <v>42</v>
      </c>
    </row>
    <row r="2" spans="1:6" ht="75" customHeight="1">
      <c r="A2" s="283"/>
      <c r="B2" s="71" t="s">
        <v>144</v>
      </c>
      <c r="C2" s="71"/>
      <c r="D2" s="71" t="s">
        <v>145</v>
      </c>
      <c r="E2" s="71"/>
      <c r="F2" s="71" t="s">
        <v>146</v>
      </c>
    </row>
    <row r="3" spans="1:6" ht="11.25" customHeight="1">
      <c r="A3" s="471" t="s">
        <v>342</v>
      </c>
      <c r="B3" s="701" t="s">
        <v>25</v>
      </c>
      <c r="C3" s="702"/>
      <c r="D3" s="701" t="s">
        <v>263</v>
      </c>
      <c r="E3" s="703"/>
      <c r="F3" s="701" t="s">
        <v>32</v>
      </c>
    </row>
    <row r="4" spans="1:6" ht="11.25" customHeight="1">
      <c r="A4" s="549" t="s">
        <v>343</v>
      </c>
      <c r="B4" s="593">
        <v>174.99999999999972</v>
      </c>
      <c r="C4" s="673"/>
      <c r="D4" s="1327">
        <v>10525.026895348437</v>
      </c>
      <c r="E4" s="673"/>
      <c r="F4" s="1328">
        <v>6.6999999999999993</v>
      </c>
    </row>
    <row r="5" spans="1:6" ht="11.25" customHeight="1">
      <c r="A5" s="507" t="s">
        <v>344</v>
      </c>
      <c r="B5" s="594">
        <v>819.99999999999841</v>
      </c>
      <c r="C5" s="626"/>
      <c r="D5" s="1329">
        <v>27184.286737211063</v>
      </c>
      <c r="E5" s="626"/>
      <c r="F5" s="1330">
        <v>12.1</v>
      </c>
    </row>
    <row r="6" spans="1:6" ht="11.25" customHeight="1">
      <c r="A6" s="550" t="s">
        <v>345</v>
      </c>
      <c r="B6" s="1203">
        <v>-290.99999999999977</v>
      </c>
      <c r="C6" s="626"/>
      <c r="D6" s="1331">
        <v>5147.7971580542098</v>
      </c>
      <c r="E6" s="626"/>
      <c r="F6" s="1332">
        <v>-22.599999999999998</v>
      </c>
    </row>
    <row r="7" spans="1:6" ht="11.25" customHeight="1">
      <c r="A7" s="549" t="s">
        <v>346</v>
      </c>
      <c r="B7" s="593">
        <v>528.99999999999829</v>
      </c>
      <c r="C7" s="674"/>
      <c r="D7" s="1327">
        <v>32332.083895265274</v>
      </c>
      <c r="E7" s="674"/>
      <c r="F7" s="1328">
        <v>6.5</v>
      </c>
    </row>
    <row r="8" spans="1:6" ht="11.25" customHeight="1">
      <c r="A8" s="507" t="s">
        <v>347</v>
      </c>
      <c r="B8" s="594">
        <v>-98.9999999999972</v>
      </c>
      <c r="C8" s="674"/>
      <c r="D8" s="1329">
        <v>4237.5153545494804</v>
      </c>
      <c r="E8" s="674"/>
      <c r="F8" s="1330" t="s">
        <v>348</v>
      </c>
    </row>
    <row r="9" spans="1:6" ht="11.25" customHeight="1">
      <c r="A9" s="551" t="s">
        <v>349</v>
      </c>
      <c r="B9" s="1205">
        <v>605.00000000000045</v>
      </c>
      <c r="C9" s="585"/>
      <c r="D9" s="1333">
        <v>46994.626145163187</v>
      </c>
      <c r="E9" s="585"/>
      <c r="F9" s="1334">
        <v>5.0999999999999996</v>
      </c>
    </row>
    <row r="10" spans="1:6" ht="11.25" customHeight="1">
      <c r="A10" s="514"/>
      <c r="B10" s="674"/>
      <c r="C10" s="674"/>
      <c r="D10" s="674"/>
      <c r="E10" s="674"/>
      <c r="F10" s="674"/>
    </row>
    <row r="11" spans="1:6" ht="11.25" customHeight="1">
      <c r="A11" s="471" t="s">
        <v>350</v>
      </c>
      <c r="B11" s="675"/>
      <c r="C11" s="673"/>
      <c r="D11" s="675"/>
      <c r="E11" s="673"/>
      <c r="F11" s="675"/>
    </row>
    <row r="12" spans="1:6" ht="11.25" customHeight="1">
      <c r="A12" s="490" t="s">
        <v>343</v>
      </c>
      <c r="B12" s="625">
        <v>422</v>
      </c>
      <c r="C12" s="673"/>
      <c r="D12" s="676">
        <v>10400</v>
      </c>
      <c r="E12" s="673"/>
      <c r="F12" s="677">
        <v>16.3</v>
      </c>
    </row>
    <row r="13" spans="1:6" ht="11.25" customHeight="1">
      <c r="A13" s="507" t="s">
        <v>344</v>
      </c>
      <c r="B13" s="626">
        <v>582</v>
      </c>
      <c r="C13" s="626"/>
      <c r="D13" s="678">
        <v>25100</v>
      </c>
      <c r="E13" s="626"/>
      <c r="F13" s="679">
        <v>9.3000000000000007</v>
      </c>
    </row>
    <row r="14" spans="1:6" ht="11.25" customHeight="1">
      <c r="A14" s="550" t="s">
        <v>345</v>
      </c>
      <c r="B14" s="680">
        <v>206</v>
      </c>
      <c r="C14" s="626"/>
      <c r="D14" s="681">
        <v>5400</v>
      </c>
      <c r="E14" s="626"/>
      <c r="F14" s="682">
        <v>15.4</v>
      </c>
    </row>
    <row r="15" spans="1:6" ht="11.25" customHeight="1">
      <c r="A15" s="549" t="s">
        <v>346</v>
      </c>
      <c r="B15" s="683">
        <v>788</v>
      </c>
      <c r="C15" s="674"/>
      <c r="D15" s="684">
        <v>30500</v>
      </c>
      <c r="E15" s="674"/>
      <c r="F15" s="685">
        <v>10.4</v>
      </c>
    </row>
    <row r="16" spans="1:6" ht="11.25" customHeight="1">
      <c r="A16" s="550" t="s">
        <v>347</v>
      </c>
      <c r="B16" s="686">
        <v>-172</v>
      </c>
      <c r="C16" s="674"/>
      <c r="D16" s="687">
        <v>4300</v>
      </c>
      <c r="E16" s="674"/>
      <c r="F16" s="688" t="s">
        <v>348</v>
      </c>
    </row>
    <row r="17" spans="1:6" ht="11.25" customHeight="1">
      <c r="A17" s="551" t="s">
        <v>349</v>
      </c>
      <c r="B17" s="689">
        <v>1038</v>
      </c>
      <c r="C17" s="585"/>
      <c r="D17" s="690">
        <v>45200</v>
      </c>
      <c r="E17" s="585"/>
      <c r="F17" s="691">
        <v>9.1999999999999993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B0F0"/>
    <pageSetUpPr fitToPage="1"/>
  </sheetPr>
  <dimension ref="A1:AO35"/>
  <sheetViews>
    <sheetView workbookViewId="0">
      <selection activeCell="A21" sqref="A21"/>
    </sheetView>
  </sheetViews>
  <sheetFormatPr defaultColWidth="9" defaultRowHeight="13.2"/>
  <cols>
    <col min="1" max="1" width="35.77734375" style="82" customWidth="1"/>
    <col min="2" max="7" width="10" style="82" customWidth="1"/>
    <col min="8" max="8" width="1.21875" style="82" customWidth="1"/>
    <col min="9" max="9" width="6.77734375" style="82" customWidth="1"/>
    <col min="10" max="10" width="9.77734375" style="82" customWidth="1"/>
    <col min="11" max="11" width="6.21875" style="82" customWidth="1"/>
    <col min="12" max="12" width="6.77734375" style="82" customWidth="1"/>
    <col min="13" max="13" width="3.77734375" style="82" customWidth="1"/>
    <col min="14" max="14" width="5.77734375" style="82" customWidth="1"/>
    <col min="15" max="17" width="11.21875" style="82" customWidth="1"/>
    <col min="18" max="20" width="11" style="82" customWidth="1"/>
    <col min="21" max="21" width="18" style="82" bestFit="1" customWidth="1"/>
    <col min="22" max="22" width="9.77734375" style="82" bestFit="1" customWidth="1"/>
    <col min="23" max="23" width="12.77734375" style="82" bestFit="1" customWidth="1"/>
    <col min="24" max="24" width="3" style="82" customWidth="1"/>
    <col min="25" max="30" width="13.6640625" style="82" customWidth="1"/>
    <col min="31" max="31" width="2.77734375" style="82" customWidth="1"/>
    <col min="32" max="32" width="11" style="82" hidden="1" customWidth="1"/>
    <col min="33" max="33" width="18" style="82" hidden="1" customWidth="1"/>
    <col min="34" max="34" width="9.77734375" style="82" hidden="1" customWidth="1"/>
    <col min="35" max="35" width="12.77734375" style="82" hidden="1" customWidth="1"/>
    <col min="36" max="36" width="3" style="82" hidden="1" customWidth="1"/>
    <col min="37" max="40" width="13.6640625" style="82" hidden="1" customWidth="1"/>
    <col min="41" max="41" width="2.77734375" style="82" customWidth="1"/>
    <col min="42" max="16384" width="9" style="82"/>
  </cols>
  <sheetData>
    <row r="1" spans="1:41" ht="18.75" customHeight="1">
      <c r="A1" s="1652" t="s">
        <v>63</v>
      </c>
      <c r="B1" s="1652" t="s">
        <v>24</v>
      </c>
      <c r="C1" s="1652"/>
      <c r="D1" s="1652"/>
      <c r="E1" s="1652" t="s">
        <v>24</v>
      </c>
      <c r="F1" s="1652" t="s">
        <v>24</v>
      </c>
      <c r="G1" s="1652" t="s">
        <v>24</v>
      </c>
      <c r="H1" s="1652" t="s">
        <v>24</v>
      </c>
      <c r="I1" s="1652" t="s">
        <v>24</v>
      </c>
      <c r="J1" s="1652" t="s">
        <v>24</v>
      </c>
      <c r="K1" s="1652" t="s">
        <v>24</v>
      </c>
      <c r="L1" s="1652" t="s">
        <v>24</v>
      </c>
      <c r="N1" s="83"/>
      <c r="O1" s="83"/>
      <c r="P1" s="83"/>
      <c r="Q1" s="83"/>
      <c r="R1" s="84"/>
      <c r="S1" s="84"/>
      <c r="T1" s="84"/>
      <c r="U1" s="84"/>
      <c r="V1" s="84"/>
      <c r="W1" s="84"/>
      <c r="X1" s="83"/>
      <c r="Y1" s="83"/>
      <c r="Z1" s="83"/>
      <c r="AA1" s="83"/>
      <c r="AB1" s="83"/>
      <c r="AC1" s="83"/>
      <c r="AD1" s="83"/>
      <c r="AE1" s="83"/>
      <c r="AF1" s="84"/>
      <c r="AG1" s="84"/>
      <c r="AH1" s="84"/>
      <c r="AI1" s="84"/>
      <c r="AJ1" s="83"/>
      <c r="AK1" s="83"/>
      <c r="AL1" s="83"/>
      <c r="AM1" s="83"/>
      <c r="AN1" s="83"/>
      <c r="AO1" s="83"/>
    </row>
    <row r="2" spans="1:41" ht="9" customHeight="1">
      <c r="A2" s="153"/>
      <c r="B2" s="215"/>
      <c r="C2" s="215"/>
      <c r="D2" s="215"/>
      <c r="E2" s="215"/>
      <c r="F2" s="215"/>
      <c r="G2" s="215"/>
      <c r="H2" s="215"/>
      <c r="I2" s="733" t="s">
        <v>170</v>
      </c>
      <c r="J2" s="215"/>
      <c r="K2" s="215"/>
      <c r="L2" s="215"/>
      <c r="N2" s="83"/>
      <c r="O2" s="83"/>
      <c r="P2" s="83"/>
      <c r="Q2" s="83"/>
      <c r="R2" s="84"/>
      <c r="S2" s="84"/>
      <c r="T2" s="84"/>
      <c r="U2" s="84"/>
      <c r="V2" s="84"/>
      <c r="W2" s="84"/>
      <c r="X2" s="83"/>
      <c r="Y2" s="83"/>
      <c r="Z2" s="83"/>
      <c r="AA2" s="83"/>
      <c r="AB2" s="83"/>
      <c r="AC2" s="83"/>
      <c r="AD2" s="83"/>
      <c r="AE2" s="83"/>
      <c r="AF2" s="84"/>
      <c r="AG2" s="84"/>
      <c r="AH2" s="84"/>
      <c r="AI2" s="84"/>
      <c r="AJ2" s="83"/>
      <c r="AK2" s="83"/>
      <c r="AL2" s="83"/>
      <c r="AM2" s="83"/>
      <c r="AN2" s="83"/>
      <c r="AO2" s="83"/>
    </row>
    <row r="3" spans="1:41" ht="15.75" customHeight="1">
      <c r="A3" s="259"/>
      <c r="B3" s="1653" t="s">
        <v>160</v>
      </c>
      <c r="C3" s="1653" t="s">
        <v>24</v>
      </c>
      <c r="D3" s="1653" t="s">
        <v>24</v>
      </c>
      <c r="E3" s="1653" t="s">
        <v>24</v>
      </c>
      <c r="F3" s="1653" t="s">
        <v>24</v>
      </c>
      <c r="G3" s="1653" t="s">
        <v>24</v>
      </c>
      <c r="H3" s="215"/>
      <c r="I3" s="1653" t="s">
        <v>169</v>
      </c>
      <c r="J3" s="1653"/>
      <c r="K3" s="1653"/>
      <c r="L3" s="1653"/>
      <c r="N3" s="83"/>
      <c r="O3" s="83"/>
      <c r="P3" s="83"/>
      <c r="Q3" s="83"/>
      <c r="R3" s="84"/>
      <c r="S3" s="84"/>
      <c r="T3" s="84"/>
      <c r="U3" s="84"/>
      <c r="V3" s="84"/>
      <c r="W3" s="84"/>
      <c r="X3" s="120"/>
      <c r="Y3" s="120"/>
      <c r="Z3" s="120"/>
      <c r="AA3" s="120"/>
      <c r="AB3" s="120"/>
      <c r="AC3" s="120"/>
      <c r="AD3" s="120"/>
      <c r="AE3" s="120"/>
      <c r="AF3" s="84"/>
      <c r="AG3" s="84"/>
      <c r="AH3" s="84"/>
      <c r="AI3" s="84"/>
      <c r="AJ3" s="120"/>
      <c r="AK3" s="120"/>
      <c r="AL3" s="120"/>
      <c r="AM3" s="120"/>
      <c r="AN3" s="120"/>
      <c r="AO3" s="120"/>
    </row>
    <row r="4" spans="1:41" ht="48.75" customHeight="1">
      <c r="A4" s="108"/>
      <c r="B4" s="216" t="s">
        <v>81</v>
      </c>
      <c r="C4" s="216" t="s">
        <v>82</v>
      </c>
      <c r="D4" s="216" t="s">
        <v>83</v>
      </c>
      <c r="E4" s="216" t="s">
        <v>84</v>
      </c>
      <c r="F4" s="216" t="s">
        <v>85</v>
      </c>
      <c r="G4" s="216" t="s">
        <v>86</v>
      </c>
      <c r="H4" s="88"/>
      <c r="I4" s="216"/>
      <c r="J4" s="216"/>
      <c r="K4" s="216"/>
      <c r="L4" s="216"/>
      <c r="N4" s="83"/>
      <c r="O4" s="84" t="s">
        <v>66</v>
      </c>
      <c r="P4" s="84" t="s">
        <v>20</v>
      </c>
      <c r="Q4" s="83"/>
      <c r="R4" s="84" t="s">
        <v>67</v>
      </c>
      <c r="S4" s="84"/>
      <c r="T4" s="84"/>
      <c r="U4" s="84"/>
      <c r="V4" s="84"/>
      <c r="W4" s="84"/>
      <c r="X4" s="121"/>
      <c r="Y4" s="121"/>
      <c r="Z4" s="121"/>
      <c r="AA4" s="121"/>
      <c r="AB4" s="121"/>
      <c r="AC4" s="121"/>
      <c r="AD4" s="121"/>
      <c r="AE4" s="121"/>
      <c r="AF4" s="84" t="s">
        <v>67</v>
      </c>
      <c r="AG4" s="84"/>
      <c r="AH4" s="84"/>
      <c r="AI4" s="84"/>
      <c r="AJ4" s="121"/>
      <c r="AK4" s="121"/>
      <c r="AL4" s="121"/>
      <c r="AM4" s="121"/>
      <c r="AN4" s="121"/>
      <c r="AO4" s="121"/>
    </row>
    <row r="5" spans="1:41" ht="11.25" customHeight="1">
      <c r="A5" s="501" t="s">
        <v>154</v>
      </c>
      <c r="B5" s="478" t="s">
        <v>2</v>
      </c>
      <c r="C5" s="478" t="s">
        <v>2</v>
      </c>
      <c r="D5" s="478" t="s">
        <v>2</v>
      </c>
      <c r="E5" s="478" t="s">
        <v>2</v>
      </c>
      <c r="F5" s="478" t="s">
        <v>2</v>
      </c>
      <c r="G5" s="478" t="s">
        <v>2</v>
      </c>
      <c r="H5" s="97"/>
      <c r="I5" s="131"/>
      <c r="J5" s="131"/>
      <c r="K5" s="131"/>
      <c r="L5" s="131"/>
      <c r="N5" s="83"/>
      <c r="O5" s="84"/>
      <c r="P5" s="84"/>
      <c r="Q5" s="83"/>
      <c r="R5" s="118" t="s">
        <v>64</v>
      </c>
      <c r="S5" s="118" t="s">
        <v>68</v>
      </c>
      <c r="T5" s="118" t="s">
        <v>69</v>
      </c>
      <c r="U5" s="118" t="s">
        <v>65</v>
      </c>
      <c r="V5" s="118" t="s">
        <v>31</v>
      </c>
      <c r="W5" s="118" t="s">
        <v>34</v>
      </c>
      <c r="X5" s="83"/>
      <c r="Y5" s="83"/>
      <c r="Z5" s="83"/>
      <c r="AA5" s="83"/>
      <c r="AB5" s="83"/>
      <c r="AC5" s="83"/>
      <c r="AD5" s="83"/>
      <c r="AE5" s="83"/>
      <c r="AF5" s="118" t="s">
        <v>64</v>
      </c>
      <c r="AG5" s="118" t="s">
        <v>65</v>
      </c>
      <c r="AH5" s="118" t="s">
        <v>31</v>
      </c>
      <c r="AI5" s="118" t="s">
        <v>34</v>
      </c>
      <c r="AJ5" s="83"/>
      <c r="AK5" s="83"/>
      <c r="AL5" s="83"/>
      <c r="AM5" s="83"/>
      <c r="AN5" s="83"/>
      <c r="AO5" s="83"/>
    </row>
    <row r="6" spans="1:41" ht="12.75" customHeight="1">
      <c r="A6" s="515" t="s">
        <v>5</v>
      </c>
      <c r="B6" s="516">
        <v>-5619.0000000000009</v>
      </c>
      <c r="C6" s="516">
        <v>-7147.0000000000009</v>
      </c>
      <c r="D6" s="516">
        <v>-2306</v>
      </c>
      <c r="E6" s="516">
        <v>-9453</v>
      </c>
      <c r="F6" s="762">
        <v>-361.99999999999989</v>
      </c>
      <c r="G6" s="762">
        <v>-15434.000000000004</v>
      </c>
      <c r="H6" s="110"/>
      <c r="I6" s="99"/>
      <c r="J6" s="99"/>
      <c r="K6" s="99"/>
      <c r="L6" s="98"/>
      <c r="N6" s="84"/>
      <c r="O6" s="32">
        <f>ROUND(C6,0)+ROUND(D6,0)-ROUND(E6,0)</f>
        <v>0</v>
      </c>
      <c r="P6" s="32">
        <f>G6-F6-E6-B6</f>
        <v>0</v>
      </c>
      <c r="Q6" s="84"/>
      <c r="R6" s="32">
        <f>+ROUND(B6,0)-ROUND('Barclays UK YTD'!C14,0)</f>
        <v>0</v>
      </c>
      <c r="S6" s="32">
        <f>ROUND(C6,0)-ROUND('Barclays International YTD'!C69,0)</f>
        <v>0</v>
      </c>
      <c r="T6" s="32">
        <f>ROUND(D6,0)-ROUND('Barclays International YTD'!C109,0)</f>
        <v>0</v>
      </c>
      <c r="U6" s="32">
        <f>+ROUND(E6,0)-ROUND('Barclays International YTD'!C15,0)</f>
        <v>0</v>
      </c>
      <c r="V6" s="32">
        <f>+ROUND(F6,0)-ROUND('Head Office YTD'!C15,0)</f>
        <v>0</v>
      </c>
      <c r="W6" s="32">
        <f>+ROUND(G6,0)-ROUND('Group PH'!C9,0)</f>
        <v>-12171</v>
      </c>
      <c r="X6" s="83"/>
      <c r="Y6" s="83"/>
      <c r="Z6" s="83"/>
      <c r="AA6" s="83"/>
      <c r="AB6" s="83"/>
      <c r="AC6" s="83"/>
      <c r="AD6" s="83"/>
      <c r="AE6" s="83"/>
      <c r="AF6" s="32">
        <v>4848</v>
      </c>
      <c r="AG6" s="32">
        <v>9855</v>
      </c>
      <c r="AH6" s="32">
        <v>469</v>
      </c>
      <c r="AI6" s="32">
        <v>15456</v>
      </c>
      <c r="AJ6" s="83"/>
      <c r="AK6" s="83"/>
      <c r="AL6" s="83"/>
      <c r="AM6" s="83"/>
      <c r="AN6" s="83"/>
      <c r="AO6" s="83"/>
    </row>
    <row r="7" spans="1:41" ht="11.25" customHeight="1">
      <c r="A7" s="518" t="s">
        <v>100</v>
      </c>
      <c r="B7" s="519">
        <v>1582.30552498</v>
      </c>
      <c r="C7" s="760">
        <v>109.36276639836269</v>
      </c>
      <c r="D7" s="519">
        <v>7.4087846900000001</v>
      </c>
      <c r="E7" s="519">
        <v>115.77155108836268</v>
      </c>
      <c r="F7" s="519">
        <v>151.3943382021906</v>
      </c>
      <c r="G7" s="520">
        <v>1849.4714142705532</v>
      </c>
      <c r="H7" s="110"/>
      <c r="I7" s="101"/>
      <c r="J7" s="101"/>
      <c r="K7" s="101"/>
      <c r="L7" s="100"/>
      <c r="N7" s="84"/>
      <c r="O7" s="32">
        <f>ROUND(C7,0)+ROUND(D7,0)-ROUND(E7,0)</f>
        <v>0</v>
      </c>
      <c r="P7" s="32">
        <f>G7-F7-E7-B7</f>
        <v>0</v>
      </c>
      <c r="Q7" s="84"/>
      <c r="R7" s="32">
        <f>ROUND(B7,0)+ROUND('Barclays UK YTD'!C13,0)</f>
        <v>0</v>
      </c>
      <c r="S7" s="32">
        <f>ROUND(C7,0)+ROUND('Barclays International YTD'!C68,)</f>
        <v>0</v>
      </c>
      <c r="T7" s="32">
        <f>ROUND(D7,0)+ROUND('Barclays International YTD'!C108,0)</f>
        <v>0</v>
      </c>
      <c r="U7" s="32">
        <f>ROUND(E7,0)+ROUND('Barclays International YTD'!C14,0)</f>
        <v>0</v>
      </c>
      <c r="V7" s="32">
        <f>ROUND(F7,0)+ROUND('Head Office YTD'!C14,0)</f>
        <v>0</v>
      </c>
      <c r="W7" s="32">
        <f>ROUND(G7,0)+ROUND('Group PH'!C8,0)</f>
        <v>1839</v>
      </c>
      <c r="X7" s="83"/>
      <c r="Y7" s="84" t="s">
        <v>37</v>
      </c>
      <c r="Z7" s="84"/>
      <c r="AA7" s="84"/>
      <c r="AB7" s="83"/>
      <c r="AC7" s="83"/>
      <c r="AD7" s="83"/>
      <c r="AE7" s="83"/>
      <c r="AF7" s="32">
        <v>-59</v>
      </c>
      <c r="AG7" s="32">
        <v>-265</v>
      </c>
      <c r="AH7" s="32">
        <v>-151</v>
      </c>
      <c r="AI7" s="32">
        <v>-365</v>
      </c>
      <c r="AJ7" s="83"/>
      <c r="AK7" s="84" t="s">
        <v>37</v>
      </c>
      <c r="AL7" s="83"/>
      <c r="AM7" s="83"/>
      <c r="AN7" s="83"/>
      <c r="AO7" s="83"/>
    </row>
    <row r="8" spans="1:41">
      <c r="A8" s="521" t="s">
        <v>0</v>
      </c>
      <c r="B8" s="522">
        <v>-4036.6944750200009</v>
      </c>
      <c r="C8" s="761">
        <v>-7037.6372336016375</v>
      </c>
      <c r="D8" s="522">
        <v>-2298.5912153099998</v>
      </c>
      <c r="E8" s="522">
        <v>-9337.2284489116355</v>
      </c>
      <c r="F8" s="761">
        <v>-210.60566179780926</v>
      </c>
      <c r="G8" s="761">
        <v>-13584.528585729449</v>
      </c>
      <c r="H8" s="111"/>
      <c r="I8" s="103"/>
      <c r="J8" s="103"/>
      <c r="K8" s="103"/>
      <c r="L8" s="102"/>
      <c r="N8" s="84"/>
      <c r="O8" s="32">
        <f>ROUND(C8,0)+ROUND(D8,0)-ROUND(E8,0)</f>
        <v>0</v>
      </c>
      <c r="P8" s="32">
        <f>ROUND(G8,0)-ROUND(F8,0)-ROUND(E8,0)-ROUND(B8,0)</f>
        <v>0</v>
      </c>
      <c r="Q8" s="84"/>
      <c r="R8" s="32">
        <f>+ROUND(B8,0)-ROUND('Barclays UK YTD'!C10,0)-ROUND('Barclays UK YTD'!C11,0)</f>
        <v>0</v>
      </c>
      <c r="S8" s="32">
        <f>ROUND(C8,0)-ROUND('Barclays International YTD'!C65,0)-ROUND('Barclays International YTD'!C66,0)</f>
        <v>0</v>
      </c>
      <c r="T8" s="32">
        <f>ROUND(D8,0)-ROUND('Barclays International YTD'!C105,0)-ROUND('Barclays International YTD'!C106,0)</f>
        <v>0</v>
      </c>
      <c r="U8" s="32">
        <f>+ROUND(E8,0)-ROUND('Barclays International YTD'!C15,0)+ROUND('Barclays International YTD'!C14,0)</f>
        <v>0</v>
      </c>
      <c r="V8" s="32">
        <f>+ROUND(F8,0)-ROUND('Head Office YTD'!C10,0)-ROUND('Head Office YTD'!C11,0)</f>
        <v>0</v>
      </c>
      <c r="W8" s="32" t="e">
        <f>+ROUND(G8,0)-ROUND('Group PH'!C7,0)-ROUND('Group PH'!#REF!,0)</f>
        <v>#REF!</v>
      </c>
      <c r="X8" s="83"/>
      <c r="Y8" s="32">
        <f>+ROUND(B6,0)+ROUND(B7,0)-ROUND(B8,0)</f>
        <v>0</v>
      </c>
      <c r="Z8" s="32">
        <f t="shared" ref="Z8:AD8" si="0">+ROUND(C6,0)+ROUND(C7,0)-ROUND(C8,0)</f>
        <v>0</v>
      </c>
      <c r="AA8" s="32">
        <f>+ROUND(D6,0)+ROUND(D7,0)-ROUND(D8,0)</f>
        <v>0</v>
      </c>
      <c r="AB8" s="32">
        <f>+ROUND(E6,0)+ROUND(E7,0)-ROUND(E8,0)</f>
        <v>0</v>
      </c>
      <c r="AC8" s="32">
        <f t="shared" si="0"/>
        <v>0</v>
      </c>
      <c r="AD8" s="32">
        <f t="shared" si="0"/>
        <v>0</v>
      </c>
      <c r="AE8" s="83"/>
      <c r="AF8" s="32">
        <v>4030</v>
      </c>
      <c r="AG8" s="32">
        <v>9321</v>
      </c>
      <c r="AH8" s="32">
        <v>277</v>
      </c>
      <c r="AI8" s="32">
        <v>13884</v>
      </c>
      <c r="AJ8" s="83"/>
      <c r="AK8" s="32">
        <f>+ROUND(I6,0)+ROUND(I7,0)-ROUND(I8,0)</f>
        <v>0</v>
      </c>
      <c r="AL8" s="32">
        <f>+ROUND(J6,0)+ROUND(J7,0)-ROUND(J8,0)</f>
        <v>0</v>
      </c>
      <c r="AM8" s="32">
        <f>+ROUND(K6,0)+ROUND(K7,0)-ROUND(K8,0)</f>
        <v>0</v>
      </c>
      <c r="AN8" s="32">
        <f>+ROUND(L6,0)+ROUND(L7,0)-ROUND(L8,0)</f>
        <v>0</v>
      </c>
      <c r="AO8" s="83"/>
    </row>
    <row r="9" spans="1:41" ht="11.25" customHeight="1">
      <c r="A9" s="524"/>
      <c r="B9" s="525"/>
      <c r="C9" s="525"/>
      <c r="D9" s="525"/>
      <c r="E9" s="525"/>
      <c r="F9" s="525"/>
      <c r="G9" s="525"/>
      <c r="H9" s="111"/>
      <c r="I9" s="104"/>
      <c r="J9" s="104"/>
      <c r="K9" s="104"/>
      <c r="L9" s="104"/>
      <c r="N9" s="84"/>
      <c r="O9" s="38"/>
      <c r="P9" s="38"/>
      <c r="Q9" s="84"/>
      <c r="R9" s="84"/>
      <c r="S9" s="84"/>
      <c r="T9" s="84"/>
      <c r="U9" s="84"/>
      <c r="V9" s="84"/>
      <c r="W9" s="84"/>
      <c r="X9" s="83"/>
      <c r="Y9" s="83"/>
      <c r="Z9" s="83"/>
      <c r="AA9" s="83"/>
      <c r="AB9" s="83"/>
      <c r="AC9" s="83"/>
      <c r="AD9" s="83"/>
      <c r="AE9" s="83"/>
      <c r="AF9" s="84"/>
      <c r="AG9" s="84"/>
      <c r="AH9" s="84"/>
      <c r="AI9" s="84"/>
      <c r="AJ9" s="83"/>
      <c r="AK9" s="83"/>
      <c r="AL9" s="83"/>
      <c r="AM9" s="83"/>
      <c r="AN9" s="83"/>
      <c r="AO9" s="83"/>
    </row>
    <row r="10" spans="1:41" ht="11.25" customHeight="1">
      <c r="A10" s="515" t="s">
        <v>101</v>
      </c>
      <c r="B10" s="516">
        <v>7352.9999999999982</v>
      </c>
      <c r="C10" s="516">
        <v>10230.999999999996</v>
      </c>
      <c r="D10" s="516">
        <v>4443.9999999999991</v>
      </c>
      <c r="E10" s="516">
        <v>14674.999999999987</v>
      </c>
      <c r="F10" s="516">
        <v>-396.00000000000801</v>
      </c>
      <c r="G10" s="517">
        <v>21631.999999999993</v>
      </c>
      <c r="H10" s="110"/>
      <c r="I10" s="99"/>
      <c r="J10" s="99"/>
      <c r="K10" s="99"/>
      <c r="L10" s="98"/>
      <c r="N10" s="83"/>
      <c r="O10" s="32">
        <f>ROUND(C10,0)+ROUND(D10,0)-ROUND(E10,0)</f>
        <v>0</v>
      </c>
      <c r="P10" s="32">
        <f>ROUND(G10,0)-ROUND(F10,0)-ROUND(E10,0)-ROUND(B10,0)</f>
        <v>0</v>
      </c>
      <c r="Q10" s="83"/>
      <c r="R10" s="32">
        <f>+ROUND(B10,0)-ROUND('Barclays UK YTD'!C7,0)</f>
        <v>0</v>
      </c>
      <c r="S10" s="32">
        <f>ROUND(C10,0)-ROUND('Barclays International YTD'!C62,0)</f>
        <v>0</v>
      </c>
      <c r="T10" s="32">
        <f>ROUND(D10,0)-ROUND('Barclays International YTD'!C102,0)</f>
        <v>0</v>
      </c>
      <c r="U10" s="32">
        <f>+ROUND(E10,0)-ROUND('Barclays International YTD'!C8,0)</f>
        <v>0</v>
      </c>
      <c r="V10" s="32">
        <f>+ROUND(F10,0)-ROUND('Head Office YTD'!C7,0)</f>
        <v>0</v>
      </c>
      <c r="W10" s="32">
        <f>+ROUND(G10,0)-ROUND('Group PH'!C4,0)</f>
        <v>15349</v>
      </c>
      <c r="X10" s="83"/>
      <c r="Y10" s="83"/>
      <c r="Z10" s="83"/>
      <c r="AA10" s="83"/>
      <c r="AB10" s="83"/>
      <c r="AC10" s="83"/>
      <c r="AD10" s="83"/>
      <c r="AE10" s="83"/>
      <c r="AF10" s="32">
        <v>-7383</v>
      </c>
      <c r="AG10" s="32">
        <v>-14382</v>
      </c>
      <c r="AH10" s="32">
        <v>159</v>
      </c>
      <c r="AI10" s="32">
        <v>-21076</v>
      </c>
      <c r="AJ10" s="83"/>
      <c r="AK10" s="83"/>
      <c r="AL10" s="83"/>
      <c r="AM10" s="83"/>
      <c r="AN10" s="83"/>
      <c r="AO10" s="83"/>
    </row>
    <row r="11" spans="1:41" ht="11.25" customHeight="1">
      <c r="A11" s="524"/>
      <c r="B11" s="526"/>
      <c r="C11" s="526"/>
      <c r="D11" s="526"/>
      <c r="E11" s="526"/>
      <c r="F11" s="526"/>
      <c r="G11" s="526"/>
      <c r="H11" s="112"/>
      <c r="I11" s="105"/>
      <c r="J11" s="105"/>
      <c r="K11" s="105"/>
      <c r="L11" s="105"/>
      <c r="N11" s="83"/>
      <c r="O11" s="38"/>
      <c r="P11" s="38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spans="1:41">
      <c r="A12" s="521" t="s">
        <v>222</v>
      </c>
      <c r="B12" s="527">
        <v>0.55000000000000004</v>
      </c>
      <c r="C12" s="476">
        <v>0.69</v>
      </c>
      <c r="D12" s="476">
        <v>0.52</v>
      </c>
      <c r="E12" s="476">
        <v>0.64</v>
      </c>
      <c r="F12" s="476" t="s">
        <v>223</v>
      </c>
      <c r="G12" s="528">
        <v>0.63</v>
      </c>
      <c r="H12" s="113"/>
      <c r="I12" s="107"/>
      <c r="J12" s="107"/>
      <c r="K12" s="107"/>
      <c r="L12" s="106"/>
      <c r="N12" s="84"/>
      <c r="O12" s="38"/>
      <c r="P12" s="38"/>
      <c r="Q12" s="84"/>
      <c r="R12" s="184">
        <f>+ROUND(B12,2)-ROUND('Barclays UK YTD'!C45,2)</f>
        <v>0</v>
      </c>
      <c r="S12" s="184">
        <f>ROUND(C12,2)-ROUND('Barclays International YTD'!C95,2)</f>
        <v>0</v>
      </c>
      <c r="T12" s="184">
        <f>ROUND(D12,2)-ROUND('Barclays International YTD'!C138,2)</f>
        <v>0</v>
      </c>
      <c r="U12" s="184">
        <f>+ROUND(E12,2)-ROUND('Barclays International YTD'!C45,2)</f>
        <v>0</v>
      </c>
      <c r="V12" s="83"/>
      <c r="W12" s="184">
        <f>+ROUND(G12,2)-ROUND('Group PH'!C29,2)</f>
        <v>0.10999999999999999</v>
      </c>
      <c r="X12" s="83"/>
      <c r="Y12" s="83"/>
      <c r="Z12" s="83"/>
      <c r="AA12" s="83"/>
      <c r="AB12" s="83"/>
      <c r="AC12" s="83"/>
      <c r="AD12" s="83"/>
      <c r="AE12" s="83"/>
      <c r="AF12" s="32">
        <v>-2506</v>
      </c>
      <c r="AG12" s="32">
        <v>-3544</v>
      </c>
      <c r="AH12" s="83"/>
      <c r="AI12" s="32">
        <v>-4748</v>
      </c>
      <c r="AJ12" s="83"/>
      <c r="AK12" s="83"/>
      <c r="AL12" s="83"/>
      <c r="AM12" s="83"/>
      <c r="AN12" s="83"/>
      <c r="AO12" s="83"/>
    </row>
    <row r="13" spans="1:41" ht="12.75" customHeight="1">
      <c r="A13" s="508"/>
      <c r="B13" s="529"/>
      <c r="C13" s="529"/>
      <c r="D13" s="529"/>
      <c r="E13" s="529"/>
      <c r="F13" s="529"/>
      <c r="G13" s="529"/>
      <c r="H13" s="113"/>
      <c r="I13" s="113"/>
      <c r="J13" s="113"/>
      <c r="K13" s="113"/>
      <c r="L13" s="113"/>
      <c r="N13" s="83"/>
      <c r="O13" s="38"/>
      <c r="P13" s="38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</row>
    <row r="14" spans="1:41" ht="11.25" customHeight="1">
      <c r="A14" s="552" t="s">
        <v>102</v>
      </c>
      <c r="B14" s="505"/>
      <c r="C14" s="505"/>
      <c r="D14" s="505"/>
      <c r="E14" s="493"/>
      <c r="F14" s="493"/>
      <c r="G14" s="493"/>
      <c r="H14" s="88"/>
      <c r="I14" s="217"/>
      <c r="J14" s="217"/>
      <c r="K14" s="217"/>
      <c r="L14" s="217"/>
      <c r="N14" s="83"/>
      <c r="O14" s="38"/>
      <c r="P14" s="38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</row>
    <row r="15" spans="1:41" ht="11.25" customHeight="1">
      <c r="A15" s="549" t="s">
        <v>224</v>
      </c>
      <c r="B15" s="479">
        <v>1021.9999999999984</v>
      </c>
      <c r="C15" s="479">
        <v>2954.9999999999918</v>
      </c>
      <c r="D15" s="479">
        <v>1163.0000000000002</v>
      </c>
      <c r="E15" s="479">
        <v>4117.9999999999909</v>
      </c>
      <c r="F15" s="479">
        <v>-783.00000000000227</v>
      </c>
      <c r="G15" s="530">
        <v>4356.99999999999</v>
      </c>
      <c r="H15" s="132"/>
      <c r="I15" s="218"/>
      <c r="J15" s="218"/>
      <c r="K15" s="218"/>
      <c r="L15" s="219"/>
      <c r="N15" s="83"/>
      <c r="O15" s="32">
        <f t="shared" ref="O15:O22" si="1">ROUND(C15,0)+ROUND(D15,0)-ROUND(E15,0)</f>
        <v>0</v>
      </c>
      <c r="P15" s="32">
        <f>ROUND(G15,0)-ROUND(F15,0)-ROUND(E15,0)-ROUND(B15,0)</f>
        <v>0</v>
      </c>
      <c r="Q15" s="83"/>
      <c r="R15" s="32">
        <f>+ROUND(B15,0)-ROUND('Barclays UK YTD'!C16,0)</f>
        <v>0</v>
      </c>
      <c r="S15" s="32">
        <f>ROUND(C15,0)-ROUND('Barclays International YTD'!C71,0)</f>
        <v>0</v>
      </c>
      <c r="T15" s="32">
        <f>ROUND(D15,0)-ROUND('Barclays International YTD'!C111,0)</f>
        <v>0</v>
      </c>
      <c r="U15" s="32">
        <f>+ROUND(E15,0)-ROUND('Barclays International YTD'!C17,0)</f>
        <v>0</v>
      </c>
      <c r="V15" s="32">
        <f>+ROUND(F15,0)-ROUND('Head Office YTD'!C17,0)</f>
        <v>0</v>
      </c>
      <c r="W15" s="32">
        <f>+ROUND(G15,0)-ROUND('Group PH'!C11,0)</f>
        <v>3444</v>
      </c>
      <c r="X15" s="83"/>
      <c r="Y15" s="83"/>
      <c r="Z15" s="83"/>
      <c r="AA15" s="83"/>
      <c r="AB15" s="83"/>
      <c r="AC15" s="83"/>
      <c r="AD15" s="83"/>
      <c r="AE15" s="83"/>
      <c r="AF15" s="32">
        <v>-1747</v>
      </c>
      <c r="AG15" s="32">
        <v>-3275</v>
      </c>
      <c r="AH15" s="32">
        <v>834</v>
      </c>
      <c r="AI15" s="32">
        <v>-3541</v>
      </c>
      <c r="AJ15" s="83"/>
      <c r="AK15" s="83"/>
      <c r="AL15" s="83"/>
      <c r="AM15" s="83"/>
      <c r="AN15" s="83"/>
      <c r="AO15" s="83"/>
    </row>
    <row r="16" spans="1:41" ht="11.25" customHeight="1">
      <c r="A16" s="550" t="s">
        <v>100</v>
      </c>
      <c r="B16" s="502">
        <v>1582.30552498</v>
      </c>
      <c r="C16" s="763">
        <v>109.36276639836269</v>
      </c>
      <c r="D16" s="502">
        <v>7.4087846900000001</v>
      </c>
      <c r="E16" s="502">
        <v>115.77155108836268</v>
      </c>
      <c r="F16" s="502">
        <v>151.3943382021906</v>
      </c>
      <c r="G16" s="531">
        <v>1849.4714142705532</v>
      </c>
      <c r="H16" s="133"/>
      <c r="I16" s="134"/>
      <c r="J16" s="134"/>
      <c r="K16" s="134"/>
      <c r="L16" s="135"/>
      <c r="N16" s="84"/>
      <c r="O16" s="32">
        <f t="shared" si="1"/>
        <v>0</v>
      </c>
      <c r="P16" s="32">
        <f t="shared" ref="P16:P17" si="2">G16-F16-E16-B16</f>
        <v>0</v>
      </c>
      <c r="Q16" s="84"/>
      <c r="R16" s="32">
        <f>ROUND(B16,0)+ROUND('Barclays UK YTD'!C13,0)</f>
        <v>0</v>
      </c>
      <c r="S16" s="32">
        <f>ROUND(C16,0)+ROUND('Barclays International YTD'!C68,0)</f>
        <v>0</v>
      </c>
      <c r="T16" s="32">
        <f>ROUND(D16,0)+ROUND('Barclays International YTD'!C108,0)</f>
        <v>0</v>
      </c>
      <c r="U16" s="32">
        <f>ROUND(E16,0)+ROUND('Barclays International YTD'!C14,0)</f>
        <v>0</v>
      </c>
      <c r="V16" s="32">
        <f>ROUND(F16,0)+ROUND('Head Office YTD'!C14,0)</f>
        <v>0</v>
      </c>
      <c r="W16" s="32">
        <f>ROUND(G16,0)+ROUND('Group PH'!C8,0)</f>
        <v>1839</v>
      </c>
      <c r="X16" s="83"/>
      <c r="Y16" s="83"/>
      <c r="Z16" s="83"/>
      <c r="AA16" s="83"/>
      <c r="AB16" s="83"/>
      <c r="AC16" s="83"/>
      <c r="AD16" s="83"/>
      <c r="AE16" s="83"/>
      <c r="AF16" s="32">
        <v>-59</v>
      </c>
      <c r="AG16" s="32">
        <v>-265</v>
      </c>
      <c r="AH16" s="32">
        <v>-151</v>
      </c>
      <c r="AI16" s="32">
        <v>-365</v>
      </c>
      <c r="AJ16" s="83"/>
      <c r="AK16" s="83"/>
      <c r="AL16" s="83"/>
      <c r="AM16" s="83"/>
      <c r="AN16" s="83"/>
      <c r="AO16" s="83"/>
    </row>
    <row r="17" spans="1:41" ht="25.5" customHeight="1">
      <c r="A17" s="551" t="s">
        <v>225</v>
      </c>
      <c r="B17" s="480">
        <v>2604.3055249799986</v>
      </c>
      <c r="C17" s="764">
        <v>3064.3627663983543</v>
      </c>
      <c r="D17" s="480">
        <v>1170.4087846900002</v>
      </c>
      <c r="E17" s="532">
        <v>4233.7715510883536</v>
      </c>
      <c r="F17" s="532">
        <v>-631.60566179781165</v>
      </c>
      <c r="G17" s="523">
        <v>6206.4714142705434</v>
      </c>
      <c r="H17" s="136"/>
      <c r="I17" s="115"/>
      <c r="J17" s="115"/>
      <c r="K17" s="115"/>
      <c r="L17" s="92"/>
      <c r="N17" s="84"/>
      <c r="O17" s="32">
        <f t="shared" si="1"/>
        <v>0</v>
      </c>
      <c r="P17" s="32">
        <f t="shared" si="2"/>
        <v>0</v>
      </c>
      <c r="Q17" s="84"/>
      <c r="R17" s="32">
        <f>+ROUND(B17,0)-ROUND('Barclays UK YTD'!C42,0)</f>
        <v>0</v>
      </c>
      <c r="S17" s="32">
        <f>ROUND(C17,0)-ROUND('Barclays International YTD'!C92,0)</f>
        <v>0</v>
      </c>
      <c r="T17" s="32">
        <f>ROUND(D17,0)-ROUND('Barclays International YTD'!C135,0)</f>
        <v>0</v>
      </c>
      <c r="U17" s="32">
        <f>+ROUND(E17,0)-ROUND('Barclays International YTD'!C42,0)</f>
        <v>0</v>
      </c>
      <c r="V17" s="32">
        <f>+ROUND(F17,0)-ROUND('Head Office YTD'!C29,0)</f>
        <v>0</v>
      </c>
      <c r="W17" s="32">
        <f>+ROUND(G17,0)-ROUND('Group PH'!C26,0)</f>
        <v>5283</v>
      </c>
      <c r="X17" s="83"/>
      <c r="Y17" s="32">
        <f>+ROUND(B15,0)+ROUND(B16,0)-ROUND(B17,0)</f>
        <v>0</v>
      </c>
      <c r="Z17" s="32">
        <f t="shared" ref="Z17:AD17" si="3">+ROUND(C15,0)+ROUND(C16,0)-ROUND(C17,0)</f>
        <v>0</v>
      </c>
      <c r="AA17" s="32">
        <f>+ROUND(D15,0)+ROUND(D16,0)-ROUND(D17,0)</f>
        <v>0</v>
      </c>
      <c r="AB17" s="32">
        <f>+ROUND(E15,0)+ROUND(E16,0)-ROUND(E17,0)</f>
        <v>0</v>
      </c>
      <c r="AC17" s="32">
        <f t="shared" si="3"/>
        <v>0</v>
      </c>
      <c r="AD17" s="32">
        <f t="shared" si="3"/>
        <v>0</v>
      </c>
      <c r="AE17" s="83"/>
      <c r="AF17" s="32">
        <v>-1586</v>
      </c>
      <c r="AG17" s="32">
        <v>-1107</v>
      </c>
      <c r="AH17" s="32">
        <v>683</v>
      </c>
      <c r="AI17" s="32">
        <v>772</v>
      </c>
      <c r="AJ17" s="83"/>
      <c r="AK17" s="32">
        <f>+ROUND(I15,0)+ROUND(I16,0)-ROUND(I17,0)</f>
        <v>0</v>
      </c>
      <c r="AL17" s="32">
        <f>+ROUND(J15,0)+ROUND(J16,0)-ROUND(J17,0)</f>
        <v>0</v>
      </c>
      <c r="AM17" s="32">
        <f>+ROUND(K15,0)+ROUND(K16,0)-ROUND(K17,0)</f>
        <v>0</v>
      </c>
      <c r="AN17" s="32">
        <f>+ROUND(L15,0)+ROUND(L16,0)-ROUND(L17,0)</f>
        <v>0</v>
      </c>
      <c r="AO17" s="83"/>
    </row>
    <row r="18" spans="1:41" ht="11.25" customHeight="1">
      <c r="A18" s="553"/>
      <c r="B18" s="533"/>
      <c r="C18" s="533"/>
      <c r="D18" s="533"/>
      <c r="E18" s="503"/>
      <c r="F18" s="503"/>
      <c r="G18" s="503"/>
      <c r="H18" s="88"/>
      <c r="I18" s="88"/>
      <c r="J18" s="88"/>
      <c r="K18" s="88"/>
      <c r="L18" s="88"/>
      <c r="N18" s="83"/>
      <c r="O18" s="38"/>
      <c r="P18" s="38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</row>
    <row r="19" spans="1:41" ht="22.8">
      <c r="A19" s="552" t="s">
        <v>103</v>
      </c>
      <c r="B19" s="534"/>
      <c r="C19" s="534"/>
      <c r="D19" s="534"/>
      <c r="E19" s="504"/>
      <c r="F19" s="504"/>
      <c r="G19" s="504"/>
      <c r="H19" s="88"/>
      <c r="I19" s="89"/>
      <c r="J19" s="89"/>
      <c r="K19" s="89"/>
      <c r="L19" s="89"/>
      <c r="N19" s="83"/>
      <c r="O19" s="38"/>
      <c r="P19" s="38"/>
      <c r="Q19" s="83"/>
      <c r="R19" s="83"/>
      <c r="S19" s="84"/>
      <c r="T19" s="84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</row>
    <row r="20" spans="1:41" ht="11.25" customHeight="1">
      <c r="A20" s="554" t="s">
        <v>7</v>
      </c>
      <c r="B20" s="555">
        <v>280.99999999999829</v>
      </c>
      <c r="C20" s="555">
        <v>1979.9999999999882</v>
      </c>
      <c r="D20" s="555">
        <v>836.00000000000034</v>
      </c>
      <c r="E20" s="555">
        <v>2815.9999999999895</v>
      </c>
      <c r="F20" s="765">
        <v>-635.99999999999977</v>
      </c>
      <c r="G20" s="765">
        <v>2460.9999999999859</v>
      </c>
      <c r="H20" s="22"/>
      <c r="I20" s="91"/>
      <c r="J20" s="91"/>
      <c r="K20" s="91"/>
      <c r="L20" s="90"/>
      <c r="N20" s="84"/>
      <c r="O20" s="32">
        <f>ROUND(C20,0)+ROUND(D20,0)-ROUND(E20,0)</f>
        <v>0</v>
      </c>
      <c r="P20" s="32">
        <f>ROUND(G20,0)-ROUND(F20,0)-ROUND(E20,0)-ROUND(B20,0)</f>
        <v>0</v>
      </c>
      <c r="Q20" s="84"/>
      <c r="R20" s="32">
        <f>+ROUND(B20,0)-ROUND('Barclays UK YTD'!C17,0)</f>
        <v>0</v>
      </c>
      <c r="S20" s="32">
        <f>ROUND(C20,0)-ROUND('Barclays International YTD'!C72,0)</f>
        <v>0</v>
      </c>
      <c r="T20" s="32">
        <f>ROUND(D20,0)-ROUND('Barclays International YTD'!C112,0)</f>
        <v>0</v>
      </c>
      <c r="U20" s="32">
        <f>+ROUND(E20,0)-ROUND('Barclays International YTD'!C18,0)</f>
        <v>0</v>
      </c>
      <c r="V20" s="32">
        <f>+ROUND(F20,0)-ROUND('Head Office YTD'!C18,0)</f>
        <v>0</v>
      </c>
      <c r="W20" s="32">
        <f>+ROUND(G20,0)-ROUND('Group PH'!C16,0)</f>
        <v>1856</v>
      </c>
      <c r="X20" s="220"/>
      <c r="Y20" s="220"/>
      <c r="Z20" s="220"/>
      <c r="AA20" s="220"/>
      <c r="AB20" s="220"/>
      <c r="AC20" s="220"/>
      <c r="AD20" s="220"/>
      <c r="AE20" s="220"/>
      <c r="AF20" s="32">
        <v>-853</v>
      </c>
      <c r="AG20" s="32">
        <v>-847</v>
      </c>
      <c r="AH20" s="32">
        <v>868</v>
      </c>
      <c r="AI20" s="32">
        <v>1922</v>
      </c>
      <c r="AJ20" s="220"/>
      <c r="AK20" s="220"/>
      <c r="AL20" s="220"/>
      <c r="AM20" s="220"/>
      <c r="AN20" s="220"/>
      <c r="AO20" s="220"/>
    </row>
    <row r="21" spans="1:41" ht="11.25" customHeight="1">
      <c r="A21" s="511" t="s">
        <v>104</v>
      </c>
      <c r="B21" s="557">
        <v>1532</v>
      </c>
      <c r="C21" s="766">
        <v>84</v>
      </c>
      <c r="D21" s="557">
        <v>6</v>
      </c>
      <c r="E21" s="489">
        <v>90</v>
      </c>
      <c r="F21" s="752">
        <v>111</v>
      </c>
      <c r="G21" s="766">
        <v>1733</v>
      </c>
      <c r="H21" s="22"/>
      <c r="I21" s="81"/>
      <c r="J21" s="81"/>
      <c r="K21" s="81"/>
      <c r="L21" s="200"/>
      <c r="N21" s="84"/>
      <c r="O21" s="32">
        <f>ROUND(C21,0)+ROUND(D21,0)-ROUND(E21,0)</f>
        <v>0</v>
      </c>
      <c r="P21" s="32">
        <f>G21-F21-E21-B21</f>
        <v>0</v>
      </c>
      <c r="Q21" s="84"/>
      <c r="R21" s="84"/>
      <c r="S21" s="84"/>
      <c r="T21" s="84"/>
      <c r="U21" s="84"/>
      <c r="V21" s="84"/>
      <c r="W21" s="84"/>
      <c r="X21" s="84"/>
      <c r="Y21" s="220"/>
      <c r="Z21" s="220"/>
      <c r="AA21" s="220"/>
      <c r="AB21" s="220"/>
      <c r="AC21" s="220"/>
      <c r="AD21" s="220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</row>
    <row r="22" spans="1:41" ht="22.8">
      <c r="A22" s="551" t="s">
        <v>105</v>
      </c>
      <c r="B22" s="558">
        <v>1813.0760263612553</v>
      </c>
      <c r="C22" s="767">
        <v>2063.5162600801118</v>
      </c>
      <c r="D22" s="558">
        <v>841.52103235490029</v>
      </c>
      <c r="E22" s="558">
        <v>2906.0372924350127</v>
      </c>
      <c r="F22" s="558">
        <v>-524.84074720870899</v>
      </c>
      <c r="G22" s="559">
        <v>4194.2725715875567</v>
      </c>
      <c r="H22" s="94"/>
      <c r="I22" s="93"/>
      <c r="J22" s="93"/>
      <c r="K22" s="93"/>
      <c r="L22" s="92"/>
      <c r="M22" s="221"/>
      <c r="N22" s="84"/>
      <c r="O22" s="32">
        <f t="shared" si="1"/>
        <v>0</v>
      </c>
      <c r="P22" s="32">
        <f>ROUND(G22,0)-ROUND(F22,0)-ROUND(E22,0)-ROUND(B22,0)</f>
        <v>0</v>
      </c>
      <c r="Q22" s="84"/>
      <c r="R22" s="32">
        <f>ROUND(B22,0)-ROUND('Barclays UK YTD'!C43,0)</f>
        <v>0</v>
      </c>
      <c r="S22" s="32">
        <f>ROUND(C22,0)-ROUND('Barclays International YTD'!C93,0)</f>
        <v>0</v>
      </c>
      <c r="T22" s="32">
        <f>ROUND(D22,0)-ROUND('Barclays International YTD'!C136,0)</f>
        <v>0</v>
      </c>
      <c r="U22" s="32">
        <f>ROUND(E22,0)-ROUND('Barclays International YTD'!C43,0)</f>
        <v>0</v>
      </c>
      <c r="V22" s="32">
        <f>ROUND(F22,0)-ROUND('Head Office YTD'!C30,0)</f>
        <v>0</v>
      </c>
      <c r="W22" s="32">
        <f>ROUND(G22,0)-ROUND('Group PH'!C27,0)</f>
        <v>3590</v>
      </c>
      <c r="X22" s="124"/>
      <c r="Y22" s="124"/>
      <c r="Z22" s="124"/>
      <c r="AA22" s="124"/>
      <c r="AB22" s="124"/>
      <c r="AC22" s="124"/>
      <c r="AD22" s="124"/>
      <c r="AE22" s="124"/>
      <c r="AF22" s="84"/>
      <c r="AG22" s="84"/>
      <c r="AH22" s="84"/>
      <c r="AI22" s="84"/>
      <c r="AJ22" s="124"/>
      <c r="AK22" s="124"/>
      <c r="AL22" s="124"/>
      <c r="AM22" s="124"/>
      <c r="AN22" s="124"/>
      <c r="AO22" s="124"/>
    </row>
    <row r="23" spans="1:41" ht="11.25" customHeight="1">
      <c r="A23" s="514"/>
      <c r="B23" s="560"/>
      <c r="C23" s="560"/>
      <c r="D23" s="560"/>
      <c r="E23" s="560"/>
      <c r="F23" s="560"/>
      <c r="G23" s="560"/>
      <c r="H23" s="94"/>
      <c r="I23" s="94"/>
      <c r="J23" s="94"/>
      <c r="K23" s="94"/>
      <c r="L23" s="94"/>
      <c r="N23" s="84"/>
      <c r="O23" s="38"/>
      <c r="P23" s="38"/>
      <c r="Q23" s="84"/>
      <c r="R23" s="84"/>
      <c r="S23" s="84"/>
      <c r="T23" s="84"/>
      <c r="U23" s="84"/>
      <c r="V23" s="84"/>
      <c r="W23" s="84"/>
      <c r="X23" s="83"/>
      <c r="Y23" s="32">
        <f>+ROUND(B20,0)+ROUND(B21,0)-ROUND(B22,0)</f>
        <v>0</v>
      </c>
      <c r="Z23" s="32">
        <f t="shared" ref="Z23:AD23" si="4">+ROUND(C20,0)+ROUND(C21,0)-ROUND(C22,0)</f>
        <v>0</v>
      </c>
      <c r="AA23" s="32">
        <f>+ROUND(D20,0)+ROUND(D21,0)-ROUND(D22,0)</f>
        <v>0</v>
      </c>
      <c r="AB23" s="32">
        <f t="shared" si="4"/>
        <v>0</v>
      </c>
      <c r="AC23" s="32">
        <f>+ROUND(F20,0)+ROUND(F21,0)-ROUND(F22,0)</f>
        <v>0</v>
      </c>
      <c r="AD23" s="32">
        <f t="shared" si="4"/>
        <v>0</v>
      </c>
      <c r="AE23" s="83"/>
      <c r="AF23" s="84"/>
      <c r="AG23" s="84"/>
      <c r="AH23" s="84"/>
      <c r="AI23" s="84"/>
      <c r="AJ23" s="83"/>
      <c r="AK23" s="32" t="e">
        <f>+ROUND(#REF!,0)+ROUND(#REF!,0)-ROUND(I22,0)</f>
        <v>#REF!</v>
      </c>
      <c r="AL23" s="32" t="e">
        <f>+ROUND(#REF!,0)+ROUND(#REF!,0)-ROUND(J22,0)</f>
        <v>#REF!</v>
      </c>
      <c r="AM23" s="32" t="e">
        <f>+ROUND(#REF!,0)+ROUND(#REF!,0)-ROUND(K22,0)</f>
        <v>#REF!</v>
      </c>
      <c r="AN23" s="32" t="e">
        <f>+ROUND(#REF!,0)+ROUND(#REF!,0)-ROUND(L22,0)</f>
        <v>#REF!</v>
      </c>
      <c r="AO23" s="83"/>
    </row>
    <row r="24" spans="1:41" ht="11.25" customHeight="1">
      <c r="A24" s="535" t="s">
        <v>176</v>
      </c>
      <c r="B24" s="510" t="s">
        <v>150</v>
      </c>
      <c r="C24" s="510" t="s">
        <v>150</v>
      </c>
      <c r="D24" s="510" t="s">
        <v>150</v>
      </c>
      <c r="E24" s="510" t="s">
        <v>150</v>
      </c>
      <c r="F24" s="510" t="s">
        <v>150</v>
      </c>
      <c r="G24" s="510" t="s">
        <v>150</v>
      </c>
      <c r="H24" s="187"/>
      <c r="I24" s="76"/>
      <c r="J24" s="76"/>
      <c r="K24" s="76"/>
      <c r="L24" s="76"/>
      <c r="N24" s="83"/>
      <c r="O24" s="38"/>
      <c r="P24" s="38"/>
      <c r="Q24" s="83"/>
      <c r="R24" s="84"/>
      <c r="S24" s="84"/>
      <c r="T24" s="84"/>
      <c r="U24" s="124"/>
      <c r="V24" s="124"/>
      <c r="W24" s="124"/>
      <c r="X24" s="83"/>
      <c r="Y24" s="83"/>
      <c r="Z24" s="83"/>
      <c r="AA24" s="83"/>
      <c r="AB24" s="83"/>
      <c r="AC24" s="83"/>
      <c r="AD24" s="83"/>
      <c r="AE24" s="83"/>
      <c r="AF24" s="84" t="s">
        <v>70</v>
      </c>
      <c r="AG24" s="124"/>
      <c r="AH24" s="124"/>
      <c r="AI24" s="124"/>
      <c r="AJ24" s="83"/>
      <c r="AK24" s="83"/>
      <c r="AL24" s="83"/>
      <c r="AM24" s="83"/>
      <c r="AN24" s="83"/>
      <c r="AO24" s="83"/>
    </row>
    <row r="25" spans="1:41" ht="11.25" customHeight="1">
      <c r="A25" s="554" t="s">
        <v>226</v>
      </c>
      <c r="B25" s="473">
        <v>13900</v>
      </c>
      <c r="C25" s="473">
        <v>25900</v>
      </c>
      <c r="D25" s="473">
        <v>6300</v>
      </c>
      <c r="E25" s="473">
        <v>32200</v>
      </c>
      <c r="F25" s="473">
        <v>8500</v>
      </c>
      <c r="G25" s="472">
        <v>54600</v>
      </c>
      <c r="H25" s="187"/>
      <c r="I25" s="109"/>
      <c r="J25" s="109"/>
      <c r="K25" s="109"/>
      <c r="L25" s="109"/>
      <c r="N25" s="83"/>
      <c r="O25" s="195">
        <f>ROUND(C25,0)+ROUND(D25,0)-ROUND(E25,0)</f>
        <v>0</v>
      </c>
      <c r="P25" s="195">
        <f t="shared" ref="P25:P27" si="5">G25-F25-E25-B25</f>
        <v>0</v>
      </c>
      <c r="Q25" s="83"/>
      <c r="R25" s="84"/>
      <c r="S25" s="84"/>
      <c r="T25" s="84"/>
      <c r="U25" s="124"/>
      <c r="V25" s="124"/>
      <c r="W25" s="124"/>
      <c r="X25" s="83"/>
      <c r="Y25" s="84"/>
      <c r="Z25" s="83"/>
      <c r="AA25" s="83"/>
      <c r="AB25" s="83"/>
      <c r="AC25" s="83"/>
      <c r="AD25" s="83"/>
      <c r="AE25" s="83"/>
      <c r="AF25" s="84"/>
      <c r="AG25" s="124"/>
      <c r="AH25" s="124"/>
      <c r="AI25" s="124"/>
      <c r="AJ25" s="83"/>
      <c r="AK25" s="83"/>
      <c r="AL25" s="83"/>
      <c r="AM25" s="83"/>
      <c r="AN25" s="83"/>
      <c r="AO25" s="83"/>
    </row>
    <row r="26" spans="1:41" ht="11.25" customHeight="1">
      <c r="A26" s="561" t="s">
        <v>106</v>
      </c>
      <c r="B26" s="475">
        <v>-3600</v>
      </c>
      <c r="C26" s="475">
        <v>0</v>
      </c>
      <c r="D26" s="475">
        <v>-1000</v>
      </c>
      <c r="E26" s="475">
        <v>-1000</v>
      </c>
      <c r="F26" s="475">
        <v>-3400</v>
      </c>
      <c r="G26" s="474">
        <v>-8000</v>
      </c>
      <c r="H26" s="187"/>
      <c r="I26" s="109"/>
      <c r="J26" s="109"/>
      <c r="K26" s="109"/>
      <c r="L26" s="109"/>
      <c r="N26" s="83"/>
      <c r="O26" s="769">
        <f>ROUND(C26,0)+ROUND(D26,0)-ROUND(E26,0)</f>
        <v>0</v>
      </c>
      <c r="P26" s="769">
        <f t="shared" si="5"/>
        <v>0</v>
      </c>
      <c r="Q26" s="83"/>
      <c r="R26" s="84" t="s">
        <v>70</v>
      </c>
      <c r="S26" s="84"/>
      <c r="T26" s="84"/>
      <c r="U26" s="124"/>
      <c r="V26" s="124"/>
      <c r="W26" s="124"/>
      <c r="X26" s="83"/>
      <c r="Y26" s="84"/>
      <c r="Z26" s="83"/>
      <c r="AA26" s="83"/>
      <c r="AB26" s="83"/>
      <c r="AC26" s="83"/>
      <c r="AD26" s="83"/>
      <c r="AE26" s="83"/>
      <c r="AF26" s="84"/>
      <c r="AG26" s="124"/>
      <c r="AH26" s="124"/>
      <c r="AI26" s="124"/>
      <c r="AJ26" s="83"/>
      <c r="AK26" s="83"/>
      <c r="AL26" s="83"/>
      <c r="AM26" s="83"/>
      <c r="AN26" s="83"/>
      <c r="AO26" s="83"/>
    </row>
    <row r="27" spans="1:41" ht="11.25" customHeight="1">
      <c r="A27" s="513" t="s">
        <v>227</v>
      </c>
      <c r="B27" s="473">
        <v>10333.197564800115</v>
      </c>
      <c r="C27" s="473">
        <v>25886.815093654146</v>
      </c>
      <c r="D27" s="473">
        <v>5281.7143333222311</v>
      </c>
      <c r="E27" s="473">
        <v>31168.529426976376</v>
      </c>
      <c r="F27" s="473">
        <v>5056.3351808721118</v>
      </c>
      <c r="G27" s="472">
        <v>46558.062172648606</v>
      </c>
      <c r="H27" s="188"/>
      <c r="I27" s="189"/>
      <c r="J27" s="189"/>
      <c r="K27" s="189"/>
      <c r="L27" s="222"/>
      <c r="N27" s="83"/>
      <c r="O27" s="152">
        <f>ROUND(C27,0)+ROUND(D27,0)-ROUND(E27,0)</f>
        <v>0</v>
      </c>
      <c r="P27" s="152">
        <f t="shared" si="5"/>
        <v>0</v>
      </c>
      <c r="Q27" s="83"/>
      <c r="R27" s="152">
        <f>+ROUND(B27,-2)-ROUND('Barclays UK YTD'!C36,-2)</f>
        <v>0</v>
      </c>
      <c r="S27" s="32">
        <f>ROUND(C27,-2)-ROUND('Barclays International YTD'!C88,-2)</f>
        <v>0</v>
      </c>
      <c r="T27" s="32">
        <f>ROUND(D27,-2)-ROUND('Barclays International YTD'!C130,-2)</f>
        <v>0</v>
      </c>
      <c r="U27" s="32">
        <f>+ROUND(E27,-2)-ROUND('Barclays International YTD'!C36,-2)</f>
        <v>0</v>
      </c>
      <c r="V27" s="32">
        <f>+ROUND(F27,-2)-ROUND('Head Office YTD'!C26,-2)</f>
        <v>0</v>
      </c>
      <c r="W27" s="32">
        <f>+ROUND(G27,-2)-ROUND('Group PH'!C20,-2)</f>
        <v>-400</v>
      </c>
      <c r="X27" s="83"/>
      <c r="Y27" s="84"/>
      <c r="Z27" s="83"/>
      <c r="AA27" s="83"/>
      <c r="AB27" s="83"/>
      <c r="AC27" s="83"/>
      <c r="AD27" s="83"/>
      <c r="AE27" s="83"/>
      <c r="AF27" s="32">
        <v>-1</v>
      </c>
      <c r="AG27" s="32">
        <v>-1</v>
      </c>
      <c r="AH27" s="32">
        <v>-9300</v>
      </c>
      <c r="AI27" s="32">
        <v>-1000</v>
      </c>
      <c r="AJ27" s="83"/>
      <c r="AK27" s="83"/>
      <c r="AL27" s="83"/>
      <c r="AM27" s="83"/>
      <c r="AN27" s="83"/>
      <c r="AO27" s="83"/>
    </row>
    <row r="28" spans="1:41" ht="11.25" customHeight="1">
      <c r="A28" s="512"/>
      <c r="B28" s="536"/>
      <c r="C28" s="536"/>
      <c r="D28" s="536"/>
      <c r="E28" s="536"/>
      <c r="F28" s="536"/>
      <c r="G28" s="536"/>
      <c r="H28" s="94"/>
      <c r="I28" s="95"/>
      <c r="J28" s="95"/>
      <c r="K28" s="95"/>
      <c r="L28" s="95"/>
      <c r="N28" s="83"/>
      <c r="O28" s="38"/>
      <c r="P28" s="38"/>
      <c r="Q28" s="83"/>
      <c r="R28" s="83"/>
      <c r="S28" s="83"/>
      <c r="T28" s="83"/>
      <c r="U28" s="83"/>
      <c r="V28" s="83"/>
      <c r="W28" s="83"/>
      <c r="X28" s="83"/>
      <c r="Y28" s="22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</row>
    <row r="29" spans="1:41" ht="22.8">
      <c r="A29" s="513" t="s">
        <v>228</v>
      </c>
      <c r="B29" s="537">
        <v>0.17499999999999999</v>
      </c>
      <c r="C29" s="537">
        <v>0.08</v>
      </c>
      <c r="D29" s="537">
        <v>0.159</v>
      </c>
      <c r="E29" s="537">
        <v>9.2999999999999999E-2</v>
      </c>
      <c r="F29" s="537" t="s">
        <v>223</v>
      </c>
      <c r="G29" s="538">
        <v>0.09</v>
      </c>
      <c r="H29" s="138"/>
      <c r="I29" s="139"/>
      <c r="J29" s="139"/>
      <c r="K29" s="139"/>
      <c r="L29" s="137"/>
      <c r="N29" s="83"/>
      <c r="O29" s="38"/>
      <c r="P29" s="38"/>
      <c r="Q29" s="83"/>
      <c r="R29" s="169">
        <f>ROUND(B29,3)-ROUND('Barclays UK YTD'!C44,3)</f>
        <v>0</v>
      </c>
      <c r="S29" s="169">
        <f>ROUND(C29,3)-ROUND('Barclays International YTD'!C94,3)</f>
        <v>0</v>
      </c>
      <c r="T29" s="169">
        <f>ROUND(D29,3)-ROUND('Barclays International YTD'!C137,3)</f>
        <v>0</v>
      </c>
      <c r="U29" s="169">
        <f>+ROUND(E29,3)-ROUND('Barclays International YTD'!C44,3)</f>
        <v>0</v>
      </c>
      <c r="V29" s="83"/>
      <c r="W29" s="169">
        <f>+ROUND(G29,3)-ROUND('Group PH'!C28,3)</f>
        <v>3.9E-2</v>
      </c>
      <c r="X29" s="83"/>
      <c r="Y29" s="195">
        <f>+ROUND(B25,-2)+ROUND(B26,-2)-ROUND(B27,-2)</f>
        <v>0</v>
      </c>
      <c r="Z29" s="152">
        <f t="shared" ref="Z29:AA29" si="6">+ROUND(C25,-2)+ROUND(C26,-2)-ROUND(C27,-2)</f>
        <v>0</v>
      </c>
      <c r="AA29" s="152">
        <f t="shared" si="6"/>
        <v>0</v>
      </c>
      <c r="AB29" s="152">
        <f>+ROUND(E25,-2)+ROUND(E26,-2)-ROUND(E27,-2)</f>
        <v>0</v>
      </c>
      <c r="AC29" s="152">
        <f>+ROUND(F25,-2)+ROUND(F26,-2)-ROUND(F27,-2)</f>
        <v>0</v>
      </c>
      <c r="AD29" s="152">
        <f>+ROUND(G25,-2)+ROUND(G26,-2)-ROUND(G27,-2)</f>
        <v>0</v>
      </c>
      <c r="AE29" s="83"/>
      <c r="AF29" s="32">
        <v>0</v>
      </c>
      <c r="AG29" s="32">
        <v>-1</v>
      </c>
      <c r="AH29" s="83"/>
      <c r="AI29" s="32">
        <v>0</v>
      </c>
      <c r="AJ29" s="83"/>
      <c r="AK29" s="83"/>
      <c r="AL29" s="83"/>
      <c r="AM29" s="83"/>
      <c r="AN29" s="83"/>
      <c r="AO29" s="83"/>
    </row>
    <row r="30" spans="1:41" ht="11.25" customHeight="1">
      <c r="A30" s="511"/>
      <c r="B30" s="491"/>
      <c r="C30" s="491"/>
      <c r="D30" s="491"/>
      <c r="E30" s="491"/>
      <c r="F30" s="491"/>
      <c r="G30" s="491"/>
      <c r="H30" s="74"/>
      <c r="I30" s="74"/>
      <c r="J30" s="74"/>
      <c r="K30" s="74"/>
      <c r="L30" s="74"/>
      <c r="N30" s="84" t="s">
        <v>71</v>
      </c>
      <c r="O30" s="84" t="s">
        <v>58</v>
      </c>
      <c r="P30" s="84"/>
      <c r="Q30" s="84"/>
      <c r="R30" s="577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</row>
    <row r="31" spans="1:41" ht="11.25" customHeight="1">
      <c r="A31" s="494" t="s">
        <v>229</v>
      </c>
      <c r="B31" s="477"/>
      <c r="C31" s="477"/>
      <c r="D31" s="477"/>
      <c r="E31" s="477"/>
      <c r="F31" s="477"/>
      <c r="G31" s="477"/>
      <c r="H31" s="187"/>
      <c r="I31" s="76"/>
      <c r="J31" s="76"/>
      <c r="K31" s="76"/>
      <c r="L31" s="76"/>
      <c r="N31" s="83"/>
      <c r="O31" s="195"/>
      <c r="P31" s="195"/>
      <c r="Q31" s="166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</row>
    <row r="32" spans="1:41" ht="11.25" customHeight="1">
      <c r="A32" s="554" t="s">
        <v>230</v>
      </c>
      <c r="B32" s="488"/>
      <c r="C32" s="488"/>
      <c r="D32" s="488"/>
      <c r="E32" s="488"/>
      <c r="F32" s="488"/>
      <c r="G32" s="487">
        <v>17200.216772717798</v>
      </c>
      <c r="H32" s="80"/>
      <c r="I32" s="79"/>
      <c r="J32" s="79"/>
      <c r="K32" s="79"/>
      <c r="L32" s="78"/>
      <c r="N32" s="83"/>
      <c r="O32" s="195"/>
      <c r="P32" s="195"/>
      <c r="Q32" s="195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</row>
    <row r="33" spans="1:41" ht="11.25" customHeight="1">
      <c r="A33" s="535"/>
      <c r="B33" s="477"/>
      <c r="C33" s="477"/>
      <c r="D33" s="477"/>
      <c r="E33" s="477"/>
      <c r="F33" s="477"/>
      <c r="G33" s="477"/>
      <c r="H33" s="187"/>
      <c r="I33" s="76"/>
      <c r="J33" s="76"/>
      <c r="K33" s="76"/>
      <c r="L33" s="76"/>
      <c r="N33" s="83"/>
      <c r="O33" s="32"/>
      <c r="P33" s="32"/>
      <c r="Q33" s="32"/>
      <c r="R33" s="83"/>
      <c r="S33" s="83"/>
      <c r="T33" s="83"/>
      <c r="U33" s="83"/>
      <c r="V33" s="83"/>
      <c r="W33" s="83"/>
      <c r="X33" s="224"/>
      <c r="Y33" s="224"/>
      <c r="Z33" s="224"/>
      <c r="AA33" s="224"/>
      <c r="AB33" s="224"/>
      <c r="AC33" s="224"/>
      <c r="AD33" s="224"/>
      <c r="AE33" s="224"/>
      <c r="AF33" s="83"/>
      <c r="AG33" s="83"/>
      <c r="AH33" s="83"/>
      <c r="AI33" s="83"/>
      <c r="AJ33" s="224"/>
      <c r="AK33" s="224"/>
      <c r="AL33" s="224"/>
      <c r="AM33" s="224"/>
      <c r="AN33" s="224"/>
      <c r="AO33" s="224"/>
    </row>
    <row r="34" spans="1:41" ht="22.8">
      <c r="A34" s="513" t="s">
        <v>231</v>
      </c>
      <c r="B34" s="495"/>
      <c r="C34" s="495"/>
      <c r="D34" s="495"/>
      <c r="E34" s="495"/>
      <c r="F34" s="495"/>
      <c r="G34" s="496">
        <v>24.384998323046258</v>
      </c>
      <c r="H34" s="97"/>
      <c r="I34" s="96"/>
      <c r="J34" s="96"/>
      <c r="K34" s="96"/>
      <c r="L34" s="85"/>
      <c r="N34" s="154" t="s">
        <v>167</v>
      </c>
      <c r="O34" s="32">
        <f>G34-G22/G32*100</f>
        <v>0</v>
      </c>
      <c r="P34" s="83"/>
      <c r="Q34" s="83"/>
      <c r="R34" s="83"/>
      <c r="S34" s="83"/>
      <c r="T34" s="83"/>
      <c r="U34" s="83"/>
      <c r="V34" s="83"/>
      <c r="W34" s="32">
        <f>+ROUND(G34,0)-ROUND('Group PH'!C30,0)</f>
        <v>21</v>
      </c>
      <c r="X34" s="224"/>
      <c r="Y34" s="224"/>
      <c r="Z34" s="224"/>
      <c r="AA34" s="224"/>
      <c r="AB34" s="224"/>
      <c r="AC34" s="224"/>
      <c r="AD34" s="224"/>
      <c r="AE34" s="224"/>
      <c r="AF34" s="83"/>
      <c r="AG34" s="83"/>
      <c r="AH34" s="83"/>
      <c r="AI34" s="32">
        <v>4</v>
      </c>
      <c r="AJ34" s="224"/>
      <c r="AK34" s="224"/>
      <c r="AL34" s="224"/>
      <c r="AM34" s="224"/>
      <c r="AN34" s="224"/>
      <c r="AO34" s="224"/>
    </row>
    <row r="35" spans="1:41" ht="11.25" customHeight="1">
      <c r="A35" s="8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</row>
  </sheetData>
  <mergeCells count="3">
    <mergeCell ref="A1:L1"/>
    <mergeCell ref="B3:G3"/>
    <mergeCell ref="I3:L3"/>
  </mergeCells>
  <conditionalFormatting sqref="R6:W6 R8:T8 O6:O29">
    <cfRule type="cellIs" dxfId="91" priority="68" operator="notEqual">
      <formula>0</formula>
    </cfRule>
  </conditionalFormatting>
  <conditionalFormatting sqref="Y8:AD8">
    <cfRule type="cellIs" dxfId="90" priority="67" operator="notEqual">
      <formula>0</formula>
    </cfRule>
  </conditionalFormatting>
  <conditionalFormatting sqref="Y17:AD17">
    <cfRule type="cellIs" dxfId="89" priority="64" operator="notEqual">
      <formula>0</formula>
    </cfRule>
  </conditionalFormatting>
  <conditionalFormatting sqref="R10:T10">
    <cfRule type="cellIs" dxfId="88" priority="66" operator="notEqual">
      <formula>0</formula>
    </cfRule>
  </conditionalFormatting>
  <conditionalFormatting sqref="W12 R12:U12">
    <cfRule type="cellIs" dxfId="87" priority="65" operator="notEqual">
      <formula>0</formula>
    </cfRule>
  </conditionalFormatting>
  <conditionalFormatting sqref="Y23:AD23">
    <cfRule type="cellIs" dxfId="86" priority="62" operator="notEqual">
      <formula>0</formula>
    </cfRule>
  </conditionalFormatting>
  <conditionalFormatting sqref="W34">
    <cfRule type="cellIs" dxfId="85" priority="59" operator="notEqual">
      <formula>0</formula>
    </cfRule>
  </conditionalFormatting>
  <conditionalFormatting sqref="U8">
    <cfRule type="cellIs" dxfId="84" priority="58" operator="notEqual">
      <formula>0</formula>
    </cfRule>
  </conditionalFormatting>
  <conditionalFormatting sqref="R27:W27">
    <cfRule type="cellIs" dxfId="83" priority="61" operator="notEqual">
      <formula>0</formula>
    </cfRule>
  </conditionalFormatting>
  <conditionalFormatting sqref="W29 R29:U29">
    <cfRule type="cellIs" dxfId="82" priority="60" operator="notEqual">
      <formula>0</formula>
    </cfRule>
  </conditionalFormatting>
  <conditionalFormatting sqref="V8">
    <cfRule type="cellIs" dxfId="81" priority="57" operator="notEqual">
      <formula>0</formula>
    </cfRule>
  </conditionalFormatting>
  <conditionalFormatting sqref="V10">
    <cfRule type="cellIs" dxfId="80" priority="54" operator="notEqual">
      <formula>0</formula>
    </cfRule>
  </conditionalFormatting>
  <conditionalFormatting sqref="W8">
    <cfRule type="cellIs" dxfId="79" priority="56" operator="notEqual">
      <formula>0</formula>
    </cfRule>
  </conditionalFormatting>
  <conditionalFormatting sqref="U10">
    <cfRule type="cellIs" dxfId="78" priority="55" operator="notEqual">
      <formula>0</formula>
    </cfRule>
  </conditionalFormatting>
  <conditionalFormatting sqref="W10">
    <cfRule type="cellIs" dxfId="77" priority="53" operator="notEqual">
      <formula>0</formula>
    </cfRule>
  </conditionalFormatting>
  <conditionalFormatting sqref="R15:W15 R17:W17">
    <cfRule type="cellIs" dxfId="76" priority="52" operator="notEqual">
      <formula>0</formula>
    </cfRule>
  </conditionalFormatting>
  <conditionalFormatting sqref="R20:W20">
    <cfRule type="cellIs" dxfId="75" priority="51" operator="notEqual">
      <formula>0</formula>
    </cfRule>
  </conditionalFormatting>
  <conditionalFormatting sqref="AF27:AI27">
    <cfRule type="cellIs" dxfId="74" priority="45" operator="notEqual">
      <formula>0</formula>
    </cfRule>
  </conditionalFormatting>
  <conditionalFormatting sqref="AF6:AI7 AF8">
    <cfRule type="cellIs" dxfId="73" priority="49" operator="notEqual">
      <formula>0</formula>
    </cfRule>
  </conditionalFormatting>
  <conditionalFormatting sqref="AF10">
    <cfRule type="cellIs" dxfId="72" priority="48" operator="notEqual">
      <formula>0</formula>
    </cfRule>
  </conditionalFormatting>
  <conditionalFormatting sqref="AF12:AG12 AI12">
    <cfRule type="cellIs" dxfId="71" priority="47" operator="notEqual">
      <formula>0</formula>
    </cfRule>
  </conditionalFormatting>
  <conditionalFormatting sqref="AF29:AG29 AI29">
    <cfRule type="cellIs" dxfId="70" priority="44" operator="notEqual">
      <formula>0</formula>
    </cfRule>
  </conditionalFormatting>
  <conditionalFormatting sqref="AI34">
    <cfRule type="cellIs" dxfId="69" priority="43" operator="notEqual">
      <formula>0</formula>
    </cfRule>
  </conditionalFormatting>
  <conditionalFormatting sqref="AG8">
    <cfRule type="cellIs" dxfId="68" priority="42" operator="notEqual">
      <formula>0</formula>
    </cfRule>
  </conditionalFormatting>
  <conditionalFormatting sqref="AI8">
    <cfRule type="cellIs" dxfId="67" priority="40" operator="notEqual">
      <formula>0</formula>
    </cfRule>
  </conditionalFormatting>
  <conditionalFormatting sqref="AH8">
    <cfRule type="cellIs" dxfId="66" priority="41" operator="notEqual">
      <formula>0</formula>
    </cfRule>
  </conditionalFormatting>
  <conditionalFormatting sqref="AF15:AI17">
    <cfRule type="cellIs" dxfId="65" priority="36" operator="notEqual">
      <formula>0</formula>
    </cfRule>
  </conditionalFormatting>
  <conditionalFormatting sqref="AH10">
    <cfRule type="cellIs" dxfId="64" priority="38" operator="notEqual">
      <formula>0</formula>
    </cfRule>
  </conditionalFormatting>
  <conditionalFormatting sqref="AG10">
    <cfRule type="cellIs" dxfId="63" priority="39" operator="notEqual">
      <formula>0</formula>
    </cfRule>
  </conditionalFormatting>
  <conditionalFormatting sqref="AI10">
    <cfRule type="cellIs" dxfId="62" priority="37" operator="notEqual">
      <formula>0</formula>
    </cfRule>
  </conditionalFormatting>
  <conditionalFormatting sqref="AF20:AI20">
    <cfRule type="cellIs" dxfId="61" priority="35" operator="notEqual">
      <formula>0</formula>
    </cfRule>
  </conditionalFormatting>
  <conditionalFormatting sqref="AK8:AN8">
    <cfRule type="cellIs" dxfId="60" priority="33" operator="notEqual">
      <formula>0</formula>
    </cfRule>
  </conditionalFormatting>
  <conditionalFormatting sqref="AK17:AN17">
    <cfRule type="cellIs" dxfId="59" priority="32" operator="notEqual">
      <formula>0</formula>
    </cfRule>
  </conditionalFormatting>
  <conditionalFormatting sqref="AK23:AN23">
    <cfRule type="cellIs" dxfId="58" priority="31" operator="notEqual">
      <formula>0</formula>
    </cfRule>
  </conditionalFormatting>
  <conditionalFormatting sqref="S7:W7">
    <cfRule type="cellIs" dxfId="57" priority="27" operator="notEqual">
      <formula>0</formula>
    </cfRule>
  </conditionalFormatting>
  <conditionalFormatting sqref="R7">
    <cfRule type="cellIs" dxfId="56" priority="26" operator="notEqual">
      <formula>0</formula>
    </cfRule>
  </conditionalFormatting>
  <conditionalFormatting sqref="R16">
    <cfRule type="cellIs" dxfId="55" priority="25" operator="notEqual">
      <formula>0</formula>
    </cfRule>
  </conditionalFormatting>
  <conditionalFormatting sqref="S16">
    <cfRule type="cellIs" dxfId="54" priority="24" operator="notEqual">
      <formula>0</formula>
    </cfRule>
  </conditionalFormatting>
  <conditionalFormatting sqref="T16">
    <cfRule type="cellIs" dxfId="53" priority="23" operator="notEqual">
      <formula>0</formula>
    </cfRule>
  </conditionalFormatting>
  <conditionalFormatting sqref="U16">
    <cfRule type="cellIs" dxfId="52" priority="22" operator="notEqual">
      <formula>0</formula>
    </cfRule>
  </conditionalFormatting>
  <conditionalFormatting sqref="V16">
    <cfRule type="cellIs" dxfId="51" priority="21" operator="notEqual">
      <formula>0</formula>
    </cfRule>
  </conditionalFormatting>
  <conditionalFormatting sqref="W16">
    <cfRule type="cellIs" dxfId="50" priority="20" operator="notEqual">
      <formula>0</formula>
    </cfRule>
  </conditionalFormatting>
  <conditionalFormatting sqref="O31">
    <cfRule type="cellIs" dxfId="49" priority="19" operator="notEqual">
      <formula>0</formula>
    </cfRule>
  </conditionalFormatting>
  <conditionalFormatting sqref="O32">
    <cfRule type="cellIs" dxfId="48" priority="18" operator="notEqual">
      <formula>0</formula>
    </cfRule>
  </conditionalFormatting>
  <conditionalFormatting sqref="O33">
    <cfRule type="cellIs" dxfId="47" priority="17" operator="notEqual">
      <formula>0</formula>
    </cfRule>
  </conditionalFormatting>
  <conditionalFormatting sqref="Q31">
    <cfRule type="cellIs" dxfId="46" priority="16" operator="notEqual">
      <formula>0</formula>
    </cfRule>
  </conditionalFormatting>
  <conditionalFormatting sqref="Q32">
    <cfRule type="cellIs" dxfId="45" priority="15" operator="notEqual">
      <formula>0</formula>
    </cfRule>
  </conditionalFormatting>
  <conditionalFormatting sqref="Q33">
    <cfRule type="cellIs" dxfId="44" priority="14" operator="notEqual">
      <formula>0</formula>
    </cfRule>
  </conditionalFormatting>
  <conditionalFormatting sqref="R22:W22">
    <cfRule type="cellIs" dxfId="43" priority="12" operator="notEqual">
      <formula>0</formula>
    </cfRule>
  </conditionalFormatting>
  <conditionalFormatting sqref="Y29:AD29">
    <cfRule type="cellIs" dxfId="42" priority="11" operator="notEqual">
      <formula>0</formula>
    </cfRule>
  </conditionalFormatting>
  <conditionalFormatting sqref="P33">
    <cfRule type="cellIs" dxfId="41" priority="2" operator="notEqual">
      <formula>0</formula>
    </cfRule>
  </conditionalFormatting>
  <conditionalFormatting sqref="O34">
    <cfRule type="cellIs" dxfId="40" priority="1" operator="notEqual">
      <formula>0</formula>
    </cfRule>
  </conditionalFormatting>
  <conditionalFormatting sqref="P6:P29">
    <cfRule type="cellIs" dxfId="39" priority="5" operator="notEqual">
      <formula>0</formula>
    </cfRule>
  </conditionalFormatting>
  <conditionalFormatting sqref="P31">
    <cfRule type="cellIs" dxfId="38" priority="4" operator="notEqual">
      <formula>0</formula>
    </cfRule>
  </conditionalFormatting>
  <conditionalFormatting sqref="P32">
    <cfRule type="cellIs" dxfId="37" priority="3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93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B0F0"/>
    <pageSetUpPr fitToPage="1"/>
  </sheetPr>
  <dimension ref="A1:AK35"/>
  <sheetViews>
    <sheetView showGridLines="0" workbookViewId="0">
      <selection activeCell="A21" sqref="A21"/>
    </sheetView>
  </sheetViews>
  <sheetFormatPr defaultColWidth="9" defaultRowHeight="13.2"/>
  <cols>
    <col min="1" max="1" width="35.77734375" style="82" customWidth="1"/>
    <col min="2" max="7" width="10" style="82" customWidth="1"/>
    <col min="8" max="8" width="1.21875" style="82" customWidth="1"/>
    <col min="9" max="9" width="5" style="82" customWidth="1"/>
    <col min="10" max="10" width="5.6640625" style="82" customWidth="1"/>
    <col min="11" max="12" width="11.21875" style="82" customWidth="1"/>
    <col min="13" max="13" width="5" style="82" customWidth="1"/>
    <col min="14" max="16" width="11" style="82" customWidth="1"/>
    <col min="17" max="17" width="18" style="82" bestFit="1" customWidth="1"/>
    <col min="18" max="18" width="9.77734375" style="82" bestFit="1" customWidth="1"/>
    <col min="19" max="19" width="12.77734375" style="82" bestFit="1" customWidth="1"/>
    <col min="20" max="20" width="3" style="82" customWidth="1"/>
    <col min="21" max="26" width="13.6640625" style="82" customWidth="1"/>
    <col min="27" max="27" width="2.77734375" style="82" customWidth="1"/>
    <col min="28" max="28" width="11" style="82" hidden="1" customWidth="1"/>
    <col min="29" max="29" width="18" style="82" hidden="1" customWidth="1"/>
    <col min="30" max="30" width="9.77734375" style="82" hidden="1" customWidth="1"/>
    <col min="31" max="31" width="12.77734375" style="82" hidden="1" customWidth="1"/>
    <col min="32" max="32" width="3" style="82" hidden="1" customWidth="1"/>
    <col min="33" max="36" width="13.6640625" style="82" hidden="1" customWidth="1"/>
    <col min="37" max="37" width="2.77734375" style="82" customWidth="1"/>
    <col min="38" max="16384" width="9" style="82"/>
  </cols>
  <sheetData>
    <row r="1" spans="1:37" ht="18.75" customHeight="1">
      <c r="A1" s="1652" t="s">
        <v>63</v>
      </c>
      <c r="B1" s="1652" t="s">
        <v>24</v>
      </c>
      <c r="C1" s="1652"/>
      <c r="D1" s="1652"/>
      <c r="E1" s="1652" t="s">
        <v>24</v>
      </c>
      <c r="F1" s="1652" t="s">
        <v>24</v>
      </c>
      <c r="G1" s="1652" t="s">
        <v>24</v>
      </c>
      <c r="H1" s="1652" t="s">
        <v>24</v>
      </c>
      <c r="J1" s="83"/>
      <c r="K1" s="83"/>
      <c r="L1" s="83"/>
      <c r="M1" s="83"/>
      <c r="N1" s="84"/>
      <c r="O1" s="84"/>
      <c r="P1" s="84"/>
      <c r="Q1" s="84"/>
      <c r="R1" s="84"/>
      <c r="S1" s="84"/>
      <c r="T1" s="83"/>
      <c r="U1" s="83"/>
      <c r="V1" s="83"/>
      <c r="W1" s="83"/>
      <c r="X1" s="83"/>
      <c r="Y1" s="83"/>
      <c r="Z1" s="83"/>
      <c r="AA1" s="83"/>
      <c r="AB1" s="84"/>
      <c r="AC1" s="84"/>
      <c r="AD1" s="84"/>
      <c r="AE1" s="84"/>
      <c r="AF1" s="83"/>
      <c r="AG1" s="83"/>
      <c r="AH1" s="83"/>
      <c r="AI1" s="83"/>
      <c r="AJ1" s="83"/>
      <c r="AK1" s="83"/>
    </row>
    <row r="2" spans="1:37" ht="9" customHeight="1">
      <c r="A2" s="153"/>
      <c r="B2" s="215"/>
      <c r="C2" s="215"/>
      <c r="D2" s="215"/>
      <c r="E2" s="215"/>
      <c r="F2" s="215"/>
      <c r="G2" s="215"/>
      <c r="H2" s="215"/>
      <c r="J2" s="83"/>
      <c r="K2" s="83"/>
      <c r="L2" s="83"/>
      <c r="M2" s="83"/>
      <c r="N2" s="84"/>
      <c r="O2" s="84"/>
      <c r="P2" s="84"/>
      <c r="Q2" s="84"/>
      <c r="R2" s="84"/>
      <c r="S2" s="84"/>
      <c r="T2" s="83"/>
      <c r="U2" s="83"/>
      <c r="V2" s="83"/>
      <c r="W2" s="83"/>
      <c r="X2" s="83"/>
      <c r="Y2" s="83"/>
      <c r="Z2" s="83"/>
      <c r="AA2" s="83"/>
      <c r="AB2" s="84"/>
      <c r="AC2" s="84"/>
      <c r="AD2" s="84"/>
      <c r="AE2" s="84"/>
      <c r="AF2" s="83"/>
      <c r="AG2" s="83"/>
      <c r="AH2" s="83"/>
      <c r="AI2" s="83"/>
      <c r="AJ2" s="83"/>
      <c r="AK2" s="83"/>
    </row>
    <row r="3" spans="1:37" ht="15.75" customHeight="1">
      <c r="A3" s="214"/>
      <c r="B3" s="1653" t="s">
        <v>161</v>
      </c>
      <c r="C3" s="1653" t="s">
        <v>24</v>
      </c>
      <c r="D3" s="1653" t="s">
        <v>24</v>
      </c>
      <c r="E3" s="1653" t="s">
        <v>24</v>
      </c>
      <c r="F3" s="1653" t="s">
        <v>24</v>
      </c>
      <c r="G3" s="1653" t="s">
        <v>24</v>
      </c>
      <c r="H3" s="215"/>
      <c r="J3" s="83"/>
      <c r="K3" s="83"/>
      <c r="L3" s="83"/>
      <c r="M3" s="83"/>
      <c r="N3" s="84"/>
      <c r="O3" s="84"/>
      <c r="P3" s="84"/>
      <c r="Q3" s="84"/>
      <c r="R3" s="84"/>
      <c r="S3" s="84"/>
      <c r="T3" s="120"/>
      <c r="U3" s="120"/>
      <c r="V3" s="120"/>
      <c r="W3" s="120"/>
      <c r="X3" s="120"/>
      <c r="Y3" s="120"/>
      <c r="Z3" s="120"/>
      <c r="AA3" s="120"/>
      <c r="AB3" s="84"/>
      <c r="AC3" s="84"/>
      <c r="AD3" s="84"/>
      <c r="AE3" s="84"/>
      <c r="AF3" s="120"/>
      <c r="AG3" s="120"/>
      <c r="AH3" s="120"/>
      <c r="AI3" s="120"/>
      <c r="AJ3" s="120"/>
      <c r="AK3" s="120"/>
    </row>
    <row r="4" spans="1:37" ht="48.75" customHeight="1">
      <c r="A4" s="108"/>
      <c r="B4" s="216" t="s">
        <v>81</v>
      </c>
      <c r="C4" s="216" t="s">
        <v>82</v>
      </c>
      <c r="D4" s="216" t="s">
        <v>83</v>
      </c>
      <c r="E4" s="216" t="s">
        <v>84</v>
      </c>
      <c r="F4" s="216" t="s">
        <v>85</v>
      </c>
      <c r="G4" s="216" t="s">
        <v>86</v>
      </c>
      <c r="H4" s="88"/>
      <c r="J4" s="83"/>
      <c r="K4" s="84" t="s">
        <v>66</v>
      </c>
      <c r="L4" s="84" t="s">
        <v>20</v>
      </c>
      <c r="M4" s="83"/>
      <c r="N4" s="84" t="s">
        <v>67</v>
      </c>
      <c r="O4" s="84"/>
      <c r="P4" s="84"/>
      <c r="Q4" s="84"/>
      <c r="R4" s="84"/>
      <c r="S4" s="84"/>
      <c r="T4" s="121"/>
      <c r="U4" s="121"/>
      <c r="V4" s="121"/>
      <c r="W4" s="121"/>
      <c r="X4" s="121"/>
      <c r="Y4" s="121"/>
      <c r="Z4" s="121"/>
      <c r="AA4" s="121"/>
      <c r="AB4" s="84" t="s">
        <v>67</v>
      </c>
      <c r="AC4" s="84"/>
      <c r="AD4" s="84"/>
      <c r="AE4" s="84"/>
      <c r="AF4" s="121"/>
      <c r="AG4" s="121"/>
      <c r="AH4" s="121"/>
      <c r="AI4" s="121"/>
      <c r="AJ4" s="121"/>
      <c r="AK4" s="121"/>
    </row>
    <row r="5" spans="1:37" ht="11.25" customHeight="1">
      <c r="A5" s="501" t="s">
        <v>154</v>
      </c>
      <c r="B5" s="478" t="s">
        <v>2</v>
      </c>
      <c r="C5" s="478" t="s">
        <v>2</v>
      </c>
      <c r="D5" s="478" t="s">
        <v>2</v>
      </c>
      <c r="E5" s="478" t="s">
        <v>2</v>
      </c>
      <c r="F5" s="478" t="s">
        <v>2</v>
      </c>
      <c r="G5" s="478" t="s">
        <v>2</v>
      </c>
      <c r="H5" s="97"/>
      <c r="J5" s="83"/>
      <c r="K5" s="84"/>
      <c r="L5" s="84"/>
      <c r="M5" s="83"/>
      <c r="N5" s="118" t="s">
        <v>64</v>
      </c>
      <c r="O5" s="118" t="s">
        <v>68</v>
      </c>
      <c r="P5" s="118" t="s">
        <v>72</v>
      </c>
      <c r="Q5" s="118" t="s">
        <v>65</v>
      </c>
      <c r="R5" s="118" t="s">
        <v>31</v>
      </c>
      <c r="S5" s="118" t="s">
        <v>34</v>
      </c>
      <c r="T5" s="83"/>
      <c r="U5" s="83"/>
      <c r="V5" s="83"/>
      <c r="W5" s="83"/>
      <c r="X5" s="83"/>
      <c r="Y5" s="83"/>
      <c r="Z5" s="83"/>
      <c r="AA5" s="83"/>
      <c r="AB5" s="118" t="s">
        <v>64</v>
      </c>
      <c r="AC5" s="118" t="s">
        <v>65</v>
      </c>
      <c r="AD5" s="118" t="s">
        <v>31</v>
      </c>
      <c r="AE5" s="118" t="s">
        <v>34</v>
      </c>
      <c r="AF5" s="83"/>
      <c r="AG5" s="83"/>
      <c r="AH5" s="83"/>
      <c r="AI5" s="83"/>
      <c r="AJ5" s="83"/>
      <c r="AK5" s="83"/>
    </row>
    <row r="6" spans="1:37" ht="12.75" customHeight="1">
      <c r="A6" s="515" t="s">
        <v>5</v>
      </c>
      <c r="B6" s="516">
        <v>-4604</v>
      </c>
      <c r="C6" s="516">
        <v>-7349</v>
      </c>
      <c r="D6" s="516">
        <v>-2312</v>
      </c>
      <c r="E6" s="516">
        <v>-9661</v>
      </c>
      <c r="F6" s="516">
        <v>-1978</v>
      </c>
      <c r="G6" s="517">
        <v>-16243</v>
      </c>
      <c r="H6" s="110"/>
      <c r="J6" s="84"/>
      <c r="K6" s="32">
        <f>ROUND(C6,0)+ROUND(D6,0)-ROUND(E6,0)</f>
        <v>0</v>
      </c>
      <c r="L6" s="32">
        <f>G6-F6-E6-B6</f>
        <v>0</v>
      </c>
      <c r="M6" s="84"/>
      <c r="N6" s="32">
        <f>+ROUND(B6,0)-ROUND('Barclays UK YTD'!D14,0)</f>
        <v>0</v>
      </c>
      <c r="O6" s="32">
        <f>ROUND(C6,0)-ROUND('Barclays International YTD'!D69,0)</f>
        <v>0</v>
      </c>
      <c r="P6" s="32">
        <f>ROUND(D6,0)-ROUND('Barclays International YTD'!D109,0)</f>
        <v>0</v>
      </c>
      <c r="Q6" s="32">
        <f>+ROUND(E6,0)-ROUND('Barclays International YTD'!D15,0)</f>
        <v>0</v>
      </c>
      <c r="R6" s="32">
        <f>+ROUND(F6,0)-ROUND('Head Office YTD'!D15,0)</f>
        <v>0</v>
      </c>
      <c r="S6" s="32">
        <f>+ROUND(G6,0)-ROUND('Group PH'!D9,0)</f>
        <v>-12925</v>
      </c>
      <c r="T6" s="83"/>
      <c r="U6" s="83"/>
      <c r="V6" s="83"/>
      <c r="W6" s="83"/>
      <c r="X6" s="83"/>
      <c r="Y6" s="83"/>
      <c r="Z6" s="83"/>
      <c r="AA6" s="83"/>
      <c r="AB6" s="32" t="e">
        <v>#REF!</v>
      </c>
      <c r="AC6" s="32" t="e">
        <v>#REF!</v>
      </c>
      <c r="AD6" s="32" t="e">
        <v>#REF!</v>
      </c>
      <c r="AE6" s="32" t="e">
        <v>#REF!</v>
      </c>
      <c r="AF6" s="83"/>
      <c r="AG6" s="83"/>
      <c r="AH6" s="83"/>
      <c r="AI6" s="83"/>
      <c r="AJ6" s="83"/>
      <c r="AK6" s="83"/>
    </row>
    <row r="7" spans="1:37" ht="11.25" customHeight="1">
      <c r="A7" s="518" t="s">
        <v>100</v>
      </c>
      <c r="B7" s="519">
        <v>483</v>
      </c>
      <c r="C7" s="519">
        <v>68</v>
      </c>
      <c r="D7" s="519">
        <v>59</v>
      </c>
      <c r="E7" s="519">
        <v>127</v>
      </c>
      <c r="F7" s="519">
        <v>1597</v>
      </c>
      <c r="G7" s="520">
        <v>2207</v>
      </c>
      <c r="H7" s="110"/>
      <c r="J7" s="84"/>
      <c r="K7" s="32">
        <f t="shared" ref="K7:K21" si="0">ROUND(C7,0)+ROUND(D7,0)-ROUND(E7,0)</f>
        <v>0</v>
      </c>
      <c r="L7" s="32">
        <f t="shared" ref="L7:L8" si="1">G7-F7-E7-B7</f>
        <v>0</v>
      </c>
      <c r="M7" s="84"/>
      <c r="N7" s="32">
        <f>B7+'Barclays UK YTD'!D13</f>
        <v>0</v>
      </c>
      <c r="O7" s="32">
        <f>ROUND(C7,0)+ROUND('Barclays International YTD'!D68,0)</f>
        <v>0</v>
      </c>
      <c r="P7" s="32">
        <f>ROUND(D7,0)+ROUND('Barclays International YTD'!D108,0)</f>
        <v>0</v>
      </c>
      <c r="Q7" s="32">
        <f>ROUND(E7,0)+ROUND('Barclays International YTD'!D14,0)</f>
        <v>0</v>
      </c>
      <c r="R7" s="32">
        <f>+ROUND(F7,0)+ROUND('Head Office YTD'!D14,0)</f>
        <v>0</v>
      </c>
      <c r="S7" s="32">
        <f>ROUND(G7,0)+ROUND('Group PH'!D8,0)</f>
        <v>2146</v>
      </c>
      <c r="T7" s="83"/>
      <c r="U7" s="84" t="s">
        <v>37</v>
      </c>
      <c r="V7" s="84"/>
      <c r="W7" s="84"/>
      <c r="X7" s="83"/>
      <c r="Y7" s="83"/>
      <c r="Z7" s="83"/>
      <c r="AA7" s="83"/>
      <c r="AB7" s="32" t="e">
        <v>#REF!</v>
      </c>
      <c r="AC7" s="32" t="e">
        <v>#REF!</v>
      </c>
      <c r="AD7" s="32" t="e">
        <v>#REF!</v>
      </c>
      <c r="AE7" s="32" t="e">
        <v>#REF!</v>
      </c>
      <c r="AF7" s="83"/>
      <c r="AG7" s="84" t="s">
        <v>37</v>
      </c>
      <c r="AH7" s="83"/>
      <c r="AI7" s="83"/>
      <c r="AJ7" s="83"/>
      <c r="AK7" s="83"/>
    </row>
    <row r="8" spans="1:37">
      <c r="A8" s="521" t="s">
        <v>232</v>
      </c>
      <c r="B8" s="522">
        <v>-4121</v>
      </c>
      <c r="C8" s="522">
        <v>-7281</v>
      </c>
      <c r="D8" s="522">
        <v>-2253</v>
      </c>
      <c r="E8" s="522">
        <v>-9534</v>
      </c>
      <c r="F8" s="522">
        <v>-381</v>
      </c>
      <c r="G8" s="523">
        <v>-14036</v>
      </c>
      <c r="H8" s="111"/>
      <c r="J8" s="84"/>
      <c r="K8" s="32">
        <f t="shared" si="0"/>
        <v>0</v>
      </c>
      <c r="L8" s="32">
        <f t="shared" si="1"/>
        <v>0</v>
      </c>
      <c r="M8" s="84"/>
      <c r="N8" s="32">
        <f>+ROUND(B8,0)-ROUND('Barclays UK YTD'!D10,0)-ROUND('Barclays UK YTD'!D11,0)</f>
        <v>0</v>
      </c>
      <c r="O8" s="32">
        <f>ROUND(C8,0)-ROUND('Barclays International YTD'!D65,0)-ROUND('Barclays International YTD'!D66,0)</f>
        <v>0</v>
      </c>
      <c r="P8" s="32">
        <f>ROUND(D8,0)-ROUND('Barclays International YTD'!D105,0)-ROUND('Barclays International YTD'!D106,0)</f>
        <v>0</v>
      </c>
      <c r="Q8" s="32">
        <f>+ROUND(E8,0)-ROUND('Barclays International YTD'!D11,0)-ROUND('Barclays International YTD'!D12,0)</f>
        <v>0</v>
      </c>
      <c r="R8" s="32">
        <f>+ROUND(F8,0)-ROUND('Head Office YTD'!D10,0)-ROUND('Head Office YTD'!D11,0)-ROUND('Head Office YTD'!D13,0)</f>
        <v>0</v>
      </c>
      <c r="S8" s="32" t="e">
        <f>+ROUND(G8,0)-ROUND('Group PH'!D7,0)-ROUND('Group PH'!#REF!,0)-ROUND('Group PH'!#REF!,0)</f>
        <v>#REF!</v>
      </c>
      <c r="T8" s="83"/>
      <c r="U8" s="32">
        <f>+ROUND(B6,0)+ROUND(B7,0)-ROUND(B8,0)</f>
        <v>0</v>
      </c>
      <c r="V8" s="32">
        <f t="shared" ref="V8:W8" si="2">+ROUND(C6,0)+ROUND(C7,0)-ROUND(C8,0)</f>
        <v>0</v>
      </c>
      <c r="W8" s="32">
        <f t="shared" si="2"/>
        <v>0</v>
      </c>
      <c r="X8" s="32">
        <f>+ROUND(E6,0)+ROUND(E7,0)-ROUND(E8,0)</f>
        <v>0</v>
      </c>
      <c r="Y8" s="32">
        <f>+ROUND(F6,0)+ROUND(F7,0)-ROUND(F8,0)</f>
        <v>0</v>
      </c>
      <c r="Z8" s="32">
        <f>+ROUND(G6,0)+ROUND(G7,0)-ROUND(G8,0)</f>
        <v>0</v>
      </c>
      <c r="AA8" s="83"/>
      <c r="AB8" s="32" t="e">
        <v>#REF!</v>
      </c>
      <c r="AC8" s="32" t="e">
        <v>#REF!</v>
      </c>
      <c r="AD8" s="32" t="e">
        <v>#REF!</v>
      </c>
      <c r="AE8" s="32" t="e">
        <v>#REF!</v>
      </c>
      <c r="AF8" s="83"/>
      <c r="AG8" s="32" t="e">
        <f>+ROUND(#REF!,0)+ROUND(#REF!,0)-ROUND(#REF!,0)</f>
        <v>#REF!</v>
      </c>
      <c r="AH8" s="32" t="e">
        <f>+ROUND(#REF!,0)+ROUND(#REF!,0)-ROUND(#REF!,0)</f>
        <v>#REF!</v>
      </c>
      <c r="AI8" s="32" t="e">
        <f>+ROUND(#REF!,0)+ROUND(#REF!,0)-ROUND(#REF!,0)</f>
        <v>#REF!</v>
      </c>
      <c r="AJ8" s="32" t="e">
        <f>+ROUND(#REF!,0)+ROUND(#REF!,0)-ROUND(#REF!,0)</f>
        <v>#REF!</v>
      </c>
      <c r="AK8" s="83"/>
    </row>
    <row r="9" spans="1:37" ht="11.25" customHeight="1">
      <c r="A9" s="524"/>
      <c r="B9" s="525"/>
      <c r="C9" s="525"/>
      <c r="D9" s="525"/>
      <c r="E9" s="525"/>
      <c r="F9" s="525"/>
      <c r="G9" s="525"/>
      <c r="H9" s="111"/>
      <c r="J9" s="84"/>
      <c r="K9" s="38"/>
      <c r="L9" s="38"/>
      <c r="M9" s="84"/>
      <c r="N9" s="84"/>
      <c r="O9" s="84"/>
      <c r="P9" s="84"/>
      <c r="Q9" s="84"/>
      <c r="R9" s="84"/>
      <c r="S9" s="84"/>
      <c r="T9" s="83"/>
      <c r="U9" s="83"/>
      <c r="V9" s="83"/>
      <c r="W9" s="83"/>
      <c r="X9" s="83"/>
      <c r="Y9" s="83"/>
      <c r="Z9" s="83"/>
      <c r="AA9" s="83"/>
      <c r="AB9" s="84"/>
      <c r="AC9" s="84"/>
      <c r="AD9" s="84"/>
      <c r="AE9" s="84"/>
      <c r="AF9" s="83"/>
      <c r="AG9" s="83"/>
      <c r="AH9" s="83"/>
      <c r="AI9" s="83"/>
      <c r="AJ9" s="83"/>
      <c r="AK9" s="83"/>
    </row>
    <row r="10" spans="1:37" ht="11.25" customHeight="1">
      <c r="A10" s="515" t="s">
        <v>101</v>
      </c>
      <c r="B10" s="516">
        <v>7383</v>
      </c>
      <c r="C10" s="516">
        <v>9765</v>
      </c>
      <c r="D10" s="516">
        <v>4261</v>
      </c>
      <c r="E10" s="516">
        <v>14026</v>
      </c>
      <c r="F10" s="516">
        <v>-273</v>
      </c>
      <c r="G10" s="517">
        <v>21136</v>
      </c>
      <c r="H10" s="110"/>
      <c r="J10" s="83"/>
      <c r="K10" s="32">
        <f t="shared" si="0"/>
        <v>0</v>
      </c>
      <c r="L10" s="32">
        <f>G10-F10-E10-B10</f>
        <v>0</v>
      </c>
      <c r="M10" s="83"/>
      <c r="N10" s="32">
        <f>+ROUND(B10,0)-ROUND('Barclays UK YTD'!D7,0)</f>
        <v>0</v>
      </c>
      <c r="O10" s="32">
        <f>ROUND(C10,0)-ROUND('Barclays International YTD'!D62,0)</f>
        <v>0</v>
      </c>
      <c r="P10" s="32">
        <f>ROUND(D10,0)-ROUND('Barclays International YTD'!D102,0)</f>
        <v>0</v>
      </c>
      <c r="Q10" s="32">
        <f>+ROUND(E10,0)-ROUND('Barclays International YTD'!D8,0)</f>
        <v>0</v>
      </c>
      <c r="R10" s="32">
        <f>+ROUND(F10,0)-ROUND('Head Office YTD'!D7,0)</f>
        <v>0</v>
      </c>
      <c r="S10" s="32">
        <f>+ROUND(G10,0)-ROUND('Group PH'!D4,0)</f>
        <v>15884</v>
      </c>
      <c r="T10" s="83"/>
      <c r="U10" s="83"/>
      <c r="V10" s="83"/>
      <c r="W10" s="83"/>
      <c r="X10" s="83"/>
      <c r="Y10" s="83"/>
      <c r="Z10" s="83"/>
      <c r="AA10" s="83"/>
      <c r="AB10" s="32" t="e">
        <v>#REF!</v>
      </c>
      <c r="AC10" s="32" t="e">
        <v>#REF!</v>
      </c>
      <c r="AD10" s="32" t="e">
        <v>#REF!</v>
      </c>
      <c r="AE10" s="32" t="e">
        <v>#REF!</v>
      </c>
      <c r="AF10" s="83"/>
      <c r="AG10" s="83"/>
      <c r="AH10" s="83"/>
      <c r="AI10" s="83"/>
      <c r="AJ10" s="83"/>
      <c r="AK10" s="83"/>
    </row>
    <row r="11" spans="1:37" ht="11.25" customHeight="1">
      <c r="A11" s="524"/>
      <c r="B11" s="526"/>
      <c r="C11" s="526"/>
      <c r="D11" s="526"/>
      <c r="E11" s="526"/>
      <c r="F11" s="526"/>
      <c r="G11" s="526"/>
      <c r="H11" s="112"/>
      <c r="J11" s="83"/>
      <c r="K11" s="38"/>
      <c r="L11" s="38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</row>
    <row r="12" spans="1:37">
      <c r="A12" s="521" t="s">
        <v>222</v>
      </c>
      <c r="B12" s="527">
        <v>0.56000000000000005</v>
      </c>
      <c r="C12" s="527">
        <v>0.75</v>
      </c>
      <c r="D12" s="527">
        <v>0.53</v>
      </c>
      <c r="E12" s="527">
        <v>0.68</v>
      </c>
      <c r="F12" s="527" t="s">
        <v>223</v>
      </c>
      <c r="G12" s="528">
        <v>0.66</v>
      </c>
      <c r="H12" s="113"/>
      <c r="J12" s="84"/>
      <c r="K12" s="38"/>
      <c r="L12" s="38"/>
      <c r="M12" s="84"/>
      <c r="N12" s="256">
        <f>+ROUND(B12,2)-ROUND('Barclays UK YTD'!D45,2)</f>
        <v>0</v>
      </c>
      <c r="O12" s="256">
        <f>ROUND(C12,2)-ROUND('Barclays International YTD'!D95,2)</f>
        <v>0</v>
      </c>
      <c r="P12" s="256">
        <f>ROUND(D12,2)-ROUND('Barclays International YTD'!D138,2)</f>
        <v>0</v>
      </c>
      <c r="Q12" s="256">
        <f>+ROUND(E12,2)-ROUND('Barclays International YTD'!D45,2)</f>
        <v>0</v>
      </c>
      <c r="R12" s="83"/>
      <c r="S12" s="256">
        <f>+ROUND(G12,2)-ROUND('Group PH'!D29,2)</f>
        <v>4.0000000000000036E-2</v>
      </c>
      <c r="T12" s="83"/>
      <c r="U12" s="83"/>
      <c r="V12" s="83"/>
      <c r="W12" s="83"/>
      <c r="X12" s="83"/>
      <c r="Y12" s="83"/>
      <c r="Z12" s="83"/>
      <c r="AA12" s="83"/>
      <c r="AB12" s="32" t="e">
        <v>#REF!</v>
      </c>
      <c r="AC12" s="32" t="e">
        <v>#REF!</v>
      </c>
      <c r="AD12" s="83"/>
      <c r="AE12" s="32" t="e">
        <v>#REF!</v>
      </c>
      <c r="AF12" s="83"/>
      <c r="AG12" s="83"/>
      <c r="AH12" s="83"/>
      <c r="AI12" s="83"/>
      <c r="AJ12" s="83"/>
      <c r="AK12" s="83"/>
    </row>
    <row r="13" spans="1:37" ht="12.75" customHeight="1">
      <c r="A13" s="508"/>
      <c r="B13" s="529"/>
      <c r="C13" s="529"/>
      <c r="D13" s="529"/>
      <c r="E13" s="529"/>
      <c r="F13" s="529"/>
      <c r="G13" s="529"/>
      <c r="H13" s="113"/>
      <c r="J13" s="83"/>
      <c r="K13" s="38"/>
      <c r="L13" s="38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</row>
    <row r="14" spans="1:37" ht="11.25" customHeight="1">
      <c r="A14" s="552" t="s">
        <v>102</v>
      </c>
      <c r="B14" s="562"/>
      <c r="C14" s="562"/>
      <c r="D14" s="562"/>
      <c r="E14" s="563"/>
      <c r="F14" s="563"/>
      <c r="G14" s="563"/>
      <c r="H14" s="88"/>
      <c r="J14" s="83"/>
      <c r="K14" s="38"/>
      <c r="L14" s="38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</row>
    <row r="15" spans="1:37" ht="11.25" customHeight="1">
      <c r="A15" s="549" t="s">
        <v>224</v>
      </c>
      <c r="B15" s="479">
        <v>1956</v>
      </c>
      <c r="C15" s="479">
        <v>2593</v>
      </c>
      <c r="D15" s="479">
        <v>1182</v>
      </c>
      <c r="E15" s="539">
        <v>3775</v>
      </c>
      <c r="F15" s="539">
        <v>-2237</v>
      </c>
      <c r="G15" s="530">
        <v>3494</v>
      </c>
      <c r="H15" s="132"/>
      <c r="J15" s="83"/>
      <c r="K15" s="32">
        <f t="shared" si="0"/>
        <v>0</v>
      </c>
      <c r="L15" s="32">
        <f t="shared" ref="L15:L17" si="3">G15-F15-E15-B15</f>
        <v>0</v>
      </c>
      <c r="M15" s="83"/>
      <c r="N15" s="32">
        <f>+ROUND(B15,0)-ROUND('Barclays UK YTD'!D16,0)</f>
        <v>0</v>
      </c>
      <c r="O15" s="32">
        <f>ROUND(C15,0)-ROUND('Barclays International YTD'!D71,0)</f>
        <v>0</v>
      </c>
      <c r="P15" s="32">
        <f>ROUND(D15,0)-ROUND('Barclays International YTD'!D111,0)</f>
        <v>0</v>
      </c>
      <c r="Q15" s="32">
        <f>+ROUND(E15,0)-ROUND('Barclays International YTD'!D17,0)</f>
        <v>0</v>
      </c>
      <c r="R15" s="32">
        <f>+ROUND(F15,0)-ROUND('Head Office YTD'!D17,0)</f>
        <v>0</v>
      </c>
      <c r="S15" s="32">
        <f>+ROUND(G15,0)-ROUND('Group PH'!D11,0)</f>
        <v>2011</v>
      </c>
      <c r="T15" s="83"/>
      <c r="U15" s="83"/>
      <c r="V15" s="83"/>
      <c r="W15" s="83"/>
      <c r="X15" s="83"/>
      <c r="Y15" s="83"/>
      <c r="Z15" s="83"/>
      <c r="AA15" s="83"/>
      <c r="AB15" s="32" t="e">
        <v>#REF!</v>
      </c>
      <c r="AC15" s="32" t="e">
        <v>#REF!</v>
      </c>
      <c r="AD15" s="32" t="e">
        <v>#REF!</v>
      </c>
      <c r="AE15" s="32" t="e">
        <v>#REF!</v>
      </c>
      <c r="AF15" s="83"/>
      <c r="AG15" s="83"/>
      <c r="AH15" s="83"/>
      <c r="AI15" s="83"/>
      <c r="AJ15" s="83"/>
      <c r="AK15" s="83"/>
    </row>
    <row r="16" spans="1:37" ht="11.25" customHeight="1">
      <c r="A16" s="550" t="s">
        <v>100</v>
      </c>
      <c r="B16" s="502">
        <v>483</v>
      </c>
      <c r="C16" s="502">
        <v>68</v>
      </c>
      <c r="D16" s="502">
        <v>59</v>
      </c>
      <c r="E16" s="540">
        <v>127</v>
      </c>
      <c r="F16" s="540">
        <v>1597</v>
      </c>
      <c r="G16" s="509">
        <v>2207</v>
      </c>
      <c r="H16" s="133"/>
      <c r="J16" s="84"/>
      <c r="K16" s="32">
        <f t="shared" si="0"/>
        <v>0</v>
      </c>
      <c r="L16" s="32">
        <f t="shared" si="3"/>
        <v>0</v>
      </c>
      <c r="M16" s="84"/>
      <c r="N16" s="32">
        <f>+ROUND(B16,0)+ROUND('Barclays UK YTD'!D13,0)</f>
        <v>0</v>
      </c>
      <c r="O16" s="32">
        <f>ROUND(C16,0)+ROUND('Barclays International YTD'!D68,0)</f>
        <v>0</v>
      </c>
      <c r="P16" s="32">
        <f>ROUND(D16,0)+ROUND('Barclays International YTD'!D108,0)</f>
        <v>0</v>
      </c>
      <c r="Q16" s="32">
        <f>+ROUND(E16,0)+ROUND('Barclays International YTD'!D14,0)</f>
        <v>0</v>
      </c>
      <c r="R16" s="32">
        <f>+ROUND(F16,0)+ROUND('Head Office YTD'!D14,0)</f>
        <v>0</v>
      </c>
      <c r="S16" s="32">
        <f>+ROUND(G16,0)+ROUND('Group PH'!D8,0)</f>
        <v>2146</v>
      </c>
      <c r="T16" s="83"/>
      <c r="U16" s="83"/>
      <c r="V16" s="83"/>
      <c r="W16" s="83"/>
      <c r="X16" s="83"/>
      <c r="Y16" s="83"/>
      <c r="Z16" s="83"/>
      <c r="AA16" s="83"/>
      <c r="AB16" s="32" t="e">
        <v>#REF!</v>
      </c>
      <c r="AC16" s="32" t="e">
        <v>#REF!</v>
      </c>
      <c r="AD16" s="32" t="e">
        <v>#REF!</v>
      </c>
      <c r="AE16" s="32" t="e">
        <v>#REF!</v>
      </c>
      <c r="AF16" s="83"/>
      <c r="AG16" s="83"/>
      <c r="AH16" s="83"/>
      <c r="AI16" s="83"/>
      <c r="AJ16" s="83"/>
      <c r="AK16" s="83"/>
    </row>
    <row r="17" spans="1:37" ht="25.5" customHeight="1">
      <c r="A17" s="551" t="s">
        <v>225</v>
      </c>
      <c r="B17" s="480">
        <v>2439</v>
      </c>
      <c r="C17" s="480">
        <v>2661</v>
      </c>
      <c r="D17" s="480">
        <v>1241</v>
      </c>
      <c r="E17" s="532">
        <v>3902</v>
      </c>
      <c r="F17" s="532">
        <v>-640</v>
      </c>
      <c r="G17" s="523">
        <v>5701</v>
      </c>
      <c r="H17" s="136"/>
      <c r="J17" s="84"/>
      <c r="K17" s="32">
        <f t="shared" si="0"/>
        <v>0</v>
      </c>
      <c r="L17" s="32">
        <f t="shared" si="3"/>
        <v>0</v>
      </c>
      <c r="M17" s="84"/>
      <c r="N17" s="32">
        <f>+ROUND(B17,0)-ROUND('Barclays UK YTD'!D42,0)</f>
        <v>0</v>
      </c>
      <c r="O17" s="32">
        <f>ROUND(C17,0)-ROUND('Barclays International YTD'!D92,0)</f>
        <v>0</v>
      </c>
      <c r="P17" s="32">
        <f>ROUND(D17,0)-ROUND('Barclays International YTD'!D135,0)</f>
        <v>0</v>
      </c>
      <c r="Q17" s="32">
        <f>+ROUND(E17,0)-ROUND('Barclays International YTD'!D42,0)</f>
        <v>0</v>
      </c>
      <c r="R17" s="32">
        <f>+ROUND(F17,0)-ROUND('Head Office YTD'!D29,0)</f>
        <v>0</v>
      </c>
      <c r="S17" s="32">
        <f>+ROUND(G17,0)-ROUND('Group PH'!D26,0)</f>
        <v>4157</v>
      </c>
      <c r="T17" s="83"/>
      <c r="U17" s="32">
        <f>+ROUND(B15,0)+ROUND(B16,0)-ROUND(B17,0)</f>
        <v>0</v>
      </c>
      <c r="V17" s="32">
        <f t="shared" ref="V17:W17" si="4">+ROUND(C15,0)+ROUND(C16,0)-ROUND(C17,0)</f>
        <v>0</v>
      </c>
      <c r="W17" s="32">
        <f t="shared" si="4"/>
        <v>0</v>
      </c>
      <c r="X17" s="32">
        <f>+ROUND(E15,0)+ROUND(E16,0)-ROUND(E17,0)</f>
        <v>0</v>
      </c>
      <c r="Y17" s="32">
        <f>+ROUND(F15,0)+ROUND(F16,0)-ROUND(F17,0)</f>
        <v>0</v>
      </c>
      <c r="Z17" s="32">
        <f>+ROUND(G15,0)+ROUND(G16,0)-ROUND(G17,0)</f>
        <v>0</v>
      </c>
      <c r="AA17" s="83"/>
      <c r="AB17" s="32" t="e">
        <v>#REF!</v>
      </c>
      <c r="AC17" s="32" t="e">
        <v>#REF!</v>
      </c>
      <c r="AD17" s="32" t="e">
        <v>#REF!</v>
      </c>
      <c r="AE17" s="32" t="e">
        <v>#REF!</v>
      </c>
      <c r="AF17" s="83"/>
      <c r="AG17" s="32" t="e">
        <f>+ROUND(#REF!,0)+ROUND(#REF!,0)-ROUND(#REF!,0)</f>
        <v>#REF!</v>
      </c>
      <c r="AH17" s="32" t="e">
        <f>+ROUND(#REF!,0)+ROUND(#REF!,0)-ROUND(#REF!,0)</f>
        <v>#REF!</v>
      </c>
      <c r="AI17" s="32" t="e">
        <f>+ROUND(#REF!,0)+ROUND(#REF!,0)-ROUND(#REF!,0)</f>
        <v>#REF!</v>
      </c>
      <c r="AJ17" s="32" t="e">
        <f>+ROUND(#REF!,0)+ROUND(#REF!,0)-ROUND(#REF!,0)</f>
        <v>#REF!</v>
      </c>
      <c r="AK17" s="83"/>
    </row>
    <row r="18" spans="1:37" ht="11.25" customHeight="1">
      <c r="A18" s="553"/>
      <c r="B18" s="497"/>
      <c r="C18" s="497"/>
      <c r="D18" s="497"/>
      <c r="E18" s="541"/>
      <c r="F18" s="541"/>
      <c r="G18" s="541"/>
      <c r="H18" s="88"/>
      <c r="J18" s="83"/>
      <c r="K18" s="38"/>
      <c r="L18" s="38"/>
      <c r="M18" s="231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</row>
    <row r="19" spans="1:37" ht="22.8">
      <c r="A19" s="552" t="s">
        <v>103</v>
      </c>
      <c r="B19" s="498"/>
      <c r="C19" s="498"/>
      <c r="D19" s="498"/>
      <c r="E19" s="542"/>
      <c r="F19" s="542"/>
      <c r="G19" s="542"/>
      <c r="H19" s="88"/>
      <c r="J19" s="83"/>
      <c r="K19" s="38"/>
      <c r="L19" s="38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</row>
    <row r="20" spans="1:37" ht="11.25" customHeight="1">
      <c r="A20" s="554" t="s">
        <v>7</v>
      </c>
      <c r="B20" s="555">
        <v>1198</v>
      </c>
      <c r="C20" s="555">
        <v>1781</v>
      </c>
      <c r="D20" s="555">
        <v>818</v>
      </c>
      <c r="E20" s="555">
        <v>2599</v>
      </c>
      <c r="F20" s="555">
        <v>-2200</v>
      </c>
      <c r="G20" s="556">
        <v>1597</v>
      </c>
      <c r="H20" s="22"/>
      <c r="J20" s="84"/>
      <c r="K20" s="32">
        <f t="shared" si="0"/>
        <v>0</v>
      </c>
      <c r="L20" s="32">
        <f t="shared" ref="L20:L22" si="5">G20-F20-E20-B20</f>
        <v>0</v>
      </c>
      <c r="M20" s="84"/>
      <c r="N20" s="32">
        <f>+ROUND(B20,0)-ROUND('Barclays UK YTD'!D17,0)</f>
        <v>0</v>
      </c>
      <c r="O20" s="32">
        <f>ROUND(C20,0)-ROUND('Barclays International YTD'!D72,0)</f>
        <v>0</v>
      </c>
      <c r="P20" s="32">
        <f>ROUND(D20,0)-ROUND('Barclays International YTD'!D112,0)</f>
        <v>0</v>
      </c>
      <c r="Q20" s="32">
        <f>+ROUND(E20,0)-ROUND('Barclays International YTD'!D18,0)</f>
        <v>0</v>
      </c>
      <c r="R20" s="32">
        <f>+ROUND(F20,0)-ROUND('Head Office YTD'!D18,0)</f>
        <v>0</v>
      </c>
      <c r="S20" s="32">
        <f>+ROUND(G20,0)-ROUND('Group PH'!D16,0)</f>
        <v>559</v>
      </c>
      <c r="T20" s="220"/>
      <c r="U20" s="220"/>
      <c r="V20" s="220"/>
      <c r="W20" s="220"/>
      <c r="X20" s="220"/>
      <c r="Y20" s="220"/>
      <c r="Z20" s="220"/>
      <c r="AA20" s="220"/>
      <c r="AB20" s="32" t="e">
        <v>#REF!</v>
      </c>
      <c r="AC20" s="32" t="e">
        <v>#REF!</v>
      </c>
      <c r="AD20" s="32" t="e">
        <v>#REF!</v>
      </c>
      <c r="AE20" s="32" t="e">
        <v>#REF!</v>
      </c>
      <c r="AF20" s="220"/>
      <c r="AG20" s="220"/>
      <c r="AH20" s="220"/>
      <c r="AI20" s="220"/>
      <c r="AJ20" s="220"/>
      <c r="AK20" s="220"/>
    </row>
    <row r="21" spans="1:37" ht="11.25" customHeight="1">
      <c r="A21" s="561" t="s">
        <v>104</v>
      </c>
      <c r="B21" s="546">
        <v>472</v>
      </c>
      <c r="C21" s="546">
        <v>62</v>
      </c>
      <c r="D21" s="546">
        <v>44</v>
      </c>
      <c r="E21" s="546">
        <v>106</v>
      </c>
      <c r="F21" s="546">
        <v>1558</v>
      </c>
      <c r="G21" s="564">
        <v>2136</v>
      </c>
      <c r="H21" s="22"/>
      <c r="J21" s="84"/>
      <c r="K21" s="32">
        <f t="shared" si="0"/>
        <v>0</v>
      </c>
      <c r="L21" s="32">
        <f t="shared" si="5"/>
        <v>0</v>
      </c>
      <c r="M21" s="84"/>
      <c r="N21" s="84"/>
      <c r="O21" s="84"/>
      <c r="P21" s="84"/>
      <c r="Q21" s="84"/>
      <c r="R21" s="84"/>
      <c r="S21" s="84"/>
      <c r="T21" s="84"/>
      <c r="U21" s="220"/>
      <c r="V21" s="220"/>
      <c r="W21" s="220"/>
      <c r="X21" s="220"/>
      <c r="Y21" s="220"/>
      <c r="Z21" s="220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 spans="1:37" ht="22.8">
      <c r="A22" s="551" t="s">
        <v>105</v>
      </c>
      <c r="B22" s="558">
        <v>1670</v>
      </c>
      <c r="C22" s="558">
        <v>1843</v>
      </c>
      <c r="D22" s="558">
        <v>862</v>
      </c>
      <c r="E22" s="558">
        <v>2705</v>
      </c>
      <c r="F22" s="558">
        <v>-642</v>
      </c>
      <c r="G22" s="559">
        <v>3733</v>
      </c>
      <c r="H22" s="94"/>
      <c r="J22" s="84"/>
      <c r="K22" s="32">
        <f>ROUND(C22,0)+ROUND(D22,0)-ROUND(E22,0)</f>
        <v>0</v>
      </c>
      <c r="L22" s="32">
        <f t="shared" si="5"/>
        <v>0</v>
      </c>
      <c r="M22" s="84"/>
      <c r="N22" s="32">
        <f>ROUND(B22,0)-ROUND('Barclays UK YTD'!D43,0)</f>
        <v>0</v>
      </c>
      <c r="O22" s="32">
        <f>ROUND(C22,0)-ROUND('Barclays International YTD'!D93,0)</f>
        <v>0</v>
      </c>
      <c r="P22" s="32">
        <f>ROUND(D22,0)-ROUND('Barclays International YTD'!D136,0)</f>
        <v>0</v>
      </c>
      <c r="Q22" s="32">
        <f>ROUND(E22,0)-ROUND('Barclays International YTD'!D43,0)</f>
        <v>0</v>
      </c>
      <c r="R22" s="32">
        <f>ROUND(F22,0)-ROUND('Head Office YTD'!D30,0)</f>
        <v>0</v>
      </c>
      <c r="S22" s="32">
        <f>ROUND(G22,0)-(ROUND('Group PH'!D27,0))</f>
        <v>2649</v>
      </c>
      <c r="T22" s="124"/>
      <c r="U22" s="124"/>
      <c r="V22" s="124"/>
      <c r="W22" s="124"/>
      <c r="X22" s="124"/>
      <c r="Y22" s="124"/>
      <c r="Z22" s="124"/>
      <c r="AA22" s="124"/>
      <c r="AB22" s="84"/>
      <c r="AC22" s="84"/>
      <c r="AD22" s="84"/>
      <c r="AE22" s="84"/>
      <c r="AF22" s="124"/>
      <c r="AG22" s="124"/>
      <c r="AH22" s="124"/>
      <c r="AI22" s="124"/>
      <c r="AJ22" s="124"/>
      <c r="AK22" s="124"/>
    </row>
    <row r="23" spans="1:37" ht="11.25" customHeight="1">
      <c r="A23" s="514"/>
      <c r="B23" s="560"/>
      <c r="C23" s="560"/>
      <c r="D23" s="560"/>
      <c r="E23" s="560"/>
      <c r="F23" s="560"/>
      <c r="G23" s="560"/>
      <c r="H23" s="94"/>
      <c r="J23" s="84"/>
      <c r="K23" s="38"/>
      <c r="L23" s="38"/>
      <c r="M23" s="84"/>
      <c r="N23" s="84"/>
      <c r="O23" s="84"/>
      <c r="P23" s="84"/>
      <c r="Q23" s="84"/>
      <c r="R23" s="84"/>
      <c r="S23" s="84"/>
      <c r="T23" s="83"/>
      <c r="U23" s="32">
        <f>+ROUND(B20,0)+ROUND(B21,0)-ROUND(B22,0)</f>
        <v>0</v>
      </c>
      <c r="V23" s="32">
        <f t="shared" ref="V23:Z23" si="6">+ROUND(C20,0)+ROUND(C21,0)-ROUND(C22,0)</f>
        <v>0</v>
      </c>
      <c r="W23" s="32">
        <f t="shared" si="6"/>
        <v>0</v>
      </c>
      <c r="X23" s="32">
        <f t="shared" si="6"/>
        <v>0</v>
      </c>
      <c r="Y23" s="32">
        <f t="shared" si="6"/>
        <v>0</v>
      </c>
      <c r="Z23" s="32">
        <f t="shared" si="6"/>
        <v>0</v>
      </c>
      <c r="AA23" s="83"/>
      <c r="AB23" s="84"/>
      <c r="AC23" s="84"/>
      <c r="AD23" s="84"/>
      <c r="AE23" s="84"/>
      <c r="AF23" s="83"/>
      <c r="AG23" s="32" t="e">
        <f>+ROUND(#REF!,0)+ROUND(#REF!,0)-ROUND(#REF!,0)</f>
        <v>#REF!</v>
      </c>
      <c r="AH23" s="32" t="e">
        <f>+ROUND(#REF!,0)+ROUND(#REF!,0)-ROUND(#REF!,0)</f>
        <v>#REF!</v>
      </c>
      <c r="AI23" s="32" t="e">
        <f>+ROUND(#REF!,0)+ROUND(#REF!,0)-ROUND(#REF!,0)</f>
        <v>#REF!</v>
      </c>
      <c r="AJ23" s="32" t="e">
        <f>+ROUND(#REF!,0)+ROUND(#REF!,0)-ROUND(#REF!,0)</f>
        <v>#REF!</v>
      </c>
      <c r="AK23" s="83"/>
    </row>
    <row r="24" spans="1:37" ht="11.25" customHeight="1">
      <c r="A24" s="535" t="s">
        <v>176</v>
      </c>
      <c r="B24" s="353" t="s">
        <v>150</v>
      </c>
      <c r="C24" s="353" t="s">
        <v>150</v>
      </c>
      <c r="D24" s="353" t="s">
        <v>150</v>
      </c>
      <c r="E24" s="353" t="s">
        <v>150</v>
      </c>
      <c r="F24" s="353" t="s">
        <v>150</v>
      </c>
      <c r="G24" s="353" t="s">
        <v>150</v>
      </c>
      <c r="H24" s="187"/>
      <c r="J24" s="83"/>
      <c r="K24" s="38"/>
      <c r="L24" s="38"/>
      <c r="M24" s="83"/>
      <c r="N24" s="84" t="s">
        <v>70</v>
      </c>
      <c r="O24" s="84"/>
      <c r="P24" s="84"/>
      <c r="Q24" s="124"/>
      <c r="R24" s="124"/>
      <c r="S24" s="124"/>
      <c r="T24" s="83"/>
      <c r="U24" s="83"/>
      <c r="V24" s="83"/>
      <c r="W24" s="83"/>
      <c r="X24" s="83"/>
      <c r="Y24" s="83"/>
      <c r="Z24" s="83"/>
      <c r="AA24" s="83"/>
      <c r="AB24" s="84" t="s">
        <v>70</v>
      </c>
      <c r="AC24" s="124"/>
      <c r="AD24" s="124"/>
      <c r="AE24" s="124"/>
      <c r="AF24" s="83"/>
      <c r="AG24" s="83"/>
      <c r="AH24" s="83"/>
      <c r="AI24" s="83"/>
      <c r="AJ24" s="83"/>
      <c r="AK24" s="83"/>
    </row>
    <row r="25" spans="1:37" ht="11.25" customHeight="1">
      <c r="A25" s="554" t="s">
        <v>226</v>
      </c>
      <c r="B25" s="481">
        <v>13600</v>
      </c>
      <c r="C25" s="481">
        <v>26200</v>
      </c>
      <c r="D25" s="481">
        <v>6100</v>
      </c>
      <c r="E25" s="499">
        <v>32300</v>
      </c>
      <c r="F25" s="499">
        <v>6169.5477032455701</v>
      </c>
      <c r="G25" s="482">
        <v>52100</v>
      </c>
      <c r="H25" s="187"/>
      <c r="J25" s="83"/>
      <c r="K25" s="38"/>
      <c r="L25" s="38"/>
      <c r="M25" s="83"/>
      <c r="N25" s="84"/>
      <c r="O25" s="84"/>
      <c r="P25" s="84"/>
      <c r="Q25" s="124"/>
      <c r="R25" s="124"/>
      <c r="S25" s="124"/>
      <c r="T25" s="83"/>
      <c r="U25" s="83"/>
      <c r="V25" s="83"/>
      <c r="W25" s="83"/>
      <c r="X25" s="83"/>
      <c r="Y25" s="83"/>
      <c r="Z25" s="83"/>
      <c r="AA25" s="83"/>
      <c r="AB25" s="84"/>
      <c r="AC25" s="124"/>
      <c r="AD25" s="124"/>
      <c r="AE25" s="124"/>
      <c r="AF25" s="83"/>
      <c r="AG25" s="83"/>
      <c r="AH25" s="83"/>
      <c r="AI25" s="83"/>
      <c r="AJ25" s="83"/>
      <c r="AK25" s="83"/>
    </row>
    <row r="26" spans="1:37" ht="11.25" customHeight="1">
      <c r="A26" s="561" t="s">
        <v>106</v>
      </c>
      <c r="B26" s="483">
        <v>-3588</v>
      </c>
      <c r="C26" s="483">
        <v>-201</v>
      </c>
      <c r="D26" s="483">
        <v>-1100</v>
      </c>
      <c r="E26" s="483">
        <v>-1300</v>
      </c>
      <c r="F26" s="483">
        <v>-3070</v>
      </c>
      <c r="G26" s="484">
        <v>-7997</v>
      </c>
      <c r="H26" s="187"/>
      <c r="J26" s="83"/>
      <c r="K26" s="38"/>
      <c r="L26" s="38"/>
      <c r="M26" s="83"/>
      <c r="N26" s="84"/>
      <c r="O26" s="84"/>
      <c r="P26" s="84"/>
      <c r="Q26" s="124"/>
      <c r="R26" s="124"/>
      <c r="S26" s="124"/>
      <c r="T26" s="83"/>
      <c r="U26" s="83"/>
      <c r="V26" s="83"/>
      <c r="W26" s="83"/>
      <c r="X26" s="83"/>
      <c r="Y26" s="83"/>
      <c r="Z26" s="83"/>
      <c r="AA26" s="83"/>
      <c r="AB26" s="84"/>
      <c r="AC26" s="124"/>
      <c r="AD26" s="124"/>
      <c r="AE26" s="124"/>
      <c r="AF26" s="83"/>
      <c r="AG26" s="83"/>
      <c r="AH26" s="83"/>
      <c r="AI26" s="83"/>
      <c r="AJ26" s="83"/>
      <c r="AK26" s="83"/>
    </row>
    <row r="27" spans="1:37" ht="11.25" customHeight="1">
      <c r="A27" s="513" t="s">
        <v>227</v>
      </c>
      <c r="B27" s="485">
        <v>10012.351988119901</v>
      </c>
      <c r="C27" s="485">
        <v>25998.982007937</v>
      </c>
      <c r="D27" s="485">
        <v>5000</v>
      </c>
      <c r="E27" s="543">
        <v>31000</v>
      </c>
      <c r="F27" s="543">
        <v>3100</v>
      </c>
      <c r="G27" s="544">
        <v>44102.939343121798</v>
      </c>
      <c r="H27" s="188"/>
      <c r="J27" s="83"/>
      <c r="K27" s="155"/>
      <c r="L27" s="155"/>
      <c r="M27" s="83"/>
      <c r="N27" s="152">
        <f>+ROUND(B27,-2)-ROUND('Barclays UK YTD'!D36,-2)</f>
        <v>0</v>
      </c>
      <c r="O27" s="32">
        <f>ROUND(C27,-2)-ROUND('Barclays International YTD'!D88,-2)</f>
        <v>0</v>
      </c>
      <c r="P27" s="32">
        <f>ROUND(D27,-2)-ROUND('Barclays International YTD'!D130,-2)</f>
        <v>0</v>
      </c>
      <c r="Q27" s="152">
        <f>+ROUND(E27,-2)-ROUND('Barclays International YTD'!D36,-2)</f>
        <v>0</v>
      </c>
      <c r="R27" s="212">
        <f>+ROUND(F27,-2)-ROUND('Head Office YTD'!D26,-2)</f>
        <v>0</v>
      </c>
      <c r="S27" s="32">
        <f>+ROUND(G27,-2)-ROUND('Group PH'!D20,-2)</f>
        <v>-1100</v>
      </c>
      <c r="T27" s="83"/>
      <c r="U27" s="709">
        <f>ROUND(B27,-2)-ROUND(B25,-2)-ROUND(B26,-2)</f>
        <v>0</v>
      </c>
      <c r="V27" s="709">
        <f t="shared" ref="V27:Z27" si="7">ROUND(C27,-2)-ROUND(C25,-2)-ROUND(C26,-2)</f>
        <v>0</v>
      </c>
      <c r="W27" s="709">
        <f>ROUND(D27,-1)-ROUND(D25,-1)-ROUND(D26,-1)</f>
        <v>0</v>
      </c>
      <c r="X27" s="709">
        <f>ROUND(E27,-1)-ROUND(E25,-1)-ROUND(E26,-1)</f>
        <v>0</v>
      </c>
      <c r="Y27" s="709">
        <f>ROUND(F27,-1)-ROUND(F25,-1)-ROUND(F26,-1)</f>
        <v>0</v>
      </c>
      <c r="Z27" s="709">
        <f t="shared" si="7"/>
        <v>0</v>
      </c>
      <c r="AA27" s="83"/>
      <c r="AB27" s="32" t="e">
        <v>#REF!</v>
      </c>
      <c r="AC27" s="32" t="e">
        <v>#REF!</v>
      </c>
      <c r="AD27" s="32" t="e">
        <v>#REF!</v>
      </c>
      <c r="AE27" s="32" t="e">
        <v>#REF!</v>
      </c>
      <c r="AF27" s="83"/>
      <c r="AG27" s="83"/>
      <c r="AH27" s="83"/>
      <c r="AI27" s="83"/>
      <c r="AJ27" s="83"/>
      <c r="AK27" s="83"/>
    </row>
    <row r="28" spans="1:37" ht="11.25" customHeight="1">
      <c r="A28" s="512"/>
      <c r="B28" s="536"/>
      <c r="C28" s="536"/>
      <c r="D28" s="536"/>
      <c r="E28" s="536"/>
      <c r="F28" s="536"/>
      <c r="G28" s="536"/>
      <c r="H28" s="94"/>
      <c r="J28" s="83"/>
      <c r="K28" s="38"/>
      <c r="L28" s="38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</row>
    <row r="29" spans="1:37" ht="25.5" customHeight="1">
      <c r="A29" s="513" t="s">
        <v>228</v>
      </c>
      <c r="B29" s="537">
        <v>0.16700000000000001</v>
      </c>
      <c r="C29" s="537">
        <v>7.0999999999999994E-2</v>
      </c>
      <c r="D29" s="537">
        <v>0.17299999999999999</v>
      </c>
      <c r="E29" s="537">
        <v>8.6999999999999994E-2</v>
      </c>
      <c r="F29" s="537" t="s">
        <v>223</v>
      </c>
      <c r="G29" s="538">
        <v>8.5000000000000006E-2</v>
      </c>
      <c r="H29" s="138"/>
      <c r="J29" s="83"/>
      <c r="K29" s="38"/>
      <c r="L29" s="38"/>
      <c r="M29" s="83"/>
      <c r="N29" s="169">
        <f>ROUND(B29,3)-ROUND('Barclays UK YTD'!D44,3)</f>
        <v>0</v>
      </c>
      <c r="O29" s="169">
        <f>ROUND(C29,3)-ROUND('Barclays International YTD'!D94,3)</f>
        <v>0</v>
      </c>
      <c r="P29" s="169">
        <f>ROUND(D29,3)-ROUND('Barclays International YTD'!D137,3)</f>
        <v>0</v>
      </c>
      <c r="Q29" s="169">
        <f>ROUND(E29,3)-ROUND('Barclays International YTD'!D44,3)</f>
        <v>0</v>
      </c>
      <c r="R29" s="83"/>
      <c r="S29" s="169">
        <f>ROUND(G29,3)-ROUND('Group PH'!D28,3)</f>
        <v>-1.0999999999999996E-2</v>
      </c>
      <c r="T29" s="83"/>
      <c r="U29" s="83"/>
      <c r="V29" s="83"/>
      <c r="W29" s="83"/>
      <c r="X29" s="83"/>
      <c r="Y29" s="83"/>
      <c r="Z29" s="83"/>
      <c r="AA29" s="83"/>
      <c r="AB29" s="32" t="e">
        <v>#REF!</v>
      </c>
      <c r="AC29" s="32" t="e">
        <v>#REF!</v>
      </c>
      <c r="AD29" s="83"/>
      <c r="AE29" s="32" t="e">
        <v>#REF!</v>
      </c>
      <c r="AF29" s="83"/>
      <c r="AG29" s="83"/>
      <c r="AH29" s="83"/>
      <c r="AI29" s="83"/>
      <c r="AJ29" s="83"/>
      <c r="AK29" s="83"/>
    </row>
    <row r="30" spans="1:37" ht="11.25" customHeight="1">
      <c r="A30" s="511"/>
      <c r="B30" s="491"/>
      <c r="C30" s="491"/>
      <c r="D30" s="491"/>
      <c r="E30" s="491"/>
      <c r="F30" s="491"/>
      <c r="G30" s="491"/>
      <c r="H30" s="74"/>
      <c r="J30" s="84"/>
      <c r="K30" s="84"/>
      <c r="L30" s="84"/>
      <c r="M30" s="84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</row>
    <row r="31" spans="1:37" ht="11.25" customHeight="1">
      <c r="A31" s="494" t="s">
        <v>229</v>
      </c>
      <c r="B31" s="510"/>
      <c r="C31" s="510"/>
      <c r="D31" s="510"/>
      <c r="E31" s="510"/>
      <c r="F31" s="510"/>
      <c r="G31" s="510"/>
      <c r="H31" s="187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</row>
    <row r="32" spans="1:37" ht="11.25" customHeight="1">
      <c r="A32" s="554" t="s">
        <v>230</v>
      </c>
      <c r="B32" s="488"/>
      <c r="C32" s="488"/>
      <c r="D32" s="488"/>
      <c r="E32" s="488"/>
      <c r="F32" s="488"/>
      <c r="G32" s="487">
        <v>17075</v>
      </c>
      <c r="H32" s="80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</row>
    <row r="33" spans="1:37" ht="11.25" customHeight="1">
      <c r="A33" s="535"/>
      <c r="B33" s="510"/>
      <c r="C33" s="510"/>
      <c r="D33" s="510"/>
      <c r="E33" s="510"/>
      <c r="F33" s="510"/>
      <c r="G33" s="510"/>
      <c r="H33" s="187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224"/>
      <c r="U33" s="224"/>
      <c r="V33" s="224"/>
      <c r="W33" s="224"/>
      <c r="X33" s="224"/>
      <c r="Y33" s="224"/>
      <c r="Z33" s="224"/>
      <c r="AA33" s="224"/>
      <c r="AB33" s="83"/>
      <c r="AC33" s="83"/>
      <c r="AD33" s="83"/>
      <c r="AE33" s="83"/>
      <c r="AF33" s="224"/>
      <c r="AG33" s="224"/>
      <c r="AH33" s="224"/>
      <c r="AI33" s="224"/>
      <c r="AJ33" s="224"/>
      <c r="AK33" s="224"/>
    </row>
    <row r="34" spans="1:37" ht="22.5" customHeight="1">
      <c r="A34" s="513" t="s">
        <v>231</v>
      </c>
      <c r="B34" s="495"/>
      <c r="C34" s="495"/>
      <c r="D34" s="495"/>
      <c r="E34" s="495"/>
      <c r="F34" s="495"/>
      <c r="G34" s="496">
        <v>21.9</v>
      </c>
      <c r="H34" s="97"/>
      <c r="J34" s="154" t="s">
        <v>167</v>
      </c>
      <c r="K34" s="49">
        <f>G34-G22/G32*100</f>
        <v>3.7628111273789955E-2</v>
      </c>
      <c r="L34" s="83"/>
      <c r="M34" s="83"/>
      <c r="N34" s="83"/>
      <c r="O34" s="83"/>
      <c r="P34" s="83"/>
      <c r="Q34" s="83"/>
      <c r="R34" s="83"/>
      <c r="S34" s="32">
        <f>+ROUND(G34,0)-ROUND('Group PH'!D30,0)</f>
        <v>16</v>
      </c>
      <c r="T34" s="224"/>
      <c r="U34" s="224"/>
      <c r="V34" s="224"/>
      <c r="W34" s="224"/>
      <c r="X34" s="224"/>
      <c r="Y34" s="224"/>
      <c r="Z34" s="224"/>
      <c r="AA34" s="224"/>
      <c r="AB34" s="83"/>
      <c r="AC34" s="83"/>
      <c r="AD34" s="83"/>
      <c r="AE34" s="32" t="e">
        <v>#REF!</v>
      </c>
      <c r="AF34" s="224"/>
      <c r="AG34" s="224"/>
      <c r="AH34" s="224"/>
      <c r="AI34" s="224"/>
      <c r="AJ34" s="224"/>
      <c r="AK34" s="224"/>
    </row>
    <row r="35" spans="1:37" ht="11.25" customHeight="1">
      <c r="A35" s="87"/>
      <c r="B35" s="97"/>
      <c r="C35" s="97"/>
      <c r="D35" s="97"/>
      <c r="E35" s="97"/>
      <c r="F35" s="97"/>
      <c r="G35" s="97"/>
      <c r="H35" s="97"/>
    </row>
  </sheetData>
  <mergeCells count="2">
    <mergeCell ref="A1:H1"/>
    <mergeCell ref="B3:G3"/>
  </mergeCells>
  <conditionalFormatting sqref="Q6:S7 N6:P8 K6:L29">
    <cfRule type="cellIs" dxfId="36" priority="44" operator="notEqual">
      <formula>0</formula>
    </cfRule>
  </conditionalFormatting>
  <conditionalFormatting sqref="U8:Z8">
    <cfRule type="cellIs" dxfId="35" priority="43" operator="notEqual">
      <formula>0</formula>
    </cfRule>
  </conditionalFormatting>
  <conditionalFormatting sqref="U17:Z17">
    <cfRule type="cellIs" dxfId="34" priority="40" operator="notEqual">
      <formula>0</formula>
    </cfRule>
  </conditionalFormatting>
  <conditionalFormatting sqref="N10:P10">
    <cfRule type="cellIs" dxfId="33" priority="42" operator="notEqual">
      <formula>0</formula>
    </cfRule>
  </conditionalFormatting>
  <conditionalFormatting sqref="S12 N12:Q12">
    <cfRule type="cellIs" dxfId="32" priority="41" operator="notEqual">
      <formula>0</formula>
    </cfRule>
  </conditionalFormatting>
  <conditionalFormatting sqref="U23:Z23">
    <cfRule type="cellIs" dxfId="31" priority="38" operator="notEqual">
      <formula>0</formula>
    </cfRule>
  </conditionalFormatting>
  <conditionalFormatting sqref="S34">
    <cfRule type="cellIs" dxfId="30" priority="35" operator="notEqual">
      <formula>0</formula>
    </cfRule>
  </conditionalFormatting>
  <conditionalFormatting sqref="Q8">
    <cfRule type="cellIs" dxfId="29" priority="34" operator="notEqual">
      <formula>0</formula>
    </cfRule>
  </conditionalFormatting>
  <conditionalFormatting sqref="N27:S27">
    <cfRule type="cellIs" dxfId="28" priority="37" operator="notEqual">
      <formula>0</formula>
    </cfRule>
  </conditionalFormatting>
  <conditionalFormatting sqref="N29:Q29 S29">
    <cfRule type="cellIs" dxfId="27" priority="36" operator="notEqual">
      <formula>0</formula>
    </cfRule>
  </conditionalFormatting>
  <conditionalFormatting sqref="R8">
    <cfRule type="cellIs" dxfId="26" priority="33" operator="notEqual">
      <formula>0</formula>
    </cfRule>
  </conditionalFormatting>
  <conditionalFormatting sqref="R10">
    <cfRule type="cellIs" dxfId="25" priority="30" operator="notEqual">
      <formula>0</formula>
    </cfRule>
  </conditionalFormatting>
  <conditionalFormatting sqref="S8">
    <cfRule type="cellIs" dxfId="24" priority="32" operator="notEqual">
      <formula>0</formula>
    </cfRule>
  </conditionalFormatting>
  <conditionalFormatting sqref="Q10">
    <cfRule type="cellIs" dxfId="23" priority="31" operator="notEqual">
      <formula>0</formula>
    </cfRule>
  </conditionalFormatting>
  <conditionalFormatting sqref="S10">
    <cfRule type="cellIs" dxfId="22" priority="29" operator="notEqual">
      <formula>0</formula>
    </cfRule>
  </conditionalFormatting>
  <conditionalFormatting sqref="N15:S17">
    <cfRule type="cellIs" dxfId="21" priority="28" operator="notEqual">
      <formula>0</formula>
    </cfRule>
  </conditionalFormatting>
  <conditionalFormatting sqref="N20:S20">
    <cfRule type="cellIs" dxfId="20" priority="27" operator="notEqual">
      <formula>0</formula>
    </cfRule>
  </conditionalFormatting>
  <conditionalFormatting sqref="AB27:AE27">
    <cfRule type="cellIs" dxfId="19" priority="21" operator="notEqual">
      <formula>0</formula>
    </cfRule>
  </conditionalFormatting>
  <conditionalFormatting sqref="AB6:AE7 AB8">
    <cfRule type="cellIs" dxfId="18" priority="25" operator="notEqual">
      <formula>0</formula>
    </cfRule>
  </conditionalFormatting>
  <conditionalFormatting sqref="AB10">
    <cfRule type="cellIs" dxfId="17" priority="24" operator="notEqual">
      <formula>0</formula>
    </cfRule>
  </conditionalFormatting>
  <conditionalFormatting sqref="AB12:AC12 AE12">
    <cfRule type="cellIs" dxfId="16" priority="23" operator="notEqual">
      <formula>0</formula>
    </cfRule>
  </conditionalFormatting>
  <conditionalFormatting sqref="AB29:AC29 AE29">
    <cfRule type="cellIs" dxfId="15" priority="20" operator="notEqual">
      <formula>0</formula>
    </cfRule>
  </conditionalFormatting>
  <conditionalFormatting sqref="AE34">
    <cfRule type="cellIs" dxfId="14" priority="19" operator="notEqual">
      <formula>0</formula>
    </cfRule>
  </conditionalFormatting>
  <conditionalFormatting sqref="AC8">
    <cfRule type="cellIs" dxfId="13" priority="18" operator="notEqual">
      <formula>0</formula>
    </cfRule>
  </conditionalFormatting>
  <conditionalFormatting sqref="AE8">
    <cfRule type="cellIs" dxfId="12" priority="16" operator="notEqual">
      <formula>0</formula>
    </cfRule>
  </conditionalFormatting>
  <conditionalFormatting sqref="AD8">
    <cfRule type="cellIs" dxfId="11" priority="17" operator="notEqual">
      <formula>0</formula>
    </cfRule>
  </conditionalFormatting>
  <conditionalFormatting sqref="AB15:AE17">
    <cfRule type="cellIs" dxfId="10" priority="12" operator="notEqual">
      <formula>0</formula>
    </cfRule>
  </conditionalFormatting>
  <conditionalFormatting sqref="AD10">
    <cfRule type="cellIs" dxfId="9" priority="14" operator="notEqual">
      <formula>0</formula>
    </cfRule>
  </conditionalFormatting>
  <conditionalFormatting sqref="AC10">
    <cfRule type="cellIs" dxfId="8" priority="15" operator="notEqual">
      <formula>0</formula>
    </cfRule>
  </conditionalFormatting>
  <conditionalFormatting sqref="AE10">
    <cfRule type="cellIs" dxfId="7" priority="13" operator="notEqual">
      <formula>0</formula>
    </cfRule>
  </conditionalFormatting>
  <conditionalFormatting sqref="AB20:AE20">
    <cfRule type="cellIs" dxfId="6" priority="11" operator="notEqual">
      <formula>0</formula>
    </cfRule>
  </conditionalFormatting>
  <conditionalFormatting sqref="AG8:AJ8">
    <cfRule type="cellIs" dxfId="5" priority="9" operator="notEqual">
      <formula>0</formula>
    </cfRule>
  </conditionalFormatting>
  <conditionalFormatting sqref="AG17:AJ17">
    <cfRule type="cellIs" dxfId="4" priority="8" operator="notEqual">
      <formula>0</formula>
    </cfRule>
  </conditionalFormatting>
  <conditionalFormatting sqref="AG23:AJ23">
    <cfRule type="cellIs" dxfId="3" priority="7" operator="notEqual">
      <formula>0</formula>
    </cfRule>
  </conditionalFormatting>
  <conditionalFormatting sqref="N22:S22">
    <cfRule type="cellIs" dxfId="2" priority="3" operator="notEqual">
      <formula>0</formula>
    </cfRule>
  </conditionalFormatting>
  <conditionalFormatting sqref="U27:Z27">
    <cfRule type="cellIs" dxfId="1" priority="2" operator="notEqual">
      <formula>0</formula>
    </cfRule>
  </conditionalFormatting>
  <conditionalFormatting sqref="K34">
    <cfRule type="cellIs" dxfId="0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9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L35"/>
  <sheetViews>
    <sheetView showGridLines="0" view="pageBreakPreview" zoomScale="85" zoomScaleNormal="100" zoomScaleSheetLayoutView="85" workbookViewId="0">
      <selection activeCell="B26" sqref="B26"/>
    </sheetView>
  </sheetViews>
  <sheetFormatPr defaultColWidth="9" defaultRowHeight="13.2"/>
  <cols>
    <col min="1" max="1" width="41.6640625" style="82" customWidth="1"/>
    <col min="2" max="2" width="7.21875" style="82" customWidth="1"/>
    <col min="3" max="3" width="1.77734375" style="123" customWidth="1"/>
    <col min="4" max="4" width="7.21875" style="122" customWidth="1"/>
    <col min="5" max="7" width="7.21875" style="82" customWidth="1"/>
    <col min="8" max="8" width="1.77734375" style="123" customWidth="1"/>
    <col min="9" max="9" width="7.21875" style="122" customWidth="1"/>
    <col min="10" max="11" width="7.21875" style="82" customWidth="1"/>
    <col min="12" max="12" width="3.21875" style="82" customWidth="1"/>
    <col min="13" max="16384" width="9" style="82"/>
  </cols>
  <sheetData>
    <row r="1" spans="1:11" ht="19.5" customHeight="1">
      <c r="A1" s="704" t="s">
        <v>36</v>
      </c>
      <c r="B1" s="695"/>
      <c r="C1" s="695"/>
      <c r="D1" s="695"/>
      <c r="E1" s="695"/>
      <c r="H1" s="695"/>
    </row>
    <row r="2" spans="1:11" ht="15" customHeight="1">
      <c r="A2" s="183"/>
      <c r="B2" s="172"/>
      <c r="C2" s="695"/>
      <c r="D2" s="172"/>
      <c r="E2" s="172"/>
      <c r="H2" s="172"/>
    </row>
    <row r="3" spans="1:11" ht="18.75" customHeight="1">
      <c r="A3" s="780" t="s">
        <v>153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2" customHeight="1">
      <c r="A4" s="108"/>
      <c r="B4" s="541" t="s">
        <v>274</v>
      </c>
      <c r="C4" s="541"/>
      <c r="D4" s="541" t="s">
        <v>159</v>
      </c>
      <c r="E4" s="541" t="s">
        <v>152</v>
      </c>
      <c r="F4" s="541" t="s">
        <v>52</v>
      </c>
      <c r="G4" s="541" t="s">
        <v>53</v>
      </c>
      <c r="H4" s="541"/>
      <c r="I4" s="541" t="s">
        <v>54</v>
      </c>
      <c r="J4" s="541" t="s">
        <v>55</v>
      </c>
      <c r="K4" s="541" t="s">
        <v>56</v>
      </c>
    </row>
    <row r="5" spans="1:11" ht="11.25" customHeight="1">
      <c r="A5" s="552" t="s">
        <v>351</v>
      </c>
      <c r="B5" s="562" t="s">
        <v>25</v>
      </c>
      <c r="C5" s="565"/>
      <c r="D5" s="562" t="s">
        <v>25</v>
      </c>
      <c r="E5" s="563" t="s">
        <v>25</v>
      </c>
      <c r="F5" s="563" t="s">
        <v>25</v>
      </c>
      <c r="G5" s="563" t="s">
        <v>25</v>
      </c>
      <c r="H5" s="565"/>
      <c r="I5" s="563" t="s">
        <v>25</v>
      </c>
      <c r="J5" s="563" t="s">
        <v>25</v>
      </c>
      <c r="K5" s="563" t="s">
        <v>25</v>
      </c>
    </row>
    <row r="6" spans="1:11" ht="11.25" customHeight="1">
      <c r="A6" s="515" t="s">
        <v>87</v>
      </c>
      <c r="B6" s="988">
        <v>-3262.9999999999991</v>
      </c>
      <c r="C6" s="1087"/>
      <c r="D6" s="1088">
        <v>-3701.0000000000041</v>
      </c>
      <c r="E6" s="1089">
        <v>-4861.0000008400011</v>
      </c>
      <c r="F6" s="1089">
        <v>-3553.9999999999941</v>
      </c>
      <c r="G6" s="1090">
        <v>-3317.9999999999991</v>
      </c>
      <c r="H6" s="1087"/>
      <c r="I6" s="1088">
        <v>-4093.0000000000005</v>
      </c>
      <c r="J6" s="1088">
        <v>-3433.9999999999968</v>
      </c>
      <c r="K6" s="1089">
        <v>-3391.0000000000018</v>
      </c>
    </row>
    <row r="7" spans="1:11" ht="11.25" customHeight="1">
      <c r="A7" s="518" t="s">
        <v>352</v>
      </c>
      <c r="B7" s="989">
        <v>10.340853690000001</v>
      </c>
      <c r="C7" s="1087"/>
      <c r="D7" s="1091">
        <v>167.2422571005533</v>
      </c>
      <c r="E7" s="1092">
        <v>1568</v>
      </c>
      <c r="F7" s="1092">
        <v>52.709985410000002</v>
      </c>
      <c r="G7" s="1093">
        <v>60.842181400000001</v>
      </c>
      <c r="H7" s="1087"/>
      <c r="I7" s="1091">
        <v>60.129610151307929</v>
      </c>
      <c r="J7" s="1091">
        <v>104.85112652299999</v>
      </c>
      <c r="K7" s="1092">
        <v>81.168593529830432</v>
      </c>
    </row>
    <row r="8" spans="1:11">
      <c r="A8" s="521" t="s">
        <v>281</v>
      </c>
      <c r="B8" s="990">
        <v>-3252.659146309999</v>
      </c>
      <c r="C8" s="1094"/>
      <c r="D8" s="1095">
        <v>-3533.7577428994505</v>
      </c>
      <c r="E8" s="1096">
        <v>-3293</v>
      </c>
      <c r="F8" s="1096">
        <v>-3501</v>
      </c>
      <c r="G8" s="1097">
        <v>-3257.1578185999988</v>
      </c>
      <c r="H8" s="1094"/>
      <c r="I8" s="1095">
        <v>-4032.8703898486924</v>
      </c>
      <c r="J8" s="1095">
        <v>-3329.1488734769973</v>
      </c>
      <c r="K8" s="1096">
        <v>-3309.8314064701713</v>
      </c>
    </row>
    <row r="9" spans="1:11" ht="11.25" customHeight="1">
      <c r="A9" s="524"/>
      <c r="B9" s="991"/>
      <c r="C9" s="1094"/>
      <c r="D9" s="1098"/>
      <c r="E9" s="1099"/>
      <c r="F9" s="1099"/>
      <c r="G9" s="1099"/>
      <c r="H9" s="1094"/>
      <c r="I9" s="1098"/>
      <c r="J9" s="1098"/>
      <c r="K9" s="1099"/>
    </row>
    <row r="10" spans="1:11" ht="12" customHeight="1">
      <c r="A10" s="515" t="s">
        <v>50</v>
      </c>
      <c r="B10" s="988">
        <v>6283</v>
      </c>
      <c r="C10" s="1087"/>
      <c r="D10" s="1088">
        <v>5300.9999999999936</v>
      </c>
      <c r="E10" s="1089">
        <v>5540.9999999999982</v>
      </c>
      <c r="F10" s="1089">
        <v>5537.9999999999982</v>
      </c>
      <c r="G10" s="1090">
        <v>5251.9999999999982</v>
      </c>
      <c r="H10" s="1087"/>
      <c r="I10" s="1088">
        <v>5073.0000000000064</v>
      </c>
      <c r="J10" s="1088">
        <v>5128.9999999999973</v>
      </c>
      <c r="K10" s="1089">
        <v>5576.0000000000055</v>
      </c>
    </row>
    <row r="11" spans="1:11" ht="11.25" customHeight="1">
      <c r="A11" s="524"/>
      <c r="B11" s="992"/>
      <c r="C11" s="1100"/>
      <c r="D11" s="1101"/>
      <c r="E11" s="1102"/>
      <c r="F11" s="1102"/>
      <c r="G11" s="1102"/>
      <c r="H11" s="1100"/>
      <c r="I11" s="1101"/>
      <c r="J11" s="1101"/>
      <c r="K11" s="1102"/>
    </row>
    <row r="12" spans="1:11">
      <c r="A12" s="521" t="s">
        <v>353</v>
      </c>
      <c r="B12" s="993">
        <v>0.52</v>
      </c>
      <c r="C12" s="1103"/>
      <c r="D12" s="1104">
        <v>0.67</v>
      </c>
      <c r="E12" s="1105">
        <v>0.59</v>
      </c>
      <c r="F12" s="1105">
        <v>0.63</v>
      </c>
      <c r="G12" s="1106">
        <v>0.62</v>
      </c>
      <c r="H12" s="1103"/>
      <c r="I12" s="1104">
        <v>0.79</v>
      </c>
      <c r="J12" s="1104">
        <v>0.65</v>
      </c>
      <c r="K12" s="1105">
        <v>0.59</v>
      </c>
    </row>
    <row r="13" spans="1:11">
      <c r="A13" s="508"/>
      <c r="B13" s="994"/>
      <c r="C13" s="1103"/>
      <c r="D13" s="1073"/>
      <c r="E13" s="1103"/>
      <c r="F13" s="1103"/>
      <c r="G13" s="1103"/>
      <c r="H13" s="1103"/>
      <c r="I13" s="1073"/>
      <c r="J13" s="1073"/>
      <c r="K13" s="1103"/>
    </row>
    <row r="14" spans="1:11" ht="11.25" customHeight="1">
      <c r="A14" s="501" t="s">
        <v>354</v>
      </c>
      <c r="B14" s="995"/>
      <c r="C14" s="1103"/>
      <c r="D14" s="1031"/>
      <c r="E14" s="1032"/>
      <c r="F14" s="1032"/>
      <c r="G14" s="1032"/>
      <c r="H14" s="1103"/>
      <c r="I14" s="1031"/>
      <c r="J14" s="1031"/>
      <c r="K14" s="1032"/>
    </row>
    <row r="15" spans="1:11">
      <c r="A15" s="554" t="s">
        <v>261</v>
      </c>
      <c r="B15" s="996">
        <v>913.00000000000091</v>
      </c>
      <c r="C15" s="1163"/>
      <c r="D15" s="1164">
        <v>1096.9999999999925</v>
      </c>
      <c r="E15" s="1165">
        <v>245.99999916000081</v>
      </c>
      <c r="F15" s="1165">
        <v>1531.0000000000045</v>
      </c>
      <c r="G15" s="1166">
        <v>1483.0000000000002</v>
      </c>
      <c r="H15" s="1163"/>
      <c r="I15" s="1164">
        <v>374.00000000000858</v>
      </c>
      <c r="J15" s="1164">
        <v>1460.9999999999968</v>
      </c>
      <c r="K15" s="1165">
        <v>1895.0000000000068</v>
      </c>
    </row>
    <row r="16" spans="1:11" ht="11.25" customHeight="1">
      <c r="A16" s="550" t="s">
        <v>352</v>
      </c>
      <c r="B16" s="997">
        <v>10.340853690000001</v>
      </c>
      <c r="C16" s="998"/>
      <c r="D16" s="1107">
        <v>167.2422571005533</v>
      </c>
      <c r="E16" s="1108">
        <v>1568</v>
      </c>
      <c r="F16" s="1108">
        <v>52.709985410000002</v>
      </c>
      <c r="G16" s="1109">
        <v>60.842181400000001</v>
      </c>
      <c r="H16" s="998"/>
      <c r="I16" s="999">
        <v>60.129610151307929</v>
      </c>
      <c r="J16" s="1091">
        <v>104.85112652299999</v>
      </c>
      <c r="K16" s="1107">
        <v>81.168593529830432</v>
      </c>
    </row>
    <row r="17" spans="1:12">
      <c r="A17" s="551" t="s">
        <v>356</v>
      </c>
      <c r="B17" s="1000">
        <v>923.34085369000093</v>
      </c>
      <c r="C17" s="1001"/>
      <c r="D17" s="1167">
        <v>1264.2422571005459</v>
      </c>
      <c r="E17" s="1057">
        <v>1814</v>
      </c>
      <c r="F17" s="1057">
        <v>1583.7099854100045</v>
      </c>
      <c r="G17" s="1110">
        <v>1543.8421814000003</v>
      </c>
      <c r="H17" s="1001"/>
      <c r="I17" s="1002">
        <v>434.12961015131651</v>
      </c>
      <c r="J17" s="1002">
        <v>1565.8511265229968</v>
      </c>
      <c r="K17" s="1003">
        <v>1976.1685935298374</v>
      </c>
    </row>
    <row r="18" spans="1:12" ht="11.25" customHeight="1">
      <c r="A18" s="553"/>
      <c r="B18" s="1004"/>
      <c r="C18" s="1083"/>
      <c r="D18" s="1111"/>
      <c r="E18" s="1083"/>
      <c r="F18" s="1083"/>
      <c r="G18" s="1005"/>
      <c r="H18" s="1083"/>
      <c r="I18" s="1112"/>
      <c r="J18" s="1112"/>
      <c r="K18" s="1083"/>
    </row>
    <row r="19" spans="1:12">
      <c r="A19" s="552" t="s">
        <v>357</v>
      </c>
      <c r="B19" s="1006"/>
      <c r="C19" s="1083"/>
      <c r="D19" s="1113"/>
      <c r="E19" s="1114"/>
      <c r="F19" s="1114"/>
      <c r="G19" s="1007"/>
      <c r="H19" s="1083"/>
      <c r="I19" s="1115"/>
      <c r="J19" s="1115"/>
      <c r="K19" s="1114"/>
    </row>
    <row r="20" spans="1:12">
      <c r="A20" s="554" t="s">
        <v>336</v>
      </c>
      <c r="B20" s="996">
        <v>605.00000000000045</v>
      </c>
      <c r="C20" s="1163"/>
      <c r="D20" s="1164">
        <v>680.99999999999511</v>
      </c>
      <c r="E20" s="1165">
        <v>-292.00000123999956</v>
      </c>
      <c r="F20" s="1165">
        <v>1034.0000000000052</v>
      </c>
      <c r="G20" s="1166">
        <v>1038</v>
      </c>
      <c r="H20" s="1163"/>
      <c r="I20" s="1164">
        <v>-14</v>
      </c>
      <c r="J20" s="1164">
        <v>1050</v>
      </c>
      <c r="K20" s="1165">
        <v>1279</v>
      </c>
    </row>
    <row r="21" spans="1:12" ht="11.25" customHeight="1">
      <c r="A21" s="561" t="s">
        <v>358</v>
      </c>
      <c r="B21" s="997">
        <v>-0.59906316716001129</v>
      </c>
      <c r="C21" s="1163"/>
      <c r="D21" s="1168">
        <v>122.25437334594392</v>
      </c>
      <c r="E21" s="1008">
        <v>1525</v>
      </c>
      <c r="F21" s="1008">
        <v>40.43744952096813</v>
      </c>
      <c r="G21" s="1169">
        <v>46</v>
      </c>
      <c r="H21" s="1163"/>
      <c r="I21" s="1168">
        <v>62</v>
      </c>
      <c r="J21" s="1168">
        <v>85</v>
      </c>
      <c r="K21" s="1008">
        <v>59</v>
      </c>
    </row>
    <row r="22" spans="1:12" ht="22.8">
      <c r="A22" s="551" t="s">
        <v>359</v>
      </c>
      <c r="B22" s="1009">
        <v>604.40093683284044</v>
      </c>
      <c r="C22" s="1170"/>
      <c r="D22" s="1171">
        <v>803.25437334593903</v>
      </c>
      <c r="E22" s="1172">
        <v>1232.8385660806596</v>
      </c>
      <c r="F22" s="1172">
        <v>1074.4374495209734</v>
      </c>
      <c r="G22" s="1173">
        <v>1083.7421813999999</v>
      </c>
      <c r="H22" s="1170"/>
      <c r="I22" s="1171">
        <v>47.871068516892684</v>
      </c>
      <c r="J22" s="1171">
        <v>1134.9909287779708</v>
      </c>
      <c r="K22" s="1172">
        <v>1337.6409593451046</v>
      </c>
    </row>
    <row r="23" spans="1:12">
      <c r="A23" s="514"/>
      <c r="B23" s="1074"/>
      <c r="C23" s="1170"/>
      <c r="D23" s="1116"/>
      <c r="E23" s="1170"/>
      <c r="F23" s="1170"/>
      <c r="G23" s="1170"/>
      <c r="H23" s="1170"/>
      <c r="I23" s="1116"/>
      <c r="J23" s="1116"/>
      <c r="K23" s="1170"/>
    </row>
    <row r="24" spans="1:12" ht="11.25" customHeight="1">
      <c r="A24" s="535" t="s">
        <v>360</v>
      </c>
      <c r="B24" s="1010" t="s">
        <v>263</v>
      </c>
      <c r="C24" s="1011"/>
      <c r="D24" s="1010" t="s">
        <v>263</v>
      </c>
      <c r="E24" s="1010" t="s">
        <v>263</v>
      </c>
      <c r="F24" s="1010" t="s">
        <v>263</v>
      </c>
      <c r="G24" s="1010" t="s">
        <v>263</v>
      </c>
      <c r="H24" s="1011"/>
      <c r="I24" s="1010" t="s">
        <v>263</v>
      </c>
      <c r="J24" s="1010" t="s">
        <v>263</v>
      </c>
      <c r="K24" s="1010" t="s">
        <v>263</v>
      </c>
    </row>
    <row r="25" spans="1:12" ht="11.25" customHeight="1">
      <c r="A25" s="554" t="s">
        <v>361</v>
      </c>
      <c r="B25" s="1012">
        <v>55200</v>
      </c>
      <c r="C25" s="1117"/>
      <c r="D25" s="1075">
        <v>54500</v>
      </c>
      <c r="E25" s="1013">
        <v>56400</v>
      </c>
      <c r="F25" s="1013">
        <v>54000</v>
      </c>
      <c r="G25" s="1118">
        <v>53200</v>
      </c>
      <c r="H25" s="1117"/>
      <c r="I25" s="1014">
        <v>52219.666666666672</v>
      </c>
      <c r="J25" s="1014">
        <v>52528.166666666672</v>
      </c>
      <c r="K25" s="1013">
        <v>51316.5</v>
      </c>
    </row>
    <row r="26" spans="1:12" ht="11.25" customHeight="1">
      <c r="A26" s="561" t="s">
        <v>362</v>
      </c>
      <c r="B26" s="1015">
        <v>-8200</v>
      </c>
      <c r="C26" s="1033"/>
      <c r="D26" s="1119">
        <v>-8100</v>
      </c>
      <c r="E26" s="1120">
        <v>-8</v>
      </c>
      <c r="F26" s="1120">
        <v>-7.8</v>
      </c>
      <c r="G26" s="1076">
        <v>-8</v>
      </c>
      <c r="H26" s="1033"/>
      <c r="I26" s="1120">
        <v>-7.9</v>
      </c>
      <c r="J26" s="1120">
        <v>-7.9</v>
      </c>
      <c r="K26" s="1120">
        <v>-7.8</v>
      </c>
      <c r="L26" s="122"/>
    </row>
    <row r="27" spans="1:12" ht="11.25" customHeight="1">
      <c r="A27" s="551" t="s">
        <v>363</v>
      </c>
      <c r="B27" s="1338">
        <v>46994.626145163187</v>
      </c>
      <c r="C27" s="1121"/>
      <c r="D27" s="1122">
        <v>46426.648156494761</v>
      </c>
      <c r="E27" s="1123">
        <v>48351.200822340623</v>
      </c>
      <c r="F27" s="1123">
        <v>46207.655399750045</v>
      </c>
      <c r="G27" s="1124">
        <v>45246.744312008959</v>
      </c>
      <c r="H27" s="1121"/>
      <c r="I27" s="1125">
        <v>44290.540177451905</v>
      </c>
      <c r="J27" s="1125">
        <v>44645.617327976135</v>
      </c>
      <c r="K27" s="1123">
        <v>43470.462425688507</v>
      </c>
    </row>
    <row r="28" spans="1:12" ht="12.75" customHeight="1">
      <c r="A28" s="512"/>
      <c r="B28" s="1016"/>
      <c r="C28" s="1170"/>
      <c r="D28" s="1126"/>
      <c r="E28" s="1127"/>
      <c r="F28" s="1127"/>
      <c r="G28" s="1127"/>
      <c r="H28" s="1170"/>
      <c r="I28" s="1126"/>
      <c r="J28" s="1126"/>
      <c r="K28" s="1127"/>
    </row>
    <row r="29" spans="1:12" ht="22.8">
      <c r="A29" s="545" t="s">
        <v>364</v>
      </c>
      <c r="B29" s="1017">
        <v>5.0999999999999997E-2</v>
      </c>
      <c r="C29" s="1034"/>
      <c r="D29" s="1128">
        <v>6.9000000000000006E-2</v>
      </c>
      <c r="E29" s="1035">
        <v>0.10199999999999999</v>
      </c>
      <c r="F29" s="1035">
        <v>9.2999999999999999E-2</v>
      </c>
      <c r="G29" s="1129">
        <v>9.6000000000000002E-2</v>
      </c>
      <c r="H29" s="1034"/>
      <c r="I29" s="1058">
        <v>4.0000000000000001E-3</v>
      </c>
      <c r="J29" s="1058">
        <v>0.10199999999999999</v>
      </c>
      <c r="K29" s="1130">
        <v>0.123</v>
      </c>
    </row>
    <row r="30" spans="1:12">
      <c r="A30" s="511"/>
      <c r="B30" s="1018"/>
      <c r="C30" s="985"/>
      <c r="D30" s="986"/>
      <c r="E30" s="987"/>
      <c r="F30" s="987"/>
      <c r="G30" s="987"/>
      <c r="H30" s="985"/>
      <c r="I30" s="986"/>
      <c r="J30" s="986"/>
      <c r="K30" s="987"/>
    </row>
    <row r="31" spans="1:12" ht="11.25" customHeight="1">
      <c r="A31" s="494" t="s">
        <v>365</v>
      </c>
      <c r="B31" s="1019"/>
      <c r="C31" s="1131"/>
      <c r="D31" s="1020"/>
      <c r="E31" s="1132"/>
      <c r="F31" s="1132"/>
      <c r="G31" s="1132"/>
      <c r="H31" s="1131"/>
      <c r="I31" s="1020"/>
      <c r="J31" s="1020"/>
      <c r="K31" s="1132"/>
    </row>
    <row r="32" spans="1:12" ht="11.25" customHeight="1">
      <c r="A32" s="490" t="s">
        <v>366</v>
      </c>
      <c r="B32" s="1021">
        <v>17278.133290166697</v>
      </c>
      <c r="C32" s="1022"/>
      <c r="D32" s="1023">
        <v>17200.216772717798</v>
      </c>
      <c r="E32" s="1024">
        <v>17192.056668997298</v>
      </c>
      <c r="F32" s="1024">
        <v>17177.714049923299</v>
      </c>
      <c r="G32" s="1025">
        <v>17110.902999999998</v>
      </c>
      <c r="H32" s="1022"/>
      <c r="I32" s="1023">
        <v>17075.249</v>
      </c>
      <c r="J32" s="1023">
        <v>17073.68</v>
      </c>
      <c r="K32" s="1024">
        <v>17066.756999999998</v>
      </c>
    </row>
    <row r="33" spans="1:11" ht="11.25" customHeight="1">
      <c r="A33" s="535"/>
      <c r="B33" s="1019"/>
      <c r="C33" s="1131"/>
      <c r="D33" s="1020"/>
      <c r="E33" s="1132"/>
      <c r="F33" s="1132"/>
      <c r="G33" s="1132"/>
      <c r="H33" s="1131"/>
      <c r="I33" s="1020"/>
      <c r="J33" s="1020"/>
      <c r="K33" s="1132"/>
    </row>
    <row r="34" spans="1:11" ht="22.8">
      <c r="A34" s="513" t="s">
        <v>367</v>
      </c>
      <c r="B34" s="1026">
        <v>3.4980684931792716</v>
      </c>
      <c r="C34" s="1027"/>
      <c r="D34" s="1028">
        <v>4.6700247093398524</v>
      </c>
      <c r="E34" s="1029">
        <v>7.1709777940870589</v>
      </c>
      <c r="F34" s="1029">
        <v>6.2548337130211502</v>
      </c>
      <c r="G34" s="1030">
        <v>6.3336352347973692</v>
      </c>
      <c r="H34" s="1027"/>
      <c r="I34" s="1028">
        <v>0.28620999036027345</v>
      </c>
      <c r="J34" s="1028">
        <v>6.6358917865273961</v>
      </c>
      <c r="K34" s="1029">
        <v>7.8435578554561038</v>
      </c>
    </row>
    <row r="35" spans="1:11">
      <c r="A35" s="511"/>
      <c r="B35" s="500"/>
      <c r="C35" s="486"/>
      <c r="D35" s="492"/>
      <c r="E35" s="491"/>
      <c r="F35" s="491"/>
      <c r="G35" s="491"/>
      <c r="H35" s="486"/>
      <c r="I35" s="492"/>
      <c r="J35" s="492"/>
      <c r="K35" s="49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K27"/>
  <sheetViews>
    <sheetView showGridLines="0" view="pageBreakPreview" topLeftCell="A7" zoomScale="85" zoomScaleNormal="100" zoomScaleSheetLayoutView="85" workbookViewId="0">
      <selection activeCell="B26" sqref="B26"/>
    </sheetView>
  </sheetViews>
  <sheetFormatPr defaultColWidth="9" defaultRowHeight="13.2"/>
  <cols>
    <col min="1" max="1" width="32.6640625" style="82" customWidth="1"/>
    <col min="2" max="2" width="7.21875" style="82" customWidth="1"/>
    <col min="3" max="3" width="1.77734375" style="123" customWidth="1"/>
    <col min="4" max="4" width="7.21875" style="122" customWidth="1"/>
    <col min="5" max="7" width="7.21875" style="82" customWidth="1"/>
    <col min="8" max="8" width="1.77734375" style="123" customWidth="1"/>
    <col min="9" max="9" width="7.21875" style="122" customWidth="1"/>
    <col min="10" max="11" width="7.21875" style="82" customWidth="1"/>
    <col min="12" max="16384" width="9" style="82"/>
  </cols>
  <sheetData>
    <row r="1" spans="1:11" ht="18.75" customHeight="1">
      <c r="A1" s="772" t="s">
        <v>26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2" customHeight="1">
      <c r="A2" s="108"/>
      <c r="B2" s="541" t="s">
        <v>274</v>
      </c>
      <c r="C2" s="541"/>
      <c r="D2" s="541" t="s">
        <v>159</v>
      </c>
      <c r="E2" s="541" t="s">
        <v>152</v>
      </c>
      <c r="F2" s="541" t="s">
        <v>52</v>
      </c>
      <c r="G2" s="541" t="s">
        <v>53</v>
      </c>
      <c r="H2" s="541"/>
      <c r="I2" s="541" t="s">
        <v>54</v>
      </c>
      <c r="J2" s="541" t="s">
        <v>55</v>
      </c>
      <c r="K2" s="541" t="s">
        <v>56</v>
      </c>
    </row>
    <row r="3" spans="1:11" ht="11.25" customHeight="1">
      <c r="A3" s="552" t="s">
        <v>351</v>
      </c>
      <c r="B3" s="563" t="s">
        <v>25</v>
      </c>
      <c r="C3" s="565"/>
      <c r="D3" s="562" t="s">
        <v>25</v>
      </c>
      <c r="E3" s="563" t="s">
        <v>25</v>
      </c>
      <c r="F3" s="563" t="s">
        <v>25</v>
      </c>
      <c r="G3" s="563" t="s">
        <v>25</v>
      </c>
      <c r="H3" s="565"/>
      <c r="I3" s="563" t="s">
        <v>25</v>
      </c>
      <c r="J3" s="563" t="s">
        <v>25</v>
      </c>
      <c r="K3" s="563" t="s">
        <v>25</v>
      </c>
    </row>
    <row r="4" spans="1:11" ht="12.75" customHeight="1">
      <c r="A4" s="515" t="s">
        <v>87</v>
      </c>
      <c r="B4" s="1090">
        <v>-1028</v>
      </c>
      <c r="C4" s="1087"/>
      <c r="D4" s="1089">
        <v>-1121.9999999999998</v>
      </c>
      <c r="E4" s="1133">
        <v>-2431.9999999999991</v>
      </c>
      <c r="F4" s="1088">
        <v>-1062.9999999999989</v>
      </c>
      <c r="G4" s="1090">
        <v>-1002.0000000000002</v>
      </c>
      <c r="H4" s="1087"/>
      <c r="I4" s="1088">
        <v>-1174.9999999999998</v>
      </c>
      <c r="J4" s="1088">
        <v>-1041.9999999999998</v>
      </c>
      <c r="K4" s="1089">
        <v>-970.99999999999955</v>
      </c>
    </row>
    <row r="5" spans="1:11" ht="11.25" customHeight="1">
      <c r="A5" s="518" t="s">
        <v>352</v>
      </c>
      <c r="B5" s="1109">
        <v>4.7742343199999997</v>
      </c>
      <c r="C5" s="1036"/>
      <c r="D5" s="1134">
        <v>57.870550350000002</v>
      </c>
      <c r="E5" s="1107">
        <v>1480</v>
      </c>
      <c r="F5" s="1134">
        <v>40.871671239999998</v>
      </c>
      <c r="G5" s="1109">
        <v>3.0396999999999998</v>
      </c>
      <c r="H5" s="1036"/>
      <c r="I5" s="1107">
        <v>15.360693789999999</v>
      </c>
      <c r="J5" s="1107">
        <v>53.790522869999997</v>
      </c>
      <c r="K5" s="1134">
        <v>3</v>
      </c>
    </row>
    <row r="6" spans="1:11" ht="10.5" customHeight="1">
      <c r="A6" s="521" t="s">
        <v>281</v>
      </c>
      <c r="B6" s="1097">
        <v>-1023.2257656799999</v>
      </c>
      <c r="C6" s="1037"/>
      <c r="D6" s="1096">
        <v>-1064.1294496499997</v>
      </c>
      <c r="E6" s="1095">
        <v>-952</v>
      </c>
      <c r="F6" s="1095">
        <v>-1022</v>
      </c>
      <c r="G6" s="1097">
        <v>-998.96030000000019</v>
      </c>
      <c r="H6" s="1037"/>
      <c r="I6" s="1095">
        <v>-1159.6393062099999</v>
      </c>
      <c r="J6" s="1095">
        <v>-988</v>
      </c>
      <c r="K6" s="1095">
        <v>-968</v>
      </c>
    </row>
    <row r="7" spans="1:11" ht="11.25" customHeight="1">
      <c r="A7" s="524"/>
      <c r="B7" s="1099"/>
      <c r="C7" s="1094"/>
      <c r="D7" s="1099"/>
      <c r="E7" s="1098"/>
      <c r="F7" s="1099"/>
      <c r="G7" s="1099"/>
      <c r="H7" s="1094"/>
      <c r="I7" s="1098"/>
      <c r="J7" s="1098"/>
      <c r="K7" s="1099"/>
    </row>
    <row r="8" spans="1:11" ht="11.25" customHeight="1">
      <c r="A8" s="515" t="s">
        <v>50</v>
      </c>
      <c r="B8" s="1090">
        <v>1703.9999999999998</v>
      </c>
      <c r="C8" s="1087"/>
      <c r="D8" s="1089">
        <v>1958.9999999999995</v>
      </c>
      <c r="E8" s="1088">
        <v>1845.9999999999982</v>
      </c>
      <c r="F8" s="1089">
        <v>1771.0000000000007</v>
      </c>
      <c r="G8" s="1090">
        <v>1776.9999999999998</v>
      </c>
      <c r="H8" s="1087"/>
      <c r="I8" s="1088">
        <v>1863.0000000000048</v>
      </c>
      <c r="J8" s="1088">
        <v>1895.9999999999991</v>
      </c>
      <c r="K8" s="1089">
        <v>1835.9999999999957</v>
      </c>
    </row>
    <row r="9" spans="1:11" ht="11.25" customHeight="1">
      <c r="A9" s="524"/>
      <c r="B9" s="1102"/>
      <c r="C9" s="1100"/>
      <c r="D9" s="1102"/>
      <c r="E9" s="1101"/>
      <c r="F9" s="1102"/>
      <c r="G9" s="1102"/>
      <c r="H9" s="1100"/>
      <c r="I9" s="1101"/>
      <c r="J9" s="1101"/>
      <c r="K9" s="1102"/>
    </row>
    <row r="10" spans="1:11" ht="18.75" customHeight="1">
      <c r="A10" s="521" t="s">
        <v>353</v>
      </c>
      <c r="B10" s="1106">
        <v>0.6</v>
      </c>
      <c r="C10" s="1073"/>
      <c r="D10" s="1105">
        <v>0.54</v>
      </c>
      <c r="E10" s="1104">
        <v>0.52</v>
      </c>
      <c r="F10" s="1104">
        <v>0.57999999999999996</v>
      </c>
      <c r="G10" s="1106">
        <v>0.56000000000000005</v>
      </c>
      <c r="H10" s="1073"/>
      <c r="I10" s="1104">
        <v>0.62</v>
      </c>
      <c r="J10" s="1104">
        <v>0.52</v>
      </c>
      <c r="K10" s="1104">
        <v>0.53</v>
      </c>
    </row>
    <row r="11" spans="1:11">
      <c r="A11" s="508"/>
      <c r="B11" s="1103"/>
      <c r="C11" s="1103"/>
      <c r="D11" s="1103"/>
      <c r="E11" s="1073"/>
      <c r="F11" s="1103"/>
      <c r="G11" s="1103"/>
      <c r="H11" s="1103"/>
      <c r="I11" s="1073"/>
      <c r="J11" s="1073"/>
      <c r="K11" s="1103"/>
    </row>
    <row r="12" spans="1:11" ht="11.25" customHeight="1">
      <c r="A12" s="501" t="s">
        <v>354</v>
      </c>
      <c r="B12" s="1032"/>
      <c r="C12" s="1103"/>
      <c r="D12" s="1032"/>
      <c r="E12" s="1031"/>
      <c r="F12" s="1032"/>
      <c r="G12" s="1032"/>
      <c r="H12" s="1103"/>
      <c r="I12" s="1031"/>
      <c r="J12" s="1031"/>
      <c r="K12" s="1032"/>
    </row>
    <row r="13" spans="1:11" ht="11.25" customHeight="1">
      <c r="A13" s="549" t="s">
        <v>355</v>
      </c>
      <c r="B13" s="1135">
        <v>194.99999999999972</v>
      </c>
      <c r="C13" s="1038"/>
      <c r="D13" s="1136">
        <v>646.99999999999898</v>
      </c>
      <c r="E13" s="1133">
        <v>-687.00000000000045</v>
      </c>
      <c r="F13" s="1039">
        <v>477.00000000000119</v>
      </c>
      <c r="G13" s="1135">
        <v>584.99999999999909</v>
      </c>
      <c r="H13" s="1038"/>
      <c r="I13" s="1137">
        <v>390.00000000000449</v>
      </c>
      <c r="J13" s="1137">
        <v>739.99999999999955</v>
      </c>
      <c r="K13" s="1088">
        <v>656</v>
      </c>
    </row>
    <row r="14" spans="1:11" ht="11.25" customHeight="1">
      <c r="A14" s="550" t="s">
        <v>352</v>
      </c>
      <c r="B14" s="1109">
        <v>4.7742343199999997</v>
      </c>
      <c r="C14" s="1036"/>
      <c r="D14" s="1134">
        <v>57.870550350000002</v>
      </c>
      <c r="E14" s="1107">
        <v>1480</v>
      </c>
      <c r="F14" s="1134">
        <v>40.871671239999998</v>
      </c>
      <c r="G14" s="1109">
        <v>3.0396999999999998</v>
      </c>
      <c r="H14" s="1036"/>
      <c r="I14" s="1107">
        <v>15.360693789999999</v>
      </c>
      <c r="J14" s="1107">
        <v>53.790522869999997</v>
      </c>
      <c r="K14" s="1134">
        <v>3</v>
      </c>
    </row>
    <row r="15" spans="1:11" ht="21.45" customHeight="1">
      <c r="A15" s="551" t="s">
        <v>356</v>
      </c>
      <c r="B15" s="1110">
        <v>199.77423431999972</v>
      </c>
      <c r="C15" s="1040"/>
      <c r="D15" s="1174">
        <v>704.87055034999901</v>
      </c>
      <c r="E15" s="1167">
        <v>793</v>
      </c>
      <c r="F15" s="1167">
        <v>517.87167124000121</v>
      </c>
      <c r="G15" s="1110">
        <v>588.03969999999913</v>
      </c>
      <c r="H15" s="1040"/>
      <c r="I15" s="1167">
        <v>405.36069379000452</v>
      </c>
      <c r="J15" s="1167">
        <v>793.79052286999945</v>
      </c>
      <c r="K15" s="1167">
        <v>659</v>
      </c>
    </row>
    <row r="16" spans="1:11" ht="11.25" customHeight="1">
      <c r="A16" s="553"/>
      <c r="B16" s="1041"/>
      <c r="C16" s="1083"/>
      <c r="D16" s="1042"/>
      <c r="E16" s="1111"/>
      <c r="F16" s="1083"/>
      <c r="G16" s="1083"/>
      <c r="H16" s="1083"/>
      <c r="I16" s="1112"/>
      <c r="J16" s="1112"/>
      <c r="K16" s="1083"/>
    </row>
    <row r="17" spans="1:11" ht="24.75" customHeight="1">
      <c r="A17" s="552" t="s">
        <v>357</v>
      </c>
      <c r="B17" s="1043"/>
      <c r="C17" s="1083"/>
      <c r="D17" s="1044"/>
      <c r="E17" s="1113"/>
      <c r="F17" s="1114"/>
      <c r="G17" s="1114"/>
      <c r="H17" s="1083"/>
      <c r="I17" s="1115"/>
      <c r="J17" s="1115"/>
      <c r="K17" s="1114"/>
    </row>
    <row r="18" spans="1:11" ht="11.25" customHeight="1">
      <c r="A18" s="554" t="s">
        <v>336</v>
      </c>
      <c r="B18" s="1166">
        <v>174.99999999999972</v>
      </c>
      <c r="C18" s="1163"/>
      <c r="D18" s="1165">
        <v>437.99999999999915</v>
      </c>
      <c r="E18" s="1088">
        <v>-907.00000000000011</v>
      </c>
      <c r="F18" s="1165">
        <v>328.00000000000136</v>
      </c>
      <c r="G18" s="1166">
        <v>421.9999999999996</v>
      </c>
      <c r="H18" s="1163"/>
      <c r="I18" s="1164">
        <v>241</v>
      </c>
      <c r="J18" s="1164">
        <v>510</v>
      </c>
      <c r="K18" s="1165">
        <v>473</v>
      </c>
    </row>
    <row r="19" spans="1:11" ht="11.25" customHeight="1">
      <c r="A19" s="561" t="s">
        <v>358</v>
      </c>
      <c r="B19" s="1109">
        <v>3.4851910536000332</v>
      </c>
      <c r="C19" s="1045"/>
      <c r="D19" s="1134">
        <v>43.292058932856946</v>
      </c>
      <c r="E19" s="1107">
        <v>1457</v>
      </c>
      <c r="F19" s="1107">
        <v>29.61307595369999</v>
      </c>
      <c r="G19" s="1109">
        <v>2</v>
      </c>
      <c r="H19" s="1045"/>
      <c r="I19" s="1107">
        <v>12</v>
      </c>
      <c r="J19" s="1107">
        <v>48</v>
      </c>
      <c r="K19" s="1107">
        <v>1</v>
      </c>
    </row>
    <row r="20" spans="1:11" ht="22.8">
      <c r="A20" s="551" t="s">
        <v>359</v>
      </c>
      <c r="B20" s="1173">
        <v>178.48519105359975</v>
      </c>
      <c r="C20" s="1116"/>
      <c r="D20" s="1172">
        <v>481.29205893285609</v>
      </c>
      <c r="E20" s="1171">
        <v>550</v>
      </c>
      <c r="F20" s="1171">
        <v>357.61307595370135</v>
      </c>
      <c r="G20" s="1173">
        <v>423.73969999999963</v>
      </c>
      <c r="H20" s="1116"/>
      <c r="I20" s="1171">
        <v>252.71684478750899</v>
      </c>
      <c r="J20" s="1171">
        <v>558.30399134796448</v>
      </c>
      <c r="K20" s="1171">
        <v>474</v>
      </c>
    </row>
    <row r="21" spans="1:11" ht="11.25" customHeight="1">
      <c r="A21" s="514"/>
      <c r="B21" s="1170"/>
      <c r="C21" s="1170"/>
      <c r="D21" s="1170"/>
      <c r="E21" s="1116"/>
      <c r="F21" s="1170"/>
      <c r="G21" s="1170"/>
      <c r="H21" s="1170"/>
      <c r="I21" s="1116"/>
      <c r="J21" s="1116"/>
      <c r="K21" s="1170"/>
    </row>
    <row r="22" spans="1:11">
      <c r="A22" s="535" t="s">
        <v>368</v>
      </c>
      <c r="B22" s="1132" t="s">
        <v>263</v>
      </c>
      <c r="C22" s="1138"/>
      <c r="D22" s="1132" t="s">
        <v>263</v>
      </c>
      <c r="E22" s="1132" t="s">
        <v>263</v>
      </c>
      <c r="F22" s="1132" t="s">
        <v>263</v>
      </c>
      <c r="G22" s="1132" t="s">
        <v>263</v>
      </c>
      <c r="H22" s="1138"/>
      <c r="I22" s="1132" t="s">
        <v>263</v>
      </c>
      <c r="J22" s="1132" t="s">
        <v>263</v>
      </c>
      <c r="K22" s="1132" t="s">
        <v>263</v>
      </c>
    </row>
    <row r="23" spans="1:11">
      <c r="A23" s="554" t="s">
        <v>369</v>
      </c>
      <c r="B23" s="1059">
        <v>14100</v>
      </c>
      <c r="C23" s="1046"/>
      <c r="D23" s="1060">
        <v>13800</v>
      </c>
      <c r="E23" s="1060">
        <v>13900</v>
      </c>
      <c r="F23" s="1060">
        <v>13800</v>
      </c>
      <c r="G23" s="1047">
        <v>13.9</v>
      </c>
      <c r="H23" s="1046"/>
      <c r="I23" s="1048">
        <v>13.6</v>
      </c>
      <c r="J23" s="1048">
        <v>13.7</v>
      </c>
      <c r="K23" s="1049">
        <v>13.6</v>
      </c>
    </row>
    <row r="24" spans="1:11">
      <c r="A24" s="561" t="s">
        <v>362</v>
      </c>
      <c r="B24" s="1061">
        <v>-3600</v>
      </c>
      <c r="C24" s="1033"/>
      <c r="D24" s="1062">
        <v>-3500</v>
      </c>
      <c r="E24" s="1062">
        <v>-3500</v>
      </c>
      <c r="F24" s="1050">
        <v>-3500</v>
      </c>
      <c r="G24" s="1076">
        <v>-3.5</v>
      </c>
      <c r="H24" s="1033"/>
      <c r="I24" s="1120">
        <v>-3.5</v>
      </c>
      <c r="J24" s="1120">
        <v>-3.6</v>
      </c>
      <c r="K24" s="1120">
        <v>-3.5</v>
      </c>
    </row>
    <row r="25" spans="1:11" ht="11.25" customHeight="1">
      <c r="A25" s="513" t="s">
        <v>370</v>
      </c>
      <c r="B25" s="1051">
        <v>10525.026895348437</v>
      </c>
      <c r="C25" s="1052"/>
      <c r="D25" s="1053">
        <v>10280.540957689675</v>
      </c>
      <c r="E25" s="1054">
        <v>10387.153314621139</v>
      </c>
      <c r="F25" s="1054">
        <v>10305.550564251227</v>
      </c>
      <c r="G25" s="1051">
        <v>10359.544322966038</v>
      </c>
      <c r="H25" s="1052"/>
      <c r="I25" s="1055">
        <v>10.1</v>
      </c>
      <c r="J25" s="1055">
        <v>10.1</v>
      </c>
      <c r="K25" s="1056">
        <v>10.1</v>
      </c>
    </row>
    <row r="26" spans="1:11" ht="11.25" customHeight="1">
      <c r="A26" s="512"/>
      <c r="B26" s="1127"/>
      <c r="C26" s="1170"/>
      <c r="D26" s="1127"/>
      <c r="E26" s="1126"/>
      <c r="F26" s="1127"/>
      <c r="G26" s="1127"/>
      <c r="H26" s="1170"/>
      <c r="I26" s="1126"/>
      <c r="J26" s="1126"/>
      <c r="K26" s="1127"/>
    </row>
    <row r="27" spans="1:11" ht="22.8">
      <c r="A27" s="545" t="s">
        <v>371</v>
      </c>
      <c r="B27" s="1063">
        <v>6.8000000000000005E-2</v>
      </c>
      <c r="C27" s="1034"/>
      <c r="D27" s="1035">
        <v>0.187</v>
      </c>
      <c r="E27" s="1128">
        <v>0.21199999999999999</v>
      </c>
      <c r="F27" s="1035">
        <v>0.13900000000000001</v>
      </c>
      <c r="G27" s="1063">
        <v>0.16400000000000001</v>
      </c>
      <c r="H27" s="1034"/>
      <c r="I27" s="1058">
        <v>0.10100000000000001</v>
      </c>
      <c r="J27" s="1058">
        <v>0.22</v>
      </c>
      <c r="K27" s="1035">
        <v>0.188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92"/>
  <sheetViews>
    <sheetView showGridLines="0" view="pageBreakPreview" topLeftCell="A13" zoomScale="85" zoomScaleNormal="100" zoomScaleSheetLayoutView="85" workbookViewId="0">
      <selection activeCell="A52" sqref="A52"/>
    </sheetView>
  </sheetViews>
  <sheetFormatPr defaultColWidth="9" defaultRowHeight="13.2"/>
  <cols>
    <col min="1" max="1" width="32.77734375" style="82" customWidth="1"/>
    <col min="2" max="2" width="7.21875" style="82" customWidth="1"/>
    <col min="3" max="3" width="1.77734375" style="122" customWidth="1"/>
    <col min="4" max="4" width="7.21875" style="123" customWidth="1"/>
    <col min="5" max="5" width="7.77734375" style="82" bestFit="1" customWidth="1"/>
    <col min="6" max="7" width="7.21875" style="82" customWidth="1"/>
    <col min="8" max="8" width="1.77734375" style="122" customWidth="1"/>
    <col min="9" max="9" width="7.77734375" style="123" customWidth="1"/>
    <col min="10" max="11" width="7.21875" style="82" customWidth="1"/>
    <col min="12" max="16384" width="9" style="82"/>
  </cols>
  <sheetData>
    <row r="1" spans="1:11" ht="15.6">
      <c r="A1" s="772" t="s">
        <v>27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A2" s="108"/>
      <c r="B2" s="541" t="s">
        <v>274</v>
      </c>
      <c r="C2" s="541"/>
      <c r="D2" s="541" t="s">
        <v>159</v>
      </c>
      <c r="E2" s="541" t="s">
        <v>152</v>
      </c>
      <c r="F2" s="541" t="s">
        <v>52</v>
      </c>
      <c r="G2" s="541" t="s">
        <v>53</v>
      </c>
      <c r="H2" s="541"/>
      <c r="I2" s="541" t="s">
        <v>54</v>
      </c>
      <c r="J2" s="541" t="s">
        <v>55</v>
      </c>
      <c r="K2" s="541" t="s">
        <v>56</v>
      </c>
    </row>
    <row r="3" spans="1:11">
      <c r="A3" s="552" t="s">
        <v>351</v>
      </c>
      <c r="B3" s="562" t="s">
        <v>25</v>
      </c>
      <c r="C3" s="565"/>
      <c r="D3" s="563" t="s">
        <v>25</v>
      </c>
      <c r="E3" s="563" t="s">
        <v>25</v>
      </c>
      <c r="F3" s="563" t="s">
        <v>25</v>
      </c>
      <c r="G3" s="563" t="s">
        <v>25</v>
      </c>
      <c r="H3" s="565"/>
      <c r="I3" s="563" t="s">
        <v>25</v>
      </c>
      <c r="J3" s="563" t="s">
        <v>25</v>
      </c>
      <c r="K3" s="563" t="s">
        <v>25</v>
      </c>
    </row>
    <row r="4" spans="1:11">
      <c r="A4" s="515" t="s">
        <v>87</v>
      </c>
      <c r="B4" s="1090">
        <v>-2219</v>
      </c>
      <c r="C4" s="1087"/>
      <c r="D4" s="1088">
        <v>-2500.0000000000005</v>
      </c>
      <c r="E4" s="1088">
        <v>-2281.9999999999995</v>
      </c>
      <c r="F4" s="1088">
        <v>-2445.9999999999991</v>
      </c>
      <c r="G4" s="1090">
        <v>-2224.9999999999995</v>
      </c>
      <c r="H4" s="1087"/>
      <c r="I4" s="1088">
        <v>-2683.9999999999991</v>
      </c>
      <c r="J4" s="1088">
        <v>-2309.0000000000009</v>
      </c>
      <c r="K4" s="1089">
        <v>-2353</v>
      </c>
    </row>
    <row r="5" spans="1:11">
      <c r="A5" s="518" t="s">
        <v>352</v>
      </c>
      <c r="B5" s="1175" t="s">
        <v>397</v>
      </c>
      <c r="C5" s="1087"/>
      <c r="D5" s="1091">
        <v>86.480076068362692</v>
      </c>
      <c r="E5" s="1091" t="s">
        <v>397</v>
      </c>
      <c r="F5" s="1092">
        <v>11.39401378</v>
      </c>
      <c r="G5" s="1093">
        <v>19.153093810000001</v>
      </c>
      <c r="H5" s="1087"/>
      <c r="I5" s="1091">
        <v>32.751779531307932</v>
      </c>
      <c r="J5" s="1091">
        <v>32.10699958</v>
      </c>
      <c r="K5" s="1092">
        <v>47</v>
      </c>
    </row>
    <row r="6" spans="1:11">
      <c r="A6" s="521" t="s">
        <v>281</v>
      </c>
      <c r="B6" s="1097">
        <v>-2219.01468669</v>
      </c>
      <c r="C6" s="1094"/>
      <c r="D6" s="1095">
        <v>-2413.5199239316375</v>
      </c>
      <c r="E6" s="1095">
        <v>-2282</v>
      </c>
      <c r="F6" s="1096">
        <v>-2435</v>
      </c>
      <c r="G6" s="1097">
        <v>-2205.8469061899996</v>
      </c>
      <c r="H6" s="1094"/>
      <c r="I6" s="1095">
        <v>-2651.2482204686908</v>
      </c>
      <c r="J6" s="1095">
        <v>-2276.893000420001</v>
      </c>
      <c r="K6" s="1096">
        <v>-2306</v>
      </c>
    </row>
    <row r="7" spans="1:11">
      <c r="A7" s="524"/>
      <c r="B7" s="1099"/>
      <c r="C7" s="1094"/>
      <c r="D7" s="1098"/>
      <c r="E7" s="1098"/>
      <c r="F7" s="1099"/>
      <c r="G7" s="1099"/>
      <c r="H7" s="1094"/>
      <c r="I7" s="1098"/>
      <c r="J7" s="1098"/>
      <c r="K7" s="1099"/>
    </row>
    <row r="8" spans="1:11">
      <c r="A8" s="515" t="s">
        <v>50</v>
      </c>
      <c r="B8" s="1090">
        <v>4643.9999999999982</v>
      </c>
      <c r="C8" s="1087"/>
      <c r="D8" s="1088">
        <v>3451.9999999999977</v>
      </c>
      <c r="E8" s="1088">
        <v>3749.9999999999968</v>
      </c>
      <c r="F8" s="1089">
        <v>3903.0000000000005</v>
      </c>
      <c r="G8" s="1090">
        <v>3570</v>
      </c>
      <c r="H8" s="1087"/>
      <c r="I8" s="1088">
        <v>3221.0000000000027</v>
      </c>
      <c r="J8" s="1088">
        <v>3289.9999999999977</v>
      </c>
      <c r="K8" s="1089">
        <v>3707</v>
      </c>
    </row>
    <row r="9" spans="1:11">
      <c r="A9" s="524"/>
      <c r="B9" s="1102"/>
      <c r="C9" s="1100"/>
      <c r="D9" s="1101"/>
      <c r="E9" s="1101"/>
      <c r="F9" s="1102"/>
      <c r="G9" s="1102"/>
      <c r="H9" s="1100"/>
      <c r="I9" s="1101"/>
      <c r="J9" s="1101"/>
      <c r="K9" s="1102"/>
    </row>
    <row r="10" spans="1:11" ht="22.8">
      <c r="A10" s="521" t="s">
        <v>353</v>
      </c>
      <c r="B10" s="1106">
        <v>0.48</v>
      </c>
      <c r="C10" s="1103"/>
      <c r="D10" s="1104">
        <v>0.7</v>
      </c>
      <c r="E10" s="1104">
        <v>0.61</v>
      </c>
      <c r="F10" s="1105">
        <v>0.62</v>
      </c>
      <c r="G10" s="1106">
        <v>0.62</v>
      </c>
      <c r="H10" s="1103"/>
      <c r="I10" s="1104">
        <v>0.82</v>
      </c>
      <c r="J10" s="1104">
        <v>0.69</v>
      </c>
      <c r="K10" s="1105">
        <v>0.62</v>
      </c>
    </row>
    <row r="11" spans="1:11" ht="12" customHeight="1">
      <c r="A11" s="508"/>
      <c r="B11" s="1103"/>
      <c r="C11" s="1103"/>
      <c r="D11" s="1073"/>
      <c r="E11" s="1073"/>
      <c r="F11" s="1103"/>
      <c r="G11" s="1103"/>
      <c r="H11" s="1103"/>
      <c r="I11" s="1073"/>
      <c r="J11" s="1073"/>
      <c r="K11" s="1103"/>
    </row>
    <row r="12" spans="1:11" ht="11.25" customHeight="1">
      <c r="A12" s="552" t="s">
        <v>354</v>
      </c>
      <c r="B12" s="1064"/>
      <c r="C12" s="1085"/>
      <c r="D12" s="1065"/>
      <c r="E12" s="1065"/>
      <c r="F12" s="1086"/>
      <c r="G12" s="1086"/>
      <c r="H12" s="1085"/>
      <c r="I12" s="1066"/>
      <c r="J12" s="1066"/>
      <c r="K12" s="1086"/>
    </row>
    <row r="13" spans="1:11" ht="11.25" customHeight="1">
      <c r="A13" s="549" t="s">
        <v>261</v>
      </c>
      <c r="B13" s="1139">
        <v>821.99999999999829</v>
      </c>
      <c r="C13" s="1067"/>
      <c r="D13" s="1133">
        <v>639.99999999999807</v>
      </c>
      <c r="E13" s="1133">
        <v>1136.999999999997</v>
      </c>
      <c r="F13" s="1136">
        <v>1222.9999999999993</v>
      </c>
      <c r="G13" s="1135">
        <v>1117.9999999999991</v>
      </c>
      <c r="H13" s="1067"/>
      <c r="I13" s="1137">
        <v>215.00000000000097</v>
      </c>
      <c r="J13" s="1137">
        <v>849.99999999999864</v>
      </c>
      <c r="K13" s="1068">
        <v>1297</v>
      </c>
    </row>
    <row r="14" spans="1:11" ht="11.25" customHeight="1">
      <c r="A14" s="550" t="s">
        <v>352</v>
      </c>
      <c r="B14" s="1175" t="s">
        <v>397</v>
      </c>
      <c r="C14" s="1077"/>
      <c r="D14" s="1107">
        <v>86.480076068362692</v>
      </c>
      <c r="E14" s="1107" t="s">
        <v>397</v>
      </c>
      <c r="F14" s="1108">
        <v>11.39401378</v>
      </c>
      <c r="G14" s="1078">
        <v>19.153093810000001</v>
      </c>
      <c r="H14" s="1077"/>
      <c r="I14" s="1079">
        <v>32.751779531307932</v>
      </c>
      <c r="J14" s="1079">
        <v>32.10699958</v>
      </c>
      <c r="K14" s="1108">
        <v>47</v>
      </c>
    </row>
    <row r="15" spans="1:11" ht="25.95" customHeight="1">
      <c r="A15" s="551" t="s">
        <v>356</v>
      </c>
      <c r="B15" s="1110">
        <v>821.98531330999822</v>
      </c>
      <c r="C15" s="1094"/>
      <c r="D15" s="1167">
        <v>726.48007606836075</v>
      </c>
      <c r="E15" s="1167">
        <v>1137</v>
      </c>
      <c r="F15" s="1096">
        <v>1234.3940137799991</v>
      </c>
      <c r="G15" s="1097">
        <v>1137.1530938099988</v>
      </c>
      <c r="H15" s="1094"/>
      <c r="I15" s="1095">
        <v>247.7517795313089</v>
      </c>
      <c r="J15" s="1095">
        <v>882.10699957999873</v>
      </c>
      <c r="K15" s="1057">
        <v>1344</v>
      </c>
    </row>
    <row r="16" spans="1:11" ht="11.25" customHeight="1">
      <c r="A16" s="553"/>
      <c r="B16" s="1140"/>
      <c r="C16" s="1083"/>
      <c r="D16" s="1111"/>
      <c r="E16" s="1111"/>
      <c r="F16" s="1083"/>
      <c r="G16" s="1083"/>
      <c r="H16" s="1083"/>
      <c r="I16" s="1112"/>
      <c r="J16" s="1112"/>
      <c r="K16" s="1083"/>
    </row>
    <row r="17" spans="1:11" ht="22.8">
      <c r="A17" s="552" t="s">
        <v>357</v>
      </c>
      <c r="B17" s="1141"/>
      <c r="C17" s="1083"/>
      <c r="D17" s="1113"/>
      <c r="E17" s="1113"/>
      <c r="F17" s="1114"/>
      <c r="G17" s="1114"/>
      <c r="H17" s="1083"/>
      <c r="I17" s="1115"/>
      <c r="J17" s="1115"/>
      <c r="K17" s="1114"/>
    </row>
    <row r="18" spans="1:11" ht="11.25" customHeight="1">
      <c r="A18" s="554" t="s">
        <v>336</v>
      </c>
      <c r="B18" s="1166">
        <v>528.99999999999829</v>
      </c>
      <c r="C18" s="1163"/>
      <c r="D18" s="1164">
        <v>396.99999999999778</v>
      </c>
      <c r="E18" s="1164">
        <v>798.99999999999568</v>
      </c>
      <c r="F18" s="1165">
        <v>831.99999999999886</v>
      </c>
      <c r="G18" s="1166">
        <v>787.99999999999909</v>
      </c>
      <c r="H18" s="1163"/>
      <c r="I18" s="1164">
        <v>-21</v>
      </c>
      <c r="J18" s="1164">
        <v>687</v>
      </c>
      <c r="K18" s="1165">
        <v>926</v>
      </c>
    </row>
    <row r="19" spans="1:11" ht="11.25" customHeight="1">
      <c r="A19" s="561" t="s">
        <v>358</v>
      </c>
      <c r="B19" s="1169">
        <v>0</v>
      </c>
      <c r="C19" s="1069"/>
      <c r="D19" s="1168">
        <v>63.879857840864304</v>
      </c>
      <c r="E19" s="1168">
        <v>2</v>
      </c>
      <c r="F19" s="1176">
        <v>7.5180664386999752</v>
      </c>
      <c r="G19" s="1169">
        <v>16</v>
      </c>
      <c r="H19" s="1069"/>
      <c r="I19" s="1168">
        <v>34</v>
      </c>
      <c r="J19" s="1168">
        <v>26</v>
      </c>
      <c r="K19" s="1177">
        <v>34</v>
      </c>
    </row>
    <row r="20" spans="1:11" ht="22.8">
      <c r="A20" s="551" t="s">
        <v>359</v>
      </c>
      <c r="B20" s="1173">
        <v>528.99105538559832</v>
      </c>
      <c r="C20" s="1170"/>
      <c r="D20" s="1171">
        <v>460.87985784086209</v>
      </c>
      <c r="E20" s="1171">
        <v>800.7862743454549</v>
      </c>
      <c r="F20" s="1172">
        <v>839.51806643869884</v>
      </c>
      <c r="G20" s="1173">
        <v>803.85309380999922</v>
      </c>
      <c r="H20" s="1170"/>
      <c r="I20" s="1171">
        <v>13</v>
      </c>
      <c r="J20" s="1171">
        <v>713</v>
      </c>
      <c r="K20" s="1172">
        <v>960</v>
      </c>
    </row>
    <row r="21" spans="1:11" ht="11.25" customHeight="1">
      <c r="A21" s="514"/>
      <c r="B21" s="1170"/>
      <c r="C21" s="1170"/>
      <c r="D21" s="1116"/>
      <c r="E21" s="1116"/>
      <c r="F21" s="1170"/>
      <c r="G21" s="1170"/>
      <c r="H21" s="1170"/>
      <c r="I21" s="1116"/>
      <c r="J21" s="1116"/>
      <c r="K21" s="1170"/>
    </row>
    <row r="22" spans="1:11">
      <c r="A22" s="535" t="s">
        <v>368</v>
      </c>
      <c r="B22" s="1132" t="s">
        <v>263</v>
      </c>
      <c r="C22" s="1138"/>
      <c r="D22" s="1132" t="s">
        <v>263</v>
      </c>
      <c r="E22" s="1132" t="s">
        <v>263</v>
      </c>
      <c r="F22" s="1132" t="s">
        <v>263</v>
      </c>
      <c r="G22" s="1132" t="s">
        <v>263</v>
      </c>
      <c r="H22" s="1138"/>
      <c r="I22" s="1132" t="s">
        <v>263</v>
      </c>
      <c r="J22" s="1132" t="s">
        <v>263</v>
      </c>
      <c r="K22" s="1132" t="s">
        <v>263</v>
      </c>
    </row>
    <row r="23" spans="1:11">
      <c r="A23" s="554" t="s">
        <v>369</v>
      </c>
      <c r="B23" s="1118">
        <v>33000</v>
      </c>
      <c r="C23" s="1117"/>
      <c r="D23" s="1060">
        <v>31900</v>
      </c>
      <c r="E23" s="1060">
        <v>33300</v>
      </c>
      <c r="F23" s="1060">
        <v>32100</v>
      </c>
      <c r="G23" s="1059">
        <v>31600</v>
      </c>
      <c r="H23" s="1117"/>
      <c r="I23" s="1070">
        <v>32.4</v>
      </c>
      <c r="J23" s="1070">
        <v>32.5</v>
      </c>
      <c r="K23" s="1070">
        <v>32.799999999999997</v>
      </c>
    </row>
    <row r="24" spans="1:11">
      <c r="A24" s="561" t="s">
        <v>362</v>
      </c>
      <c r="B24" s="1142">
        <v>-700</v>
      </c>
      <c r="C24" s="1131"/>
      <c r="D24" s="1062">
        <v>-1000</v>
      </c>
      <c r="E24" s="1062">
        <v>-1100</v>
      </c>
      <c r="F24" s="1062">
        <v>-1000</v>
      </c>
      <c r="G24" s="1061">
        <v>-1100</v>
      </c>
      <c r="H24" s="1131"/>
      <c r="I24" s="1120">
        <v>-1.1000000000000001</v>
      </c>
      <c r="J24" s="1120">
        <v>-1.3</v>
      </c>
      <c r="K24" s="1120">
        <v>-1.4</v>
      </c>
    </row>
    <row r="25" spans="1:11" ht="11.25" customHeight="1">
      <c r="A25" s="513" t="s">
        <v>370</v>
      </c>
      <c r="B25" s="1124">
        <v>32332.083895265274</v>
      </c>
      <c r="C25" s="1121"/>
      <c r="D25" s="1122">
        <v>30900.697507567365</v>
      </c>
      <c r="E25" s="1122">
        <v>32151.102137715505</v>
      </c>
      <c r="F25" s="1123">
        <v>31115.198079764486</v>
      </c>
      <c r="G25" s="1143">
        <v>30452.118644383223</v>
      </c>
      <c r="H25" s="1121"/>
      <c r="I25" s="1125">
        <v>31289.781341632632</v>
      </c>
      <c r="J25" s="1125">
        <v>31129.213024833942</v>
      </c>
      <c r="K25" s="1123">
        <v>31400</v>
      </c>
    </row>
    <row r="26" spans="1:11">
      <c r="A26" s="512"/>
      <c r="B26" s="1127"/>
      <c r="C26" s="1170"/>
      <c r="D26" s="1126"/>
      <c r="E26" s="1126"/>
      <c r="F26" s="1127"/>
      <c r="G26" s="1127"/>
      <c r="H26" s="1170"/>
      <c r="I26" s="1126"/>
      <c r="J26" s="1126"/>
      <c r="K26" s="1127"/>
    </row>
    <row r="27" spans="1:11" ht="22.8">
      <c r="A27" s="545" t="s">
        <v>371</v>
      </c>
      <c r="B27" s="1129">
        <v>6.5000000000000002E-2</v>
      </c>
      <c r="C27" s="1071"/>
      <c r="D27" s="1058">
        <v>0.06</v>
      </c>
      <c r="E27" s="1058">
        <v>0.1</v>
      </c>
      <c r="F27" s="1335">
        <v>0.108</v>
      </c>
      <c r="G27" s="1063">
        <v>0.106</v>
      </c>
      <c r="H27" s="1071"/>
      <c r="I27" s="1058">
        <v>2E-3</v>
      </c>
      <c r="J27" s="1058">
        <v>9.1999999999999998E-2</v>
      </c>
      <c r="K27" s="1072">
        <v>0.122</v>
      </c>
    </row>
    <row r="28" spans="1:11" ht="11.25" customHeight="1">
      <c r="A28" s="14"/>
      <c r="B28" s="74"/>
      <c r="C28" s="486"/>
      <c r="D28" s="74"/>
      <c r="E28" s="74"/>
      <c r="F28" s="74"/>
      <c r="G28" s="74"/>
      <c r="H28" s="75"/>
      <c r="I28" s="74"/>
      <c r="J28" s="74"/>
      <c r="K28" s="74"/>
    </row>
    <row r="29" spans="1:11" s="123" customFormat="1" ht="11.25" customHeight="1">
      <c r="A29" s="14"/>
      <c r="B29" s="74"/>
      <c r="C29" s="486"/>
      <c r="D29" s="74"/>
      <c r="E29" s="74"/>
      <c r="F29" s="74"/>
      <c r="G29" s="74"/>
      <c r="H29" s="75"/>
      <c r="I29" s="74"/>
      <c r="J29" s="74"/>
      <c r="K29" s="74"/>
    </row>
    <row r="30" spans="1:11" ht="15.6">
      <c r="A30" s="1652" t="s">
        <v>147</v>
      </c>
      <c r="B30" s="1652" t="s">
        <v>24</v>
      </c>
      <c r="C30" s="1652"/>
      <c r="D30" s="1652" t="s">
        <v>24</v>
      </c>
      <c r="E30" s="86"/>
      <c r="F30" s="86"/>
      <c r="G30" s="86"/>
      <c r="H30" s="705"/>
      <c r="I30" s="86"/>
      <c r="J30" s="86"/>
      <c r="K30" s="86"/>
    </row>
    <row r="31" spans="1:11">
      <c r="A31" s="108"/>
      <c r="B31" s="541" t="s">
        <v>274</v>
      </c>
      <c r="C31" s="541"/>
      <c r="D31" s="541" t="s">
        <v>159</v>
      </c>
      <c r="E31" s="541" t="s">
        <v>152</v>
      </c>
      <c r="F31" s="541" t="s">
        <v>52</v>
      </c>
      <c r="G31" s="541" t="s">
        <v>53</v>
      </c>
      <c r="H31" s="541"/>
      <c r="I31" s="541" t="s">
        <v>54</v>
      </c>
      <c r="J31" s="541" t="s">
        <v>55</v>
      </c>
      <c r="K31" s="541" t="s">
        <v>56</v>
      </c>
    </row>
    <row r="32" spans="1:11">
      <c r="A32" s="552" t="s">
        <v>351</v>
      </c>
      <c r="B32" s="562" t="s">
        <v>25</v>
      </c>
      <c r="C32" s="565"/>
      <c r="D32" s="706" t="s">
        <v>25</v>
      </c>
      <c r="E32" s="563" t="s">
        <v>25</v>
      </c>
      <c r="F32" s="563" t="s">
        <v>25</v>
      </c>
      <c r="G32" s="563" t="s">
        <v>25</v>
      </c>
      <c r="H32" s="565"/>
      <c r="I32" s="707" t="s">
        <v>25</v>
      </c>
      <c r="J32" s="563" t="s">
        <v>25</v>
      </c>
      <c r="K32" s="563" t="s">
        <v>25</v>
      </c>
    </row>
    <row r="33" spans="1:11">
      <c r="A33" s="515" t="s">
        <v>87</v>
      </c>
      <c r="B33" s="1090">
        <v>-1689.9999999999998</v>
      </c>
      <c r="C33" s="1087"/>
      <c r="D33" s="1089">
        <v>-1926.0000000000007</v>
      </c>
      <c r="E33" s="1088">
        <v>-1715.9999999999998</v>
      </c>
      <c r="F33" s="1089">
        <v>-1866.9999999999989</v>
      </c>
      <c r="G33" s="1090">
        <v>-1638</v>
      </c>
      <c r="H33" s="1087"/>
      <c r="I33" s="1089">
        <v>-2046</v>
      </c>
      <c r="J33" s="1088">
        <v>-1744</v>
      </c>
      <c r="K33" s="1089">
        <v>-1773</v>
      </c>
    </row>
    <row r="34" spans="1:11">
      <c r="A34" s="518" t="s">
        <v>352</v>
      </c>
      <c r="B34" s="1093" t="s">
        <v>397</v>
      </c>
      <c r="C34" s="1087"/>
      <c r="D34" s="1092">
        <v>78.961357668362709</v>
      </c>
      <c r="E34" s="1091">
        <v>4</v>
      </c>
      <c r="F34" s="1092">
        <v>6.89066928</v>
      </c>
      <c r="G34" s="1093">
        <v>19</v>
      </c>
      <c r="H34" s="1087"/>
      <c r="I34" s="1092">
        <v>23</v>
      </c>
      <c r="J34" s="1091">
        <v>32</v>
      </c>
      <c r="K34" s="1092" t="s">
        <v>397</v>
      </c>
    </row>
    <row r="35" spans="1:11">
      <c r="A35" s="521" t="s">
        <v>281</v>
      </c>
      <c r="B35" s="1097">
        <v>-1689.6248536899998</v>
      </c>
      <c r="C35" s="1094"/>
      <c r="D35" s="1096">
        <v>-1847.0386423316379</v>
      </c>
      <c r="E35" s="1095">
        <v>-1712</v>
      </c>
      <c r="F35" s="1096">
        <v>-1860</v>
      </c>
      <c r="G35" s="1097">
        <v>-1619</v>
      </c>
      <c r="H35" s="1094"/>
      <c r="I35" s="1096">
        <v>-2023</v>
      </c>
      <c r="J35" s="1095">
        <v>-1712</v>
      </c>
      <c r="K35" s="1096">
        <v>-1773</v>
      </c>
    </row>
    <row r="36" spans="1:11">
      <c r="A36" s="524"/>
      <c r="B36" s="1099"/>
      <c r="C36" s="1094"/>
      <c r="D36" s="1099"/>
      <c r="E36" s="1098"/>
      <c r="F36" s="1099"/>
      <c r="G36" s="1099"/>
      <c r="H36" s="1094"/>
      <c r="I36" s="1099"/>
      <c r="J36" s="1098"/>
      <c r="K36" s="1099"/>
    </row>
    <row r="37" spans="1:11">
      <c r="A37" s="515" t="s">
        <v>50</v>
      </c>
      <c r="B37" s="1090">
        <v>3616.9999999999977</v>
      </c>
      <c r="C37" s="1087"/>
      <c r="D37" s="1089">
        <v>2313.9999999999982</v>
      </c>
      <c r="E37" s="1088">
        <v>2616.9999999999973</v>
      </c>
      <c r="F37" s="1089">
        <v>2795</v>
      </c>
      <c r="G37" s="1090">
        <v>2505</v>
      </c>
      <c r="H37" s="1087"/>
      <c r="I37" s="1089">
        <v>2151</v>
      </c>
      <c r="J37" s="1088">
        <v>2235</v>
      </c>
      <c r="K37" s="1089">
        <v>2580</v>
      </c>
    </row>
    <row r="38" spans="1:11">
      <c r="A38" s="524"/>
      <c r="B38" s="1102"/>
      <c r="C38" s="1100"/>
      <c r="D38" s="1102"/>
      <c r="E38" s="1101"/>
      <c r="F38" s="1102"/>
      <c r="G38" s="1102"/>
      <c r="H38" s="1100"/>
      <c r="I38" s="1102"/>
      <c r="J38" s="1101"/>
      <c r="K38" s="1102"/>
    </row>
    <row r="39" spans="1:11" ht="22.8">
      <c r="A39" s="521" t="s">
        <v>353</v>
      </c>
      <c r="B39" s="1106">
        <v>0.47</v>
      </c>
      <c r="C39" s="1103"/>
      <c r="D39" s="1105">
        <v>0.8</v>
      </c>
      <c r="E39" s="1104">
        <v>0.65</v>
      </c>
      <c r="F39" s="1105">
        <v>0.67</v>
      </c>
      <c r="G39" s="1106">
        <v>0.65</v>
      </c>
      <c r="H39" s="1103"/>
      <c r="I39" s="1105">
        <v>0.94</v>
      </c>
      <c r="J39" s="1104">
        <v>0.77</v>
      </c>
      <c r="K39" s="1105">
        <v>0.69</v>
      </c>
    </row>
    <row r="40" spans="1:11" ht="12" customHeight="1">
      <c r="A40" s="508"/>
      <c r="B40" s="1103"/>
      <c r="C40" s="1103"/>
      <c r="D40" s="1103"/>
      <c r="E40" s="1073"/>
      <c r="F40" s="1103"/>
      <c r="G40" s="1103"/>
      <c r="H40" s="1103"/>
      <c r="I40" s="1103"/>
      <c r="J40" s="1073"/>
      <c r="K40" s="1103"/>
    </row>
    <row r="41" spans="1:11">
      <c r="A41" s="552" t="s">
        <v>354</v>
      </c>
      <c r="B41" s="1084"/>
      <c r="C41" s="1085"/>
      <c r="D41" s="1144"/>
      <c r="E41" s="1086"/>
      <c r="F41" s="1086"/>
      <c r="G41" s="1086"/>
      <c r="H41" s="1085"/>
      <c r="I41" s="1145"/>
      <c r="J41" s="1086"/>
      <c r="K41" s="1086"/>
    </row>
    <row r="42" spans="1:11" ht="11.25" customHeight="1">
      <c r="A42" s="549" t="s">
        <v>261</v>
      </c>
      <c r="B42" s="1139">
        <v>1202.9999999999975</v>
      </c>
      <c r="C42" s="1080"/>
      <c r="D42" s="1146">
        <v>358.9999999999971</v>
      </c>
      <c r="E42" s="1133">
        <v>881.99999999999739</v>
      </c>
      <c r="F42" s="1136">
        <v>887.00000000000011</v>
      </c>
      <c r="G42" s="1135">
        <v>826.99999999999943</v>
      </c>
      <c r="H42" s="1080"/>
      <c r="I42" s="1136">
        <v>85.000000000000725</v>
      </c>
      <c r="J42" s="1137">
        <v>497.99999999999949</v>
      </c>
      <c r="K42" s="1137">
        <v>835</v>
      </c>
    </row>
    <row r="43" spans="1:11" ht="11.25" customHeight="1">
      <c r="A43" s="550" t="s">
        <v>352</v>
      </c>
      <c r="B43" s="1109" t="s">
        <v>397</v>
      </c>
      <c r="C43" s="1077"/>
      <c r="D43" s="1134">
        <v>78.961357668362709</v>
      </c>
      <c r="E43" s="1107">
        <v>4</v>
      </c>
      <c r="F43" s="1108">
        <v>6.8906692799998837</v>
      </c>
      <c r="G43" s="1078">
        <v>18.661719810000001</v>
      </c>
      <c r="H43" s="1077"/>
      <c r="I43" s="1177">
        <v>23.239047739999997</v>
      </c>
      <c r="J43" s="1079">
        <v>32.279215579999999</v>
      </c>
      <c r="K43" s="1079" t="s">
        <v>397</v>
      </c>
    </row>
    <row r="44" spans="1:11" ht="22.95" customHeight="1">
      <c r="A44" s="551" t="s">
        <v>356</v>
      </c>
      <c r="B44" s="1097">
        <v>1203.3751463099975</v>
      </c>
      <c r="C44" s="1094"/>
      <c r="D44" s="1096">
        <v>437.96135766835988</v>
      </c>
      <c r="E44" s="1167">
        <v>886</v>
      </c>
      <c r="F44" s="1096">
        <v>893.89066928</v>
      </c>
      <c r="G44" s="1097">
        <v>845.66171980999945</v>
      </c>
      <c r="H44" s="1094"/>
      <c r="I44" s="1096">
        <v>108.23904774000071</v>
      </c>
      <c r="J44" s="1095">
        <v>530.27921557999946</v>
      </c>
      <c r="K44" s="1095">
        <v>835</v>
      </c>
    </row>
    <row r="45" spans="1:11" ht="11.25" customHeight="1">
      <c r="A45" s="553"/>
      <c r="B45" s="1140"/>
      <c r="C45" s="1083"/>
      <c r="D45" s="1147"/>
      <c r="E45" s="1111"/>
      <c r="F45" s="1083"/>
      <c r="G45" s="1083"/>
      <c r="H45" s="1083"/>
      <c r="I45" s="1148"/>
      <c r="J45" s="1112"/>
      <c r="K45" s="1112"/>
    </row>
    <row r="46" spans="1:11" ht="22.8">
      <c r="A46" s="552" t="s">
        <v>357</v>
      </c>
      <c r="B46" s="1141"/>
      <c r="C46" s="1083"/>
      <c r="D46" s="1149"/>
      <c r="E46" s="1113"/>
      <c r="F46" s="1114"/>
      <c r="G46" s="1114"/>
      <c r="H46" s="1083"/>
      <c r="I46" s="1150"/>
      <c r="J46" s="1115"/>
      <c r="K46" s="1115"/>
    </row>
    <row r="47" spans="1:11" ht="11.25" customHeight="1">
      <c r="A47" s="554" t="s">
        <v>336</v>
      </c>
      <c r="B47" s="1166">
        <v>819.99999999999841</v>
      </c>
      <c r="C47" s="1163"/>
      <c r="D47" s="1165">
        <v>192.99999999999707</v>
      </c>
      <c r="E47" s="1164">
        <v>608.99999999999659</v>
      </c>
      <c r="F47" s="1165">
        <v>595.99999999999966</v>
      </c>
      <c r="G47" s="1166">
        <v>582</v>
      </c>
      <c r="H47" s="1163"/>
      <c r="I47" s="1165">
        <v>-84</v>
      </c>
      <c r="J47" s="1164">
        <v>431</v>
      </c>
      <c r="K47" s="1164">
        <v>600</v>
      </c>
    </row>
    <row r="48" spans="1:11" ht="11.25" customHeight="1">
      <c r="A48" s="561" t="s">
        <v>358</v>
      </c>
      <c r="B48" s="1169">
        <v>0</v>
      </c>
      <c r="C48" s="1163"/>
      <c r="D48" s="1177">
        <v>58.411244857664286</v>
      </c>
      <c r="E48" s="1168">
        <v>5</v>
      </c>
      <c r="F48" s="1176">
        <v>5</v>
      </c>
      <c r="G48" s="1169">
        <v>16</v>
      </c>
      <c r="H48" s="1163"/>
      <c r="I48" s="1177">
        <v>27</v>
      </c>
      <c r="J48" s="1168">
        <v>25</v>
      </c>
      <c r="K48" s="1168">
        <v>0</v>
      </c>
    </row>
    <row r="49" spans="1:12" ht="34.200000000000003">
      <c r="A49" s="551" t="s">
        <v>372</v>
      </c>
      <c r="B49" s="1173">
        <v>820.2945932055984</v>
      </c>
      <c r="C49" s="1170"/>
      <c r="D49" s="1172">
        <v>251.41124485766136</v>
      </c>
      <c r="E49" s="1171">
        <v>613.64999955975588</v>
      </c>
      <c r="F49" s="1172">
        <v>601</v>
      </c>
      <c r="G49" s="1173">
        <v>598.36171980999995</v>
      </c>
      <c r="H49" s="1170"/>
      <c r="I49" s="1172">
        <v>-56.995966227234021</v>
      </c>
      <c r="J49" s="1171">
        <v>455.80389754338182</v>
      </c>
      <c r="K49" s="1171">
        <v>600</v>
      </c>
    </row>
    <row r="50" spans="1:12" ht="11.25" customHeight="1">
      <c r="A50" s="514"/>
      <c r="B50" s="1074"/>
      <c r="C50" s="1170"/>
      <c r="D50" s="1074"/>
      <c r="E50" s="1116"/>
      <c r="F50" s="1170"/>
      <c r="G50" s="1170"/>
      <c r="H50" s="1170"/>
      <c r="I50" s="1170"/>
      <c r="J50" s="1116"/>
      <c r="K50" s="1116"/>
    </row>
    <row r="51" spans="1:12">
      <c r="A51" s="535" t="s">
        <v>368</v>
      </c>
      <c r="B51" s="1132" t="s">
        <v>263</v>
      </c>
      <c r="C51" s="1138"/>
      <c r="D51" s="1132" t="s">
        <v>263</v>
      </c>
      <c r="E51" s="1132" t="s">
        <v>263</v>
      </c>
      <c r="F51" s="1132" t="s">
        <v>263</v>
      </c>
      <c r="G51" s="1132" t="s">
        <v>263</v>
      </c>
      <c r="H51" s="1138"/>
      <c r="I51" s="1132" t="s">
        <v>263</v>
      </c>
      <c r="J51" s="1132" t="s">
        <v>263</v>
      </c>
      <c r="K51" s="1132" t="s">
        <v>263</v>
      </c>
    </row>
    <row r="52" spans="1:12">
      <c r="A52" s="554" t="s">
        <v>373</v>
      </c>
      <c r="B52" s="1118">
        <v>27200</v>
      </c>
      <c r="C52" s="1117"/>
      <c r="D52" s="1151">
        <v>25900</v>
      </c>
      <c r="E52" s="1075">
        <v>26900</v>
      </c>
      <c r="F52" s="1075">
        <v>25800</v>
      </c>
      <c r="G52" s="1118">
        <v>25200</v>
      </c>
      <c r="H52" s="1117"/>
      <c r="I52" s="1152">
        <v>25.986736424934801</v>
      </c>
      <c r="J52" s="1081">
        <v>26.2</v>
      </c>
      <c r="K52" s="1081">
        <v>26.7</v>
      </c>
    </row>
    <row r="53" spans="1:12">
      <c r="A53" s="561" t="s">
        <v>362</v>
      </c>
      <c r="B53" s="1142">
        <v>0</v>
      </c>
      <c r="C53" s="1131"/>
      <c r="D53" s="1119">
        <v>-100</v>
      </c>
      <c r="E53" s="1082" t="s">
        <v>397</v>
      </c>
      <c r="F53" s="1082" t="s">
        <v>397</v>
      </c>
      <c r="G53" s="1076">
        <v>-0.1</v>
      </c>
      <c r="H53" s="1131"/>
      <c r="I53" s="1120" t="s">
        <v>397</v>
      </c>
      <c r="J53" s="1082">
        <v>-0.2</v>
      </c>
      <c r="K53" s="1082">
        <v>-0.3</v>
      </c>
      <c r="L53" s="122"/>
    </row>
    <row r="54" spans="1:12" ht="11.25" customHeight="1">
      <c r="A54" s="513" t="s">
        <v>374</v>
      </c>
      <c r="B54" s="1124">
        <v>27184.286737211063</v>
      </c>
      <c r="C54" s="1121"/>
      <c r="D54" s="1153">
        <v>25827.793645787413</v>
      </c>
      <c r="E54" s="1122">
        <v>26900</v>
      </c>
      <c r="F54" s="1123">
        <v>25823.570478726699</v>
      </c>
      <c r="G54" s="1143">
        <v>25087.922636579551</v>
      </c>
      <c r="H54" s="1121"/>
      <c r="I54" s="1123">
        <v>25986.736424934759</v>
      </c>
      <c r="J54" s="1125">
        <v>25871.782278996834</v>
      </c>
      <c r="K54" s="1125">
        <v>26400</v>
      </c>
    </row>
    <row r="55" spans="1:12">
      <c r="A55" s="512"/>
      <c r="B55" s="1127"/>
      <c r="C55" s="1170"/>
      <c r="D55" s="1127"/>
      <c r="E55" s="1126"/>
      <c r="F55" s="1127"/>
      <c r="G55" s="1127"/>
      <c r="H55" s="1170"/>
      <c r="I55" s="1127"/>
      <c r="J55" s="1126"/>
      <c r="K55" s="1126"/>
    </row>
    <row r="56" spans="1:12" ht="23.55" customHeight="1">
      <c r="A56" s="545" t="s">
        <v>371</v>
      </c>
      <c r="B56" s="1129">
        <v>0.121</v>
      </c>
      <c r="C56" s="1154"/>
      <c r="D56" s="1130">
        <v>3.9E-2</v>
      </c>
      <c r="E56" s="1128">
        <v>9.1999999999999998E-2</v>
      </c>
      <c r="F56" s="1130">
        <v>9.2999999999999999E-2</v>
      </c>
      <c r="G56" s="1129">
        <v>9.5000000000000001E-2</v>
      </c>
      <c r="H56" s="1154"/>
      <c r="I56" s="1130">
        <v>-8.9999999999999993E-3</v>
      </c>
      <c r="J56" s="1128">
        <v>7.0000000000000007E-2</v>
      </c>
      <c r="K56" s="1128">
        <v>9.0999999999999998E-2</v>
      </c>
    </row>
    <row r="57" spans="1:12" ht="11.25" customHeight="1"/>
    <row r="58" spans="1:12" ht="13.2" customHeight="1">
      <c r="A58" s="1337"/>
      <c r="B58" s="1337"/>
      <c r="C58" s="86"/>
      <c r="D58" s="86"/>
      <c r="E58" s="86"/>
      <c r="F58" s="86"/>
      <c r="G58" s="86"/>
      <c r="H58" s="86"/>
      <c r="I58" s="86"/>
      <c r="J58" s="86"/>
      <c r="K58" s="86"/>
    </row>
    <row r="59" spans="1:12" ht="15" customHeight="1">
      <c r="A59" s="1652" t="s">
        <v>148</v>
      </c>
      <c r="B59" s="1652" t="s">
        <v>24</v>
      </c>
      <c r="C59" s="86"/>
      <c r="D59" s="86"/>
      <c r="E59" s="86"/>
      <c r="F59" s="86"/>
      <c r="G59" s="86"/>
      <c r="H59" s="86"/>
      <c r="I59" s="86"/>
      <c r="J59" s="86"/>
      <c r="K59" s="86"/>
    </row>
    <row r="60" spans="1:12">
      <c r="A60" s="108"/>
      <c r="B60" s="541" t="s">
        <v>274</v>
      </c>
      <c r="C60" s="541"/>
      <c r="D60" s="541" t="s">
        <v>159</v>
      </c>
      <c r="E60" s="541" t="s">
        <v>152</v>
      </c>
      <c r="F60" s="541" t="s">
        <v>52</v>
      </c>
      <c r="G60" s="541" t="s">
        <v>53</v>
      </c>
      <c r="H60" s="541"/>
      <c r="I60" s="541" t="s">
        <v>54</v>
      </c>
      <c r="J60" s="541" t="s">
        <v>55</v>
      </c>
      <c r="K60" s="541" t="s">
        <v>56</v>
      </c>
    </row>
    <row r="61" spans="1:12">
      <c r="A61" s="552" t="s">
        <v>351</v>
      </c>
      <c r="B61" s="562" t="s">
        <v>25</v>
      </c>
      <c r="C61" s="565"/>
      <c r="D61" s="563" t="s">
        <v>25</v>
      </c>
      <c r="E61" s="563" t="s">
        <v>25</v>
      </c>
      <c r="F61" s="563" t="s">
        <v>25</v>
      </c>
      <c r="G61" s="563" t="s">
        <v>25</v>
      </c>
      <c r="H61" s="565"/>
      <c r="I61" s="563" t="s">
        <v>25</v>
      </c>
      <c r="J61" s="563" t="s">
        <v>25</v>
      </c>
      <c r="K61" s="563" t="s">
        <v>25</v>
      </c>
    </row>
    <row r="62" spans="1:12">
      <c r="A62" s="515" t="s">
        <v>87</v>
      </c>
      <c r="B62" s="1090">
        <v>-529.00000000000011</v>
      </c>
      <c r="C62" s="1087"/>
      <c r="D62" s="1089">
        <v>-573.99999999999909</v>
      </c>
      <c r="E62" s="1088">
        <v>-566.37514777007686</v>
      </c>
      <c r="F62" s="1088">
        <v>-579.00000000000034</v>
      </c>
      <c r="G62" s="1090">
        <v>-587</v>
      </c>
      <c r="H62" s="1087"/>
      <c r="I62" s="1089">
        <v>-638</v>
      </c>
      <c r="J62" s="1088">
        <v>-565</v>
      </c>
      <c r="K62" s="1089">
        <v>-580</v>
      </c>
    </row>
    <row r="63" spans="1:12">
      <c r="A63" s="518" t="s">
        <v>352</v>
      </c>
      <c r="B63" s="1093" t="s">
        <v>397</v>
      </c>
      <c r="C63" s="1087"/>
      <c r="D63" s="1092">
        <v>6.5187184</v>
      </c>
      <c r="E63" s="1091">
        <v>-3.6296855881250418</v>
      </c>
      <c r="F63" s="1092">
        <v>3.5033444999999999</v>
      </c>
      <c r="G63" s="1093" t="s">
        <v>397</v>
      </c>
      <c r="H63" s="1087"/>
      <c r="I63" s="1092">
        <v>10</v>
      </c>
      <c r="J63" s="1091" t="s">
        <v>397</v>
      </c>
      <c r="K63" s="1092">
        <v>47</v>
      </c>
    </row>
    <row r="64" spans="1:12">
      <c r="A64" s="521" t="s">
        <v>281</v>
      </c>
      <c r="B64" s="1097">
        <v>-529.38983300000007</v>
      </c>
      <c r="C64" s="1094"/>
      <c r="D64" s="1096">
        <v>-567.48128159999919</v>
      </c>
      <c r="E64" s="1095">
        <v>-570.00483335820184</v>
      </c>
      <c r="F64" s="1096">
        <v>-575</v>
      </c>
      <c r="G64" s="1097">
        <v>-587</v>
      </c>
      <c r="H64" s="1094"/>
      <c r="I64" s="1096">
        <v>-628</v>
      </c>
      <c r="J64" s="1095">
        <v>-565</v>
      </c>
      <c r="K64" s="1096">
        <v>-533</v>
      </c>
    </row>
    <row r="65" spans="1:11">
      <c r="A65" s="524"/>
      <c r="B65" s="1099"/>
      <c r="C65" s="1094"/>
      <c r="D65" s="1099"/>
      <c r="E65" s="1098"/>
      <c r="F65" s="1099"/>
      <c r="G65" s="1099"/>
      <c r="H65" s="1094"/>
      <c r="I65" s="1099"/>
      <c r="J65" s="1098"/>
      <c r="K65" s="1099"/>
    </row>
    <row r="66" spans="1:11">
      <c r="A66" s="515" t="s">
        <v>50</v>
      </c>
      <c r="B66" s="1090">
        <v>1027</v>
      </c>
      <c r="C66" s="1087"/>
      <c r="D66" s="1089">
        <v>1137.9999999999998</v>
      </c>
      <c r="E66" s="1088">
        <v>1132.6470195034624</v>
      </c>
      <c r="F66" s="1089">
        <v>1108</v>
      </c>
      <c r="G66" s="1090">
        <v>1065</v>
      </c>
      <c r="H66" s="1087"/>
      <c r="I66" s="1089">
        <v>1070</v>
      </c>
      <c r="J66" s="1088">
        <v>1055</v>
      </c>
      <c r="K66" s="1089">
        <v>1127</v>
      </c>
    </row>
    <row r="67" spans="1:11">
      <c r="A67" s="524"/>
      <c r="B67" s="1102"/>
      <c r="C67" s="1100"/>
      <c r="D67" s="1102"/>
      <c r="E67" s="1101"/>
      <c r="F67" s="1102"/>
      <c r="G67" s="1102"/>
      <c r="H67" s="1100"/>
      <c r="I67" s="1102"/>
      <c r="J67" s="1101"/>
      <c r="K67" s="1102"/>
    </row>
    <row r="68" spans="1:11" ht="22.8">
      <c r="A68" s="521" t="s">
        <v>353</v>
      </c>
      <c r="B68" s="1106">
        <v>0.52</v>
      </c>
      <c r="C68" s="1103"/>
      <c r="D68" s="1105">
        <v>0.5</v>
      </c>
      <c r="E68" s="1104">
        <v>0.5</v>
      </c>
      <c r="F68" s="1105">
        <v>0.52</v>
      </c>
      <c r="G68" s="1106">
        <v>0.55000000000000004</v>
      </c>
      <c r="H68" s="1103"/>
      <c r="I68" s="1105">
        <v>0.59</v>
      </c>
      <c r="J68" s="1104">
        <v>0.54</v>
      </c>
      <c r="K68" s="1105">
        <v>0.47</v>
      </c>
    </row>
    <row r="69" spans="1:11" ht="12" customHeight="1">
      <c r="A69" s="553"/>
      <c r="B69" s="1155"/>
      <c r="C69" s="1085"/>
      <c r="D69" s="1156"/>
      <c r="E69" s="1085"/>
      <c r="F69" s="1085"/>
      <c r="G69" s="1085"/>
      <c r="H69" s="1085"/>
      <c r="I69" s="1157"/>
      <c r="J69" s="1085"/>
      <c r="K69" s="1085"/>
    </row>
    <row r="70" spans="1:11">
      <c r="A70" s="552" t="s">
        <v>354</v>
      </c>
      <c r="B70" s="1084"/>
      <c r="C70" s="1085"/>
      <c r="D70" s="1144"/>
      <c r="E70" s="1086"/>
      <c r="F70" s="1086"/>
      <c r="G70" s="1086"/>
      <c r="H70" s="1085"/>
      <c r="I70" s="1145"/>
      <c r="J70" s="1086"/>
      <c r="K70" s="1086"/>
    </row>
    <row r="71" spans="1:11" ht="11.25" customHeight="1">
      <c r="A71" s="549" t="s">
        <v>390</v>
      </c>
      <c r="B71" s="1139">
        <v>-380.99999999999989</v>
      </c>
      <c r="C71" s="1094"/>
      <c r="D71" s="1146">
        <v>281.00000000000057</v>
      </c>
      <c r="E71" s="1133">
        <v>255.488328974312</v>
      </c>
      <c r="F71" s="1136">
        <v>335.99999999999983</v>
      </c>
      <c r="G71" s="1135">
        <v>291.00000000000006</v>
      </c>
      <c r="H71" s="1094"/>
      <c r="I71" s="1136">
        <v>130</v>
      </c>
      <c r="J71" s="1137">
        <v>352.00000000000011</v>
      </c>
      <c r="K71" s="1137">
        <v>462.00000000000023</v>
      </c>
    </row>
    <row r="72" spans="1:11" ht="11.25" customHeight="1">
      <c r="A72" s="550" t="s">
        <v>352</v>
      </c>
      <c r="B72" s="1109" t="s">
        <v>397</v>
      </c>
      <c r="C72" s="1158"/>
      <c r="D72" s="1134">
        <v>6.5187184</v>
      </c>
      <c r="E72" s="1107">
        <v>-3.6296855881250418</v>
      </c>
      <c r="F72" s="1108">
        <v>3.5033444999999999</v>
      </c>
      <c r="G72" s="1159" t="s">
        <v>397</v>
      </c>
      <c r="H72" s="1158"/>
      <c r="I72" s="1160">
        <v>9.5127317913079334</v>
      </c>
      <c r="J72" s="1161" t="s">
        <v>397</v>
      </c>
      <c r="K72" s="1161">
        <v>47</v>
      </c>
    </row>
    <row r="73" spans="1:11" ht="22.8">
      <c r="A73" s="551" t="s">
        <v>391</v>
      </c>
      <c r="B73" s="1110">
        <v>-381.38983299999984</v>
      </c>
      <c r="C73" s="1094"/>
      <c r="D73" s="1174">
        <v>287.51871840000058</v>
      </c>
      <c r="E73" s="1167">
        <v>251</v>
      </c>
      <c r="F73" s="1096">
        <v>339.5033444999998</v>
      </c>
      <c r="G73" s="1097">
        <v>291.49137400000006</v>
      </c>
      <c r="H73" s="1094"/>
      <c r="I73" s="1096">
        <v>139.51273179130794</v>
      </c>
      <c r="J73" s="1095">
        <v>351.82778400000012</v>
      </c>
      <c r="K73" s="1095">
        <v>509</v>
      </c>
    </row>
    <row r="74" spans="1:11" ht="11.25" customHeight="1">
      <c r="A74" s="553"/>
      <c r="B74" s="1140"/>
      <c r="C74" s="1083"/>
      <c r="D74" s="1147"/>
      <c r="E74" s="1111"/>
      <c r="F74" s="1083"/>
      <c r="G74" s="1083"/>
      <c r="H74" s="1083"/>
      <c r="I74" s="1148"/>
      <c r="J74" s="1112"/>
      <c r="K74" s="1112"/>
    </row>
    <row r="75" spans="1:11" ht="22.8">
      <c r="A75" s="552" t="s">
        <v>357</v>
      </c>
      <c r="B75" s="1141"/>
      <c r="C75" s="1083"/>
      <c r="D75" s="1149"/>
      <c r="E75" s="1113"/>
      <c r="F75" s="1114"/>
      <c r="G75" s="1114"/>
      <c r="H75" s="1083"/>
      <c r="I75" s="1150"/>
      <c r="J75" s="1115"/>
      <c r="K75" s="1115"/>
    </row>
    <row r="76" spans="1:11" ht="11.25" customHeight="1">
      <c r="A76" s="554" t="s">
        <v>386</v>
      </c>
      <c r="B76" s="1166">
        <v>-290.99999999999977</v>
      </c>
      <c r="C76" s="1163"/>
      <c r="D76" s="1165">
        <v>204.0000000000008</v>
      </c>
      <c r="E76" s="1164">
        <v>190</v>
      </c>
      <c r="F76" s="1165">
        <v>235.9999999999998</v>
      </c>
      <c r="G76" s="1166">
        <v>206.00000000000006</v>
      </c>
      <c r="H76" s="1163"/>
      <c r="I76" s="1165">
        <v>63</v>
      </c>
      <c r="J76" s="1164">
        <v>256</v>
      </c>
      <c r="K76" s="1164">
        <v>326</v>
      </c>
    </row>
    <row r="77" spans="1:11" ht="11.25" customHeight="1">
      <c r="A77" s="561" t="s">
        <v>358</v>
      </c>
      <c r="B77" s="1169">
        <v>0</v>
      </c>
      <c r="C77" s="1163"/>
      <c r="D77" s="1177">
        <v>6.4686129832000177</v>
      </c>
      <c r="E77" s="1168">
        <v>-3</v>
      </c>
      <c r="F77" s="1176">
        <v>3.424770585999994</v>
      </c>
      <c r="G77" s="1169">
        <v>0</v>
      </c>
      <c r="H77" s="1163"/>
      <c r="I77" s="1177">
        <v>7</v>
      </c>
      <c r="J77" s="1168">
        <v>1</v>
      </c>
      <c r="K77" s="1168">
        <v>34</v>
      </c>
    </row>
    <row r="78" spans="1:11" ht="36" customHeight="1">
      <c r="A78" s="551" t="s">
        <v>392</v>
      </c>
      <c r="B78" s="1173">
        <v>-291.30353781999975</v>
      </c>
      <c r="C78" s="1170"/>
      <c r="D78" s="1172">
        <v>210.46861298320081</v>
      </c>
      <c r="E78" s="1171">
        <v>187</v>
      </c>
      <c r="F78" s="1172">
        <v>239.4247705859998</v>
      </c>
      <c r="G78" s="1173">
        <v>206.49137400000006</v>
      </c>
      <c r="H78" s="1170"/>
      <c r="I78" s="1172">
        <v>70.095225730950901</v>
      </c>
      <c r="J78" s="1171">
        <v>257.47241786617479</v>
      </c>
      <c r="K78" s="1171">
        <v>360</v>
      </c>
    </row>
    <row r="79" spans="1:11" ht="11.25" customHeight="1">
      <c r="A79" s="514"/>
      <c r="B79" s="1170"/>
      <c r="C79" s="1170"/>
      <c r="D79" s="1170"/>
      <c r="E79" s="1116"/>
      <c r="F79" s="1170"/>
      <c r="G79" s="1170"/>
      <c r="H79" s="1170"/>
      <c r="I79" s="1170"/>
      <c r="J79" s="1116"/>
      <c r="K79" s="1116"/>
    </row>
    <row r="80" spans="1:11">
      <c r="A80" s="535" t="s">
        <v>368</v>
      </c>
      <c r="B80" s="1162" t="s">
        <v>263</v>
      </c>
      <c r="C80" s="1138"/>
      <c r="D80" s="1162" t="s">
        <v>263</v>
      </c>
      <c r="E80" s="1132" t="s">
        <v>263</v>
      </c>
      <c r="F80" s="1132" t="s">
        <v>263</v>
      </c>
      <c r="G80" s="1132" t="s">
        <v>263</v>
      </c>
      <c r="H80" s="1138"/>
      <c r="I80" s="1132" t="s">
        <v>263</v>
      </c>
      <c r="J80" s="1132" t="s">
        <v>263</v>
      </c>
      <c r="K80" s="1132" t="s">
        <v>263</v>
      </c>
    </row>
    <row r="81" spans="1:11">
      <c r="A81" s="554" t="s">
        <v>373</v>
      </c>
      <c r="B81" s="1118">
        <v>5800</v>
      </c>
      <c r="C81" s="1117"/>
      <c r="D81" s="1151">
        <v>6000</v>
      </c>
      <c r="E81" s="1151">
        <v>6400</v>
      </c>
      <c r="F81" s="1151">
        <v>6300</v>
      </c>
      <c r="G81" s="1118">
        <v>6400</v>
      </c>
      <c r="H81" s="1117"/>
      <c r="I81" s="1152">
        <v>6.4</v>
      </c>
      <c r="J81" s="1152">
        <v>6.3</v>
      </c>
      <c r="K81" s="1152">
        <v>6</v>
      </c>
    </row>
    <row r="82" spans="1:11">
      <c r="A82" s="561" t="s">
        <v>362</v>
      </c>
      <c r="B82" s="1142">
        <v>-700</v>
      </c>
      <c r="C82" s="1131"/>
      <c r="D82" s="1119">
        <v>-900</v>
      </c>
      <c r="E82" s="1119">
        <v>-1100</v>
      </c>
      <c r="F82" s="1119">
        <v>-1000</v>
      </c>
      <c r="G82" s="1142">
        <v>-1000</v>
      </c>
      <c r="H82" s="1131"/>
      <c r="I82" s="1120">
        <v>-1.1000000000000001</v>
      </c>
      <c r="J82" s="1120">
        <v>-1.1000000000000001</v>
      </c>
      <c r="K82" s="1120">
        <v>-1.1000000000000001</v>
      </c>
    </row>
    <row r="83" spans="1:11" ht="11.25" customHeight="1">
      <c r="A83" s="513" t="s">
        <v>374</v>
      </c>
      <c r="B83" s="1124">
        <v>5147.7971580542098</v>
      </c>
      <c r="C83" s="1121"/>
      <c r="D83" s="1153">
        <v>5127.9038617799533</v>
      </c>
      <c r="E83" s="1122">
        <v>5343.1434986331305</v>
      </c>
      <c r="F83" s="1123">
        <v>5291.6276010377842</v>
      </c>
      <c r="G83" s="1143">
        <v>5364.1960078036745</v>
      </c>
      <c r="H83" s="1121"/>
      <c r="I83" s="1123">
        <v>5303.0449166978769</v>
      </c>
      <c r="J83" s="1125">
        <v>5157.4307458371077</v>
      </c>
      <c r="K83" s="1125">
        <v>5000</v>
      </c>
    </row>
    <row r="84" spans="1:11">
      <c r="A84" s="512"/>
      <c r="B84" s="1127"/>
      <c r="C84" s="1170"/>
      <c r="D84" s="1127"/>
      <c r="E84" s="1126"/>
      <c r="F84" s="1127"/>
      <c r="G84" s="1127"/>
      <c r="H84" s="1170"/>
      <c r="I84" s="1127"/>
      <c r="J84" s="1126"/>
      <c r="K84" s="1126"/>
    </row>
    <row r="85" spans="1:11" ht="22.8">
      <c r="A85" s="545" t="s">
        <v>371</v>
      </c>
      <c r="B85" s="1129">
        <v>-0.22600000000000001</v>
      </c>
      <c r="C85" s="1154"/>
      <c r="D85" s="1130">
        <v>0.16300000000000001</v>
      </c>
      <c r="E85" s="1128">
        <v>0.14000000000000001</v>
      </c>
      <c r="F85" s="1130">
        <v>0.18</v>
      </c>
      <c r="G85" s="1129">
        <v>0.154</v>
      </c>
      <c r="H85" s="1154"/>
      <c r="I85" s="1130">
        <v>5.3999999999999999E-2</v>
      </c>
      <c r="J85" s="1128">
        <v>0.19900000000000001</v>
      </c>
      <c r="K85" s="1128">
        <v>0.28899999999999998</v>
      </c>
    </row>
    <row r="86" spans="1:11" ht="12.75" customHeight="1"/>
    <row r="87" spans="1:11" ht="11.25" customHeight="1"/>
    <row r="88" spans="1:11" ht="21" customHeight="1">
      <c r="E88" s="710"/>
    </row>
    <row r="89" spans="1:11" ht="11.25" customHeight="1"/>
    <row r="90" spans="1:11" ht="11.25" customHeight="1"/>
    <row r="91" spans="1:11" ht="11.25" customHeight="1"/>
    <row r="92" spans="1:11" ht="10.5" customHeight="1"/>
  </sheetData>
  <mergeCells count="2">
    <mergeCell ref="A59:B59"/>
    <mergeCell ref="A30:D30"/>
  </mergeCells>
  <pageMargins left="0.74803149606299202" right="0.74803149606299202" top="0.98425196850393704" bottom="0.98425196850393704" header="0.511811023622047" footer="0.511811023622047"/>
  <pageSetup paperSize="9" fitToHeight="3" orientation="landscape" horizontalDpi="300" verticalDpi="300" r:id="rId1"/>
  <rowBreaks count="2" manualBreakCount="2">
    <brk id="28" max="10" man="1"/>
    <brk id="57" max="10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L11"/>
  <sheetViews>
    <sheetView showGridLines="0" view="pageBreakPreview" zoomScale="85" zoomScaleNormal="100" zoomScaleSheetLayoutView="85" workbookViewId="0">
      <selection activeCell="B26" sqref="B26"/>
    </sheetView>
  </sheetViews>
  <sheetFormatPr defaultColWidth="9" defaultRowHeight="13.2"/>
  <cols>
    <col min="1" max="1" width="29.77734375" style="82" customWidth="1"/>
    <col min="2" max="2" width="7.21875" style="82" customWidth="1"/>
    <col min="3" max="3" width="2.21875" style="119" customWidth="1"/>
    <col min="4" max="6" width="7.21875" style="123" customWidth="1"/>
    <col min="7" max="7" width="7.21875" style="82" customWidth="1"/>
    <col min="8" max="8" width="2.21875" style="119" customWidth="1"/>
    <col min="9" max="9" width="7.21875" style="123" customWidth="1"/>
    <col min="10" max="11" width="7.21875" style="82" customWidth="1"/>
    <col min="12" max="12" width="2.77734375" style="82" customWidth="1"/>
    <col min="13" max="16384" width="9" style="82"/>
  </cols>
  <sheetData>
    <row r="1" spans="1:12" ht="18.75" customHeight="1">
      <c r="A1" s="694" t="s">
        <v>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12" customHeight="1">
      <c r="A2" s="108"/>
      <c r="B2" s="541" t="s">
        <v>274</v>
      </c>
      <c r="C2" s="541"/>
      <c r="D2" s="541" t="s">
        <v>159</v>
      </c>
      <c r="E2" s="541" t="s">
        <v>152</v>
      </c>
      <c r="F2" s="541" t="s">
        <v>52</v>
      </c>
      <c r="G2" s="541" t="s">
        <v>53</v>
      </c>
      <c r="H2" s="541"/>
      <c r="I2" s="541" t="s">
        <v>54</v>
      </c>
      <c r="J2" s="541" t="s">
        <v>55</v>
      </c>
      <c r="K2" s="541" t="s">
        <v>56</v>
      </c>
      <c r="L2" s="88"/>
    </row>
    <row r="3" spans="1:12" ht="11.25" customHeight="1">
      <c r="A3" s="552" t="s">
        <v>354</v>
      </c>
      <c r="B3" s="562" t="s">
        <v>25</v>
      </c>
      <c r="C3" s="565"/>
      <c r="D3" s="563" t="s">
        <v>25</v>
      </c>
      <c r="E3" s="563" t="s">
        <v>25</v>
      </c>
      <c r="F3" s="563" t="s">
        <v>25</v>
      </c>
      <c r="G3" s="563" t="s">
        <v>25</v>
      </c>
      <c r="H3" s="565"/>
      <c r="I3" s="563" t="s">
        <v>25</v>
      </c>
      <c r="J3" s="563" t="s">
        <v>25</v>
      </c>
      <c r="K3" s="563" t="s">
        <v>25</v>
      </c>
      <c r="L3" s="151"/>
    </row>
    <row r="4" spans="1:12" ht="11.25" customHeight="1">
      <c r="A4" s="549" t="s">
        <v>340</v>
      </c>
      <c r="B4" s="1178">
        <v>-103.99999999999683</v>
      </c>
      <c r="C4" s="1179"/>
      <c r="D4" s="1180">
        <v>-190.0000000000023</v>
      </c>
      <c r="E4" s="1181">
        <v>-204.00000083999561</v>
      </c>
      <c r="F4" s="1181">
        <v>-168.99999999999585</v>
      </c>
      <c r="G4" s="1182">
        <v>-220</v>
      </c>
      <c r="H4" s="1179"/>
      <c r="I4" s="1183">
        <v>-230.99999999999639</v>
      </c>
      <c r="J4" s="1184">
        <v>-129.00000000000216</v>
      </c>
      <c r="K4" s="1184">
        <v>-57.999999999986528</v>
      </c>
      <c r="L4" s="114"/>
    </row>
    <row r="5" spans="1:12" ht="11.25" customHeight="1">
      <c r="A5" s="550" t="s">
        <v>352</v>
      </c>
      <c r="B5" s="1169">
        <v>4.5813060600000002</v>
      </c>
      <c r="C5" s="1185"/>
      <c r="D5" s="1177">
        <v>22.891630682190598</v>
      </c>
      <c r="E5" s="1186">
        <v>88</v>
      </c>
      <c r="F5" s="1187">
        <v>1.4443003899999998</v>
      </c>
      <c r="G5" s="1175">
        <v>38.649387590000003</v>
      </c>
      <c r="H5" s="1185"/>
      <c r="I5" s="1176">
        <v>12.017136830000002</v>
      </c>
      <c r="J5" s="1188">
        <v>18.953604072999997</v>
      </c>
      <c r="K5" s="1188">
        <v>31.385367859999995</v>
      </c>
      <c r="L5" s="114"/>
    </row>
    <row r="6" spans="1:12" ht="22.8">
      <c r="A6" s="551" t="s">
        <v>375</v>
      </c>
      <c r="B6" s="1110">
        <v>-99.4186939399968</v>
      </c>
      <c r="C6" s="1189"/>
      <c r="D6" s="1174">
        <v>-167.10836931781171</v>
      </c>
      <c r="E6" s="1167">
        <v>-116</v>
      </c>
      <c r="F6" s="1190">
        <v>-167.55569960999586</v>
      </c>
      <c r="G6" s="1173">
        <v>-181.35061241</v>
      </c>
      <c r="H6" s="1189"/>
      <c r="I6" s="1172">
        <v>-218.98286316999636</v>
      </c>
      <c r="J6" s="1171">
        <v>-110.04639592700217</v>
      </c>
      <c r="K6" s="1171">
        <v>-26.614632139986529</v>
      </c>
      <c r="L6" s="116"/>
    </row>
    <row r="7" spans="1:12" ht="11.25" customHeight="1">
      <c r="A7" s="553"/>
      <c r="B7" s="1191"/>
      <c r="C7" s="1192"/>
      <c r="D7" s="1193"/>
      <c r="E7" s="1194"/>
      <c r="F7" s="1192"/>
      <c r="G7" s="1192"/>
      <c r="H7" s="1192"/>
      <c r="I7" s="1195"/>
      <c r="J7" s="1196"/>
      <c r="K7" s="1196"/>
      <c r="L7" s="117"/>
    </row>
    <row r="8" spans="1:12" ht="22.8">
      <c r="A8" s="552" t="s">
        <v>357</v>
      </c>
      <c r="B8" s="1197"/>
      <c r="C8" s="1192"/>
      <c r="D8" s="1198"/>
      <c r="E8" s="1199"/>
      <c r="F8" s="1200"/>
      <c r="G8" s="1200"/>
      <c r="H8" s="1192"/>
      <c r="I8" s="1201"/>
      <c r="J8" s="1202"/>
      <c r="K8" s="1202"/>
      <c r="L8" s="117"/>
    </row>
    <row r="9" spans="1:12" ht="11.25" customHeight="1">
      <c r="A9" s="554" t="s">
        <v>341</v>
      </c>
      <c r="B9" s="1166">
        <v>-98.9999999999972</v>
      </c>
      <c r="C9" s="1163"/>
      <c r="D9" s="1165">
        <v>-154.00000000000421</v>
      </c>
      <c r="E9" s="1164">
        <v>-184.00000123999689</v>
      </c>
      <c r="F9" s="1165">
        <v>-125.99999999999599</v>
      </c>
      <c r="G9" s="1166">
        <v>-171.99999999999974</v>
      </c>
      <c r="H9" s="1163"/>
      <c r="I9" s="1165">
        <v>-234</v>
      </c>
      <c r="J9" s="1164">
        <v>-147</v>
      </c>
      <c r="K9" s="1164">
        <v>-120</v>
      </c>
      <c r="L9" s="22"/>
    </row>
    <row r="10" spans="1:12">
      <c r="A10" s="561" t="s">
        <v>358</v>
      </c>
      <c r="B10" s="1169">
        <v>-4.0753096063599941</v>
      </c>
      <c r="C10" s="1163"/>
      <c r="D10" s="1177">
        <v>15.082456572222668</v>
      </c>
      <c r="E10" s="1168">
        <v>66</v>
      </c>
      <c r="F10" s="1177">
        <v>2</v>
      </c>
      <c r="G10" s="1169">
        <v>28</v>
      </c>
      <c r="H10" s="1163"/>
      <c r="I10" s="1177">
        <v>16</v>
      </c>
      <c r="J10" s="1168">
        <v>11</v>
      </c>
      <c r="K10" s="1168">
        <v>24</v>
      </c>
      <c r="L10" s="80"/>
    </row>
    <row r="11" spans="1:12" ht="22.8">
      <c r="A11" s="567" t="s">
        <v>376</v>
      </c>
      <c r="B11" s="1173">
        <v>-103.07530960635719</v>
      </c>
      <c r="C11" s="1170"/>
      <c r="D11" s="1172">
        <v>-138.91754342778154</v>
      </c>
      <c r="E11" s="1171">
        <v>-118</v>
      </c>
      <c r="F11" s="1172">
        <v>-123.693692871428</v>
      </c>
      <c r="G11" s="1173">
        <v>-143.85061240999974</v>
      </c>
      <c r="H11" s="1170"/>
      <c r="I11" s="1172">
        <v>-218</v>
      </c>
      <c r="J11" s="1171">
        <v>-136</v>
      </c>
      <c r="K11" s="1171">
        <v>-96</v>
      </c>
      <c r="L11" s="94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4"/>
  <sheetViews>
    <sheetView showGridLines="0" view="pageBreakPreview" zoomScale="85" zoomScaleNormal="100" zoomScaleSheetLayoutView="85" workbookViewId="0">
      <selection activeCell="B9" sqref="B9"/>
    </sheetView>
  </sheetViews>
  <sheetFormatPr defaultColWidth="9" defaultRowHeight="13.2"/>
  <cols>
    <col min="1" max="1" width="9.5546875" style="82" customWidth="1"/>
    <col min="2" max="2" width="61.88671875" style="82" customWidth="1"/>
    <col min="3" max="3" width="12.44140625" style="119" customWidth="1"/>
    <col min="4" max="5" width="12.44140625" style="123" customWidth="1"/>
    <col min="6" max="6" width="7.21875" style="123" customWidth="1"/>
    <col min="7" max="7" width="7.21875" style="82" customWidth="1"/>
    <col min="8" max="8" width="2.21875" style="119" customWidth="1"/>
    <col min="9" max="9" width="7.21875" style="123" customWidth="1"/>
    <col min="10" max="11" width="7.21875" style="82" customWidth="1"/>
    <col min="12" max="12" width="2.77734375" style="82" customWidth="1"/>
    <col min="13" max="16384" width="9" style="82"/>
  </cols>
  <sheetData>
    <row r="2" spans="1:12" ht="18.75" customHeight="1">
      <c r="B2" s="141" t="s">
        <v>377</v>
      </c>
      <c r="C2" s="142" t="s">
        <v>378</v>
      </c>
      <c r="D2" s="142" t="s">
        <v>378</v>
      </c>
      <c r="E2" s="142" t="s">
        <v>378</v>
      </c>
      <c r="F2" s="86"/>
      <c r="G2" s="86"/>
      <c r="H2" s="86"/>
      <c r="I2" s="86"/>
      <c r="J2" s="86"/>
      <c r="K2" s="86"/>
      <c r="L2" s="86"/>
    </row>
    <row r="3" spans="1:12" ht="12" customHeight="1">
      <c r="A3" s="108"/>
      <c r="B3" s="143"/>
      <c r="C3" s="142" t="s">
        <v>241</v>
      </c>
      <c r="D3" s="142" t="s">
        <v>162</v>
      </c>
      <c r="E3" s="142" t="s">
        <v>242</v>
      </c>
      <c r="F3" s="1083"/>
      <c r="G3" s="1083"/>
      <c r="H3" s="1083"/>
      <c r="I3" s="1083"/>
      <c r="J3" s="1083"/>
      <c r="K3" s="1083"/>
      <c r="L3" s="1083"/>
    </row>
    <row r="4" spans="1:12" ht="11.25" customHeight="1">
      <c r="A4" s="552"/>
      <c r="B4" s="144"/>
      <c r="C4" s="145" t="s">
        <v>25</v>
      </c>
      <c r="D4" s="145" t="s">
        <v>25</v>
      </c>
      <c r="E4" s="145" t="s">
        <v>25</v>
      </c>
      <c r="F4" s="1085"/>
      <c r="G4" s="1086"/>
      <c r="H4" s="1085"/>
      <c r="I4" s="1086"/>
      <c r="J4" s="1086"/>
      <c r="K4" s="1086"/>
      <c r="L4" s="1085"/>
    </row>
    <row r="5" spans="1:12">
      <c r="A5" s="549"/>
      <c r="B5" s="146" t="s">
        <v>379</v>
      </c>
      <c r="C5" s="593">
        <v>68369</v>
      </c>
      <c r="D5" s="640">
        <v>64429</v>
      </c>
      <c r="E5" s="660">
        <v>64661</v>
      </c>
      <c r="F5" s="1615"/>
      <c r="G5" s="1182"/>
      <c r="H5" s="1179"/>
      <c r="I5" s="1183"/>
      <c r="J5" s="1184"/>
      <c r="K5" s="1184"/>
      <c r="L5" s="1185"/>
    </row>
    <row r="6" spans="1:12">
      <c r="A6" s="550"/>
      <c r="B6" s="143" t="s">
        <v>380</v>
      </c>
      <c r="C6" s="1232">
        <v>-10871</v>
      </c>
      <c r="D6" s="781">
        <v>-10871</v>
      </c>
      <c r="E6" s="781">
        <v>-11119</v>
      </c>
      <c r="F6" s="1185"/>
      <c r="G6" s="1175"/>
      <c r="H6" s="1185"/>
      <c r="I6" s="1176"/>
      <c r="J6" s="1188"/>
      <c r="K6" s="1188"/>
      <c r="L6" s="1185"/>
    </row>
    <row r="7" spans="1:12">
      <c r="A7" s="551"/>
      <c r="B7" s="147" t="s">
        <v>381</v>
      </c>
      <c r="C7" s="1203">
        <v>-8209</v>
      </c>
      <c r="D7" s="641">
        <v>-8119</v>
      </c>
      <c r="E7" s="641">
        <v>-7921</v>
      </c>
      <c r="F7" s="1189"/>
      <c r="G7" s="1173"/>
      <c r="H7" s="1189"/>
      <c r="I7" s="1172"/>
      <c r="J7" s="1171"/>
      <c r="K7" s="1171"/>
      <c r="L7" s="1189"/>
    </row>
    <row r="8" spans="1:12">
      <c r="A8" s="553"/>
      <c r="B8" s="148" t="s">
        <v>382</v>
      </c>
      <c r="C8" s="1205">
        <v>49289</v>
      </c>
      <c r="D8" s="782">
        <v>45439</v>
      </c>
      <c r="E8" s="643">
        <v>45621</v>
      </c>
      <c r="F8" s="1192"/>
      <c r="G8" s="1192"/>
      <c r="H8" s="1192"/>
      <c r="I8" s="1195"/>
      <c r="J8" s="1196"/>
      <c r="K8" s="1196"/>
      <c r="L8" s="1192"/>
    </row>
    <row r="9" spans="1:12">
      <c r="A9" s="552"/>
      <c r="B9" s="143"/>
      <c r="C9" s="142"/>
      <c r="D9" s="149"/>
      <c r="E9" s="149"/>
      <c r="F9" s="1192"/>
      <c r="G9" s="1200"/>
      <c r="H9" s="1192"/>
      <c r="I9" s="1201"/>
      <c r="J9" s="1202"/>
      <c r="K9" s="1202"/>
      <c r="L9" s="1192"/>
    </row>
    <row r="10" spans="1:12">
      <c r="A10" s="554"/>
      <c r="B10" s="144"/>
      <c r="C10" s="145" t="s">
        <v>401</v>
      </c>
      <c r="D10" s="145" t="s">
        <v>394</v>
      </c>
      <c r="E10" s="150" t="s">
        <v>394</v>
      </c>
      <c r="F10" s="1163"/>
      <c r="G10" s="1166"/>
      <c r="H10" s="1163"/>
      <c r="I10" s="1165"/>
      <c r="J10" s="1164"/>
      <c r="K10" s="1164"/>
      <c r="L10" s="1163"/>
    </row>
    <row r="11" spans="1:12">
      <c r="A11" s="561"/>
      <c r="B11" s="146" t="s">
        <v>383</v>
      </c>
      <c r="C11" s="593">
        <v>17332</v>
      </c>
      <c r="D11" s="640">
        <v>17322</v>
      </c>
      <c r="E11" s="660">
        <v>17139</v>
      </c>
      <c r="F11" s="1163"/>
      <c r="G11" s="1169"/>
      <c r="H11" s="1163"/>
      <c r="I11" s="1177"/>
      <c r="J11" s="1168"/>
      <c r="K11" s="1168"/>
      <c r="L11" s="1022"/>
    </row>
    <row r="12" spans="1:12">
      <c r="A12" s="567"/>
      <c r="B12" s="143"/>
      <c r="C12" s="190"/>
      <c r="D12" s="190"/>
      <c r="E12" s="160"/>
      <c r="F12" s="1170"/>
      <c r="G12" s="1173"/>
      <c r="H12" s="1170"/>
      <c r="I12" s="1172"/>
      <c r="J12" s="1171"/>
      <c r="K12" s="1171"/>
      <c r="L12" s="1170"/>
    </row>
    <row r="13" spans="1:12">
      <c r="B13" s="147"/>
      <c r="C13" s="145" t="s">
        <v>402</v>
      </c>
      <c r="D13" s="145" t="s">
        <v>395</v>
      </c>
      <c r="E13" s="150" t="s">
        <v>395</v>
      </c>
      <c r="F13" s="119"/>
    </row>
    <row r="14" spans="1:12">
      <c r="B14" s="783" t="s">
        <v>384</v>
      </c>
      <c r="C14" s="1336">
        <v>284</v>
      </c>
      <c r="D14" s="784">
        <v>262</v>
      </c>
      <c r="E14" s="175">
        <v>266</v>
      </c>
      <c r="F14" s="119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33</vt:i4>
      </vt:variant>
    </vt:vector>
  </HeadingPairs>
  <TitlesOfParts>
    <vt:vector size="66" baseType="lpstr">
      <vt:lpstr>YTD Consolidation check </vt:lpstr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Segmental Reporting Note</vt:lpstr>
      <vt:lpstr>Margins and balances</vt:lpstr>
      <vt:lpstr>L&amp;A by stage</vt:lpstr>
      <vt:lpstr>L&amp;A by product</vt:lpstr>
      <vt:lpstr>MEVs and scenario weights</vt:lpstr>
      <vt:lpstr>Drivers of impairment change</vt:lpstr>
      <vt:lpstr>Group liquidity pool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'L&amp;A by stage'!OLE_LINK1</vt:lpstr>
      <vt:lpstr>'Margins and balances'!OLE_LINK1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'CYYTD performance measures excl'!Print_Area</vt:lpstr>
      <vt:lpstr>'Drivers of impairment change'!Print_Area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by product'!Print_Area</vt:lpstr>
      <vt:lpstr>'L&amp;A by stage'!Print_Area</vt:lpstr>
      <vt:lpstr>Leverage!Print_Area</vt:lpstr>
      <vt:lpstr>'Margins and balances'!Print_Area</vt:lpstr>
      <vt:lpstr>'MEVs and scenario weights'!Print_Area</vt:lpstr>
      <vt:lpstr>'Movement in CET1 capital'!Print_Area</vt:lpstr>
      <vt:lpstr>'Movement in RWAs'!Print_Area</vt:lpstr>
      <vt:lpstr>'MREL ratios and position'!Print_Area</vt:lpstr>
      <vt:lpstr>'PYYTD performance measures'!Print_Area</vt:lpstr>
      <vt:lpstr>Returns!Print_Area</vt:lpstr>
      <vt:lpstr>'RWAs by risk type and business'!Print_Area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2020-04-29T04:51:15Z</cp:lastPrinted>
  <dcterms:created xsi:type="dcterms:W3CDTF">2010-11-10T17:21:28Z</dcterms:created>
  <dcterms:modified xsi:type="dcterms:W3CDTF">2020-04-29T04:52:12Z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_AdHocReviewCycleID">
    <vt:i4>249006980</vt:i4>
  </property>
  <property fmtid="{D5CDD505-2E9C-101B-9397-08002B2CF9AE}" pid="6" name="_NewReviewCycle">
    <vt:lpwstr/>
  </property>
  <property fmtid="{D5CDD505-2E9C-101B-9397-08002B2CF9AE}" pid="7" name="_EmailSubject">
    <vt:lpwstr>Final RA and Excel tables:</vt:lpwstr>
  </property>
  <property fmtid="{D5CDD505-2E9C-101B-9397-08002B2CF9AE}" pid="8" name="_AuthorEmail">
    <vt:lpwstr>aftab.khan2@barclays.com</vt:lpwstr>
  </property>
  <property fmtid="{D5CDD505-2E9C-101B-9397-08002B2CF9AE}" pid="9" name="_AuthorEmailDisplayName">
    <vt:lpwstr>Khan, Aftab : Investor Relations</vt:lpwstr>
  </property>
  <property fmtid="{D5CDD505-2E9C-101B-9397-08002B2CF9AE}" pid="10" name="MSIP_Label_c754cbb2-29ed-4ffe-af90-a08465e0dd2c_Enabled">
    <vt:lpwstr>True</vt:lpwstr>
  </property>
  <property fmtid="{D5CDD505-2E9C-101B-9397-08002B2CF9AE}" pid="11" name="MSIP_Label_c754cbb2-29ed-4ffe-af90-a08465e0dd2c_SiteId">
    <vt:lpwstr>c4b62f1d-01e0-4107-a0cc-5ac886858b23</vt:lpwstr>
  </property>
  <property fmtid="{D5CDD505-2E9C-101B-9397-08002B2CF9AE}" pid="12" name="MSIP_Label_c754cbb2-29ed-4ffe-af90-a08465e0dd2c_Owner">
    <vt:lpwstr>Aftab.Khan2@barclays.com</vt:lpwstr>
  </property>
  <property fmtid="{D5CDD505-2E9C-101B-9397-08002B2CF9AE}" pid="13" name="MSIP_Label_c754cbb2-29ed-4ffe-af90-a08465e0dd2c_SetDate">
    <vt:lpwstr>2020-04-28T22:19:17.2736238Z</vt:lpwstr>
  </property>
  <property fmtid="{D5CDD505-2E9C-101B-9397-08002B2CF9AE}" pid="14" name="MSIP_Label_c754cbb2-29ed-4ffe-af90-a08465e0dd2c_Name">
    <vt:lpwstr>Unrestricted</vt:lpwstr>
  </property>
  <property fmtid="{D5CDD505-2E9C-101B-9397-08002B2CF9AE}" pid="15" name="MSIP_Label_c754cbb2-29ed-4ffe-af90-a08465e0dd2c_Application">
    <vt:lpwstr>Microsoft Azure Information Protection</vt:lpwstr>
  </property>
  <property fmtid="{D5CDD505-2E9C-101B-9397-08002B2CF9AE}" pid="16" name="MSIP_Label_c754cbb2-29ed-4ffe-af90-a08465e0dd2c_Extended_MSFT_Method">
    <vt:lpwstr>Manual</vt:lpwstr>
  </property>
  <property fmtid="{D5CDD505-2E9C-101B-9397-08002B2CF9AE}" pid="17" name="MSIP_Label_160749d1-864c-445f-a280-f2d95cb3b36a_Enabled">
    <vt:lpwstr>True</vt:lpwstr>
  </property>
  <property fmtid="{D5CDD505-2E9C-101B-9397-08002B2CF9AE}" pid="18" name="MSIP_Label_160749d1-864c-445f-a280-f2d95cb3b36a_SiteId">
    <vt:lpwstr>c4b62f1d-01e0-4107-a0cc-5ac886858b23</vt:lpwstr>
  </property>
  <property fmtid="{D5CDD505-2E9C-101B-9397-08002B2CF9AE}" pid="19" name="MSIP_Label_160749d1-864c-445f-a280-f2d95cb3b36a_Owner">
    <vt:lpwstr>uddinnas@intranet.barcapint.com</vt:lpwstr>
  </property>
  <property fmtid="{D5CDD505-2E9C-101B-9397-08002B2CF9AE}" pid="20" name="MSIP_Label_160749d1-864c-445f-a280-f2d95cb3b36a_SetDate">
    <vt:lpwstr>2019-09-04T14:52:16.6447500Z</vt:lpwstr>
  </property>
  <property fmtid="{D5CDD505-2E9C-101B-9397-08002B2CF9AE}" pid="21" name="MSIP_Label_160749d1-864c-445f-a280-f2d95cb3b36a_Name">
    <vt:lpwstr>Secret</vt:lpwstr>
  </property>
  <property fmtid="{D5CDD505-2E9C-101B-9397-08002B2CF9AE}" pid="22" name="MSIP_Label_160749d1-864c-445f-a280-f2d95cb3b36a_Application">
    <vt:lpwstr>Microsoft Azure Information Protection</vt:lpwstr>
  </property>
  <property fmtid="{D5CDD505-2E9C-101B-9397-08002B2CF9AE}" pid="23" name="MSIP_Label_160749d1-864c-445f-a280-f2d95cb3b36a_Extended_MSFT_Method">
    <vt:lpwstr>Automatic</vt:lpwstr>
  </property>
  <property fmtid="{D5CDD505-2E9C-101B-9397-08002B2CF9AE}" pid="24" name="barclaysdc">
    <vt:lpwstr>Unrestricted Secret</vt:lpwstr>
  </property>
  <property fmtid="{D5CDD505-2E9C-101B-9397-08002B2CF9AE}" pid="25" name="_PreviousAdHocReviewCycleID">
    <vt:i4>-295632151</vt:i4>
  </property>
  <property fmtid="{D5CDD505-2E9C-101B-9397-08002B2CF9AE}" pid="26" name="_ReviewingToolsShownOnce">
    <vt:lpwstr/>
  </property>
</Properties>
</file>